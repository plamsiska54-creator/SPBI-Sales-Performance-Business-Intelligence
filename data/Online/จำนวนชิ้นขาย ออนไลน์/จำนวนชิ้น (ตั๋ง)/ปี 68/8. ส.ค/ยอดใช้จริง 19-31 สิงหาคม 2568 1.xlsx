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4CE85EB-2375-4F53-930A-C4B99F930BCD}" xr6:coauthVersionLast="47" xr6:coauthVersionMax="47" xr10:uidLastSave="{00000000-0000-0000-0000-000000000000}"/>
  <bookViews>
    <workbookView xWindow="-120" yWindow="-120" windowWidth="29040" windowHeight="15720" tabRatio="930" firstSheet="3" activeTab="14" xr2:uid="{55C9AAA3-F459-48EC-A639-AACFFC6390F5}"/>
  </bookViews>
  <sheets>
    <sheet name="บ่าย" sheetId="4" state="hidden" r:id="rId1"/>
    <sheet name="เย็น " sheetId="6" state="hidden" r:id="rId2"/>
    <sheet name="19.08.2568" sheetId="5" r:id="rId3"/>
    <sheet name="20.8.2568" sheetId="7" r:id="rId4"/>
    <sheet name="21.08.2568" sheetId="8" r:id="rId5"/>
    <sheet name="22.08.2568" sheetId="9" r:id="rId6"/>
    <sheet name="23.08.2568" sheetId="10" r:id="rId7"/>
    <sheet name="24.082568" sheetId="11" r:id="rId8"/>
    <sheet name="25.08.2568" sheetId="12" r:id="rId9"/>
    <sheet name="26.08.256" sheetId="13" r:id="rId10"/>
    <sheet name="27.08.2568" sheetId="14" r:id="rId11"/>
    <sheet name="28.08.2568" sheetId="15" r:id="rId12"/>
    <sheet name="29.08.2568" sheetId="16" r:id="rId13"/>
    <sheet name="30.08.2568" sheetId="17" r:id="rId14"/>
    <sheet name="31.08.2568" sheetId="18" r:id="rId15"/>
    <sheet name="สรุป" sheetId="19" r:id="rId16"/>
  </sheets>
  <definedNames>
    <definedName name="_xlnm._FilterDatabase" localSheetId="2" hidden="1">'19.08.2568'!$B$2:$AF$2</definedName>
    <definedName name="_xlnm._FilterDatabase" localSheetId="3" hidden="1">'20.8.2568'!$B$2:$AF$2</definedName>
    <definedName name="_xlnm._FilterDatabase" localSheetId="4" hidden="1">'21.08.2568'!$B$2:$AF$2</definedName>
    <definedName name="_xlnm._FilterDatabase" localSheetId="5" hidden="1">'22.08.2568'!$B$2:$AF$2</definedName>
    <definedName name="_xlnm._FilterDatabase" localSheetId="15" hidden="1">สรุป!$A$3:$Z$100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9" l="1"/>
  <c r="E6" i="19"/>
  <c r="D7" i="19"/>
  <c r="E7" i="19"/>
  <c r="D8" i="19"/>
  <c r="E8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F21" i="19" s="1"/>
  <c r="E21" i="19"/>
  <c r="D22" i="19"/>
  <c r="F22" i="19" s="1"/>
  <c r="E22" i="19"/>
  <c r="D23" i="19"/>
  <c r="E23" i="19"/>
  <c r="D24" i="19"/>
  <c r="E24" i="19"/>
  <c r="D25" i="19"/>
  <c r="E25" i="19"/>
  <c r="D26" i="19"/>
  <c r="E26" i="19"/>
  <c r="F26" i="19" s="1"/>
  <c r="D27" i="19"/>
  <c r="E27" i="19"/>
  <c r="D28" i="19"/>
  <c r="E28" i="19"/>
  <c r="D29" i="19"/>
  <c r="E29" i="19"/>
  <c r="D30" i="19"/>
  <c r="E30" i="19"/>
  <c r="D31" i="19"/>
  <c r="E31" i="19"/>
  <c r="D32" i="19"/>
  <c r="E32" i="19"/>
  <c r="D33" i="19"/>
  <c r="E33" i="19"/>
  <c r="D34" i="19"/>
  <c r="E34" i="19"/>
  <c r="D35" i="19"/>
  <c r="E35" i="19"/>
  <c r="D36" i="19"/>
  <c r="E36" i="19"/>
  <c r="D37" i="19"/>
  <c r="E37" i="19"/>
  <c r="D38" i="19"/>
  <c r="E38" i="19"/>
  <c r="D39" i="19"/>
  <c r="E39" i="19"/>
  <c r="D40" i="19"/>
  <c r="E40" i="19"/>
  <c r="D41" i="19"/>
  <c r="E41" i="19"/>
  <c r="D42" i="19"/>
  <c r="E42" i="19"/>
  <c r="F42" i="19" s="1"/>
  <c r="D43" i="19"/>
  <c r="E43" i="19"/>
  <c r="D44" i="19"/>
  <c r="F44" i="19" s="1"/>
  <c r="E44" i="19"/>
  <c r="D45" i="19"/>
  <c r="E45" i="19"/>
  <c r="D46" i="19"/>
  <c r="E46" i="19"/>
  <c r="D47" i="19"/>
  <c r="E47" i="19"/>
  <c r="D48" i="19"/>
  <c r="E48" i="19"/>
  <c r="D49" i="19"/>
  <c r="E49" i="19"/>
  <c r="D50" i="19"/>
  <c r="E50" i="19"/>
  <c r="D51" i="19"/>
  <c r="E51" i="19"/>
  <c r="D52" i="19"/>
  <c r="E52" i="19"/>
  <c r="D53" i="19"/>
  <c r="E53" i="19"/>
  <c r="D54" i="19"/>
  <c r="F54" i="19" s="1"/>
  <c r="E54" i="19"/>
  <c r="D55" i="19"/>
  <c r="E55" i="19"/>
  <c r="D56" i="19"/>
  <c r="E56" i="19"/>
  <c r="D57" i="19"/>
  <c r="F57" i="19" s="1"/>
  <c r="E57" i="19"/>
  <c r="D58" i="19"/>
  <c r="E58" i="19"/>
  <c r="D59" i="19"/>
  <c r="E59" i="19"/>
  <c r="D60" i="19"/>
  <c r="E60" i="19"/>
  <c r="D61" i="19"/>
  <c r="E61" i="19"/>
  <c r="D62" i="19"/>
  <c r="E62" i="19"/>
  <c r="D63" i="19"/>
  <c r="E63" i="19"/>
  <c r="D64" i="19"/>
  <c r="E64" i="19"/>
  <c r="D65" i="19"/>
  <c r="E65" i="19"/>
  <c r="D66" i="19"/>
  <c r="E66" i="19"/>
  <c r="D67" i="19"/>
  <c r="E67" i="19"/>
  <c r="D68" i="19"/>
  <c r="E68" i="19"/>
  <c r="D69" i="19"/>
  <c r="E69" i="19"/>
  <c r="D70" i="19"/>
  <c r="E70" i="19"/>
  <c r="D71" i="19"/>
  <c r="E71" i="19"/>
  <c r="D72" i="19"/>
  <c r="E72" i="19"/>
  <c r="D73" i="19"/>
  <c r="E73" i="19"/>
  <c r="D74" i="19"/>
  <c r="E74" i="19"/>
  <c r="D75" i="19"/>
  <c r="E75" i="19"/>
  <c r="D76" i="19"/>
  <c r="E76" i="19"/>
  <c r="D77" i="19"/>
  <c r="E77" i="19"/>
  <c r="D78" i="19"/>
  <c r="E78" i="19"/>
  <c r="D79" i="19"/>
  <c r="E79" i="19"/>
  <c r="D80" i="19"/>
  <c r="E80" i="19"/>
  <c r="D81" i="19"/>
  <c r="E81" i="19"/>
  <c r="D82" i="19"/>
  <c r="E82" i="19"/>
  <c r="D83" i="19"/>
  <c r="E83" i="19"/>
  <c r="D84" i="19"/>
  <c r="E84" i="19"/>
  <c r="D85" i="19"/>
  <c r="E85" i="19"/>
  <c r="D86" i="19"/>
  <c r="E86" i="19"/>
  <c r="D87" i="19"/>
  <c r="E87" i="19"/>
  <c r="D88" i="19"/>
  <c r="E88" i="19"/>
  <c r="D89" i="19"/>
  <c r="F89" i="19" s="1"/>
  <c r="E89" i="19"/>
  <c r="D90" i="19"/>
  <c r="E90" i="19"/>
  <c r="D91" i="19"/>
  <c r="E91" i="19"/>
  <c r="D92" i="19"/>
  <c r="E92" i="19"/>
  <c r="D93" i="19"/>
  <c r="E93" i="19"/>
  <c r="D94" i="19"/>
  <c r="E94" i="19"/>
  <c r="D95" i="19"/>
  <c r="E95" i="19"/>
  <c r="D96" i="19"/>
  <c r="E96" i="19"/>
  <c r="D97" i="19"/>
  <c r="F97" i="19" s="1"/>
  <c r="E97" i="19"/>
  <c r="D98" i="19"/>
  <c r="E98" i="19"/>
  <c r="D99" i="19"/>
  <c r="E99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R15" i="19" s="1"/>
  <c r="Q15" i="19"/>
  <c r="P16" i="19"/>
  <c r="Q16" i="19"/>
  <c r="P17" i="19"/>
  <c r="R17" i="19" s="1"/>
  <c r="Q17" i="19"/>
  <c r="P18" i="19"/>
  <c r="Q18" i="19"/>
  <c r="R18" i="19" s="1"/>
  <c r="P19" i="19"/>
  <c r="Q19" i="19"/>
  <c r="P20" i="19"/>
  <c r="Q20" i="19"/>
  <c r="P21" i="19"/>
  <c r="Q21" i="19"/>
  <c r="P22" i="19"/>
  <c r="Q22" i="19"/>
  <c r="P23" i="19"/>
  <c r="Q23" i="19"/>
  <c r="P24" i="19"/>
  <c r="Q24" i="19"/>
  <c r="P25" i="19"/>
  <c r="R25" i="19" s="1"/>
  <c r="Q25" i="19"/>
  <c r="P26" i="19"/>
  <c r="Q26" i="19"/>
  <c r="P27" i="19"/>
  <c r="Q27" i="19"/>
  <c r="P28" i="19"/>
  <c r="Q28" i="19"/>
  <c r="P29" i="19"/>
  <c r="Q29" i="19"/>
  <c r="P30" i="19"/>
  <c r="Q30" i="19"/>
  <c r="P31" i="19"/>
  <c r="Q31" i="19"/>
  <c r="P32" i="19"/>
  <c r="Q32" i="19"/>
  <c r="P33" i="19"/>
  <c r="Q33" i="19"/>
  <c r="P34" i="19"/>
  <c r="Q34" i="19"/>
  <c r="R34" i="19" s="1"/>
  <c r="P35" i="19"/>
  <c r="Q35" i="19"/>
  <c r="P36" i="19"/>
  <c r="Q36" i="19"/>
  <c r="P37" i="19"/>
  <c r="Q37" i="19"/>
  <c r="P38" i="19"/>
  <c r="Q38" i="19"/>
  <c r="P39" i="19"/>
  <c r="Q39" i="19"/>
  <c r="P40" i="19"/>
  <c r="Q40" i="19"/>
  <c r="P41" i="19"/>
  <c r="Q41" i="19"/>
  <c r="P42" i="19"/>
  <c r="Q42" i="19"/>
  <c r="P43" i="19"/>
  <c r="Q43" i="19"/>
  <c r="P44" i="19"/>
  <c r="Q44" i="19"/>
  <c r="P45" i="19"/>
  <c r="R45" i="19" s="1"/>
  <c r="Q45" i="19"/>
  <c r="P46" i="19"/>
  <c r="Q46" i="19"/>
  <c r="P47" i="19"/>
  <c r="R47" i="19" s="1"/>
  <c r="Q47" i="19"/>
  <c r="P48" i="19"/>
  <c r="R48" i="19" s="1"/>
  <c r="Q48" i="19"/>
  <c r="P49" i="19"/>
  <c r="R49" i="19" s="1"/>
  <c r="Q49" i="19"/>
  <c r="P50" i="19"/>
  <c r="Q50" i="19"/>
  <c r="R50" i="19" s="1"/>
  <c r="P51" i="19"/>
  <c r="Q51" i="19"/>
  <c r="P52" i="19"/>
  <c r="Q52" i="19"/>
  <c r="P53" i="19"/>
  <c r="R53" i="19" s="1"/>
  <c r="Q53" i="19"/>
  <c r="P54" i="19"/>
  <c r="R54" i="19" s="1"/>
  <c r="Q54" i="19"/>
  <c r="P55" i="19"/>
  <c r="R55" i="19" s="1"/>
  <c r="Q55" i="19"/>
  <c r="P56" i="19"/>
  <c r="Q56" i="19"/>
  <c r="P57" i="19"/>
  <c r="Q57" i="19"/>
  <c r="P58" i="19"/>
  <c r="Q58" i="19"/>
  <c r="P59" i="19"/>
  <c r="Q59" i="19"/>
  <c r="P60" i="19"/>
  <c r="Q60" i="19"/>
  <c r="P61" i="19"/>
  <c r="R61" i="19" s="1"/>
  <c r="Q61" i="19"/>
  <c r="P62" i="19"/>
  <c r="Q62" i="19"/>
  <c r="P63" i="19"/>
  <c r="R63" i="19" s="1"/>
  <c r="Q63" i="19"/>
  <c r="P64" i="19"/>
  <c r="Q64" i="19"/>
  <c r="P65" i="19"/>
  <c r="Q65" i="19"/>
  <c r="P66" i="19"/>
  <c r="Q66" i="19"/>
  <c r="P67" i="19"/>
  <c r="Q67" i="19"/>
  <c r="R67" i="19" s="1"/>
  <c r="P68" i="19"/>
  <c r="Q68" i="19"/>
  <c r="P69" i="19"/>
  <c r="Q69" i="19"/>
  <c r="P70" i="19"/>
  <c r="Q70" i="19"/>
  <c r="P71" i="19"/>
  <c r="Q71" i="19"/>
  <c r="P72" i="19"/>
  <c r="Q72" i="19"/>
  <c r="P73" i="19"/>
  <c r="Q73" i="19"/>
  <c r="P74" i="19"/>
  <c r="Q74" i="19"/>
  <c r="P75" i="19"/>
  <c r="Q75" i="19"/>
  <c r="P76" i="19"/>
  <c r="Q76" i="19"/>
  <c r="P77" i="19"/>
  <c r="Q77" i="19"/>
  <c r="P78" i="19"/>
  <c r="Q78" i="19"/>
  <c r="P79" i="19"/>
  <c r="Q79" i="19"/>
  <c r="P80" i="19"/>
  <c r="Q80" i="19"/>
  <c r="P81" i="19"/>
  <c r="Q81" i="19"/>
  <c r="P82" i="19"/>
  <c r="Q82" i="19"/>
  <c r="R82" i="19" s="1"/>
  <c r="P83" i="19"/>
  <c r="Q83" i="19"/>
  <c r="P84" i="19"/>
  <c r="Q84" i="19"/>
  <c r="P85" i="19"/>
  <c r="Q85" i="19"/>
  <c r="P86" i="19"/>
  <c r="Q86" i="19"/>
  <c r="P87" i="19"/>
  <c r="Q87" i="19"/>
  <c r="P88" i="19"/>
  <c r="Q88" i="19"/>
  <c r="P89" i="19"/>
  <c r="Q89" i="19"/>
  <c r="P90" i="19"/>
  <c r="Q90" i="19"/>
  <c r="P91" i="19"/>
  <c r="Q91" i="19"/>
  <c r="P92" i="19"/>
  <c r="Q92" i="19"/>
  <c r="P93" i="19"/>
  <c r="Q93" i="19"/>
  <c r="P94" i="19"/>
  <c r="Q94" i="19"/>
  <c r="P95" i="19"/>
  <c r="Q95" i="19"/>
  <c r="P96" i="19"/>
  <c r="Q96" i="19"/>
  <c r="P97" i="19"/>
  <c r="Q97" i="19"/>
  <c r="P98" i="19"/>
  <c r="Q98" i="19"/>
  <c r="R98" i="19" s="1"/>
  <c r="P99" i="19"/>
  <c r="Q99" i="19"/>
  <c r="M5" i="19"/>
  <c r="N5" i="19"/>
  <c r="M6" i="19"/>
  <c r="N6" i="19"/>
  <c r="M7" i="19"/>
  <c r="N7" i="19"/>
  <c r="M8" i="19"/>
  <c r="N8" i="19"/>
  <c r="M9" i="19"/>
  <c r="N9" i="19"/>
  <c r="M10" i="19"/>
  <c r="N10" i="19"/>
  <c r="M11" i="19"/>
  <c r="N11" i="19"/>
  <c r="M12" i="19"/>
  <c r="N12" i="19"/>
  <c r="M13" i="19"/>
  <c r="N13" i="19"/>
  <c r="M14" i="19"/>
  <c r="O14" i="19" s="1"/>
  <c r="N14" i="19"/>
  <c r="M15" i="19"/>
  <c r="N15" i="19"/>
  <c r="M16" i="19"/>
  <c r="O16" i="19" s="1"/>
  <c r="N16" i="19"/>
  <c r="M17" i="19"/>
  <c r="N17" i="19"/>
  <c r="M18" i="19"/>
  <c r="N18" i="19"/>
  <c r="M19" i="19"/>
  <c r="N19" i="19"/>
  <c r="M20" i="19"/>
  <c r="N20" i="19"/>
  <c r="M21" i="19"/>
  <c r="N21" i="19"/>
  <c r="M22" i="19"/>
  <c r="N22" i="19"/>
  <c r="M23" i="19"/>
  <c r="N23" i="19"/>
  <c r="M24" i="19"/>
  <c r="N24" i="19"/>
  <c r="M25" i="19"/>
  <c r="N25" i="19"/>
  <c r="M26" i="19"/>
  <c r="O26" i="19" s="1"/>
  <c r="N26" i="19"/>
  <c r="M27" i="19"/>
  <c r="N27" i="19"/>
  <c r="M28" i="19"/>
  <c r="N28" i="19"/>
  <c r="M29" i="19"/>
  <c r="N29" i="19"/>
  <c r="M30" i="19"/>
  <c r="N30" i="19"/>
  <c r="M31" i="19"/>
  <c r="N31" i="19"/>
  <c r="M32" i="19"/>
  <c r="N32" i="19"/>
  <c r="M33" i="19"/>
  <c r="N33" i="19"/>
  <c r="M34" i="19"/>
  <c r="N34" i="19"/>
  <c r="M35" i="19"/>
  <c r="N35" i="19"/>
  <c r="M36" i="19"/>
  <c r="N36" i="19"/>
  <c r="M37" i="19"/>
  <c r="N37" i="19"/>
  <c r="M38" i="19"/>
  <c r="N38" i="19"/>
  <c r="M39" i="19"/>
  <c r="N39" i="19"/>
  <c r="M40" i="19"/>
  <c r="N40" i="19"/>
  <c r="M41" i="19"/>
  <c r="N41" i="19"/>
  <c r="M42" i="19"/>
  <c r="O42" i="19" s="1"/>
  <c r="N42" i="19"/>
  <c r="M43" i="19"/>
  <c r="N43" i="19"/>
  <c r="M44" i="19"/>
  <c r="N44" i="19"/>
  <c r="M45" i="19"/>
  <c r="N45" i="19"/>
  <c r="M46" i="19"/>
  <c r="O46" i="19" s="1"/>
  <c r="N46" i="19"/>
  <c r="M47" i="19"/>
  <c r="N47" i="19"/>
  <c r="M48" i="19"/>
  <c r="N48" i="19"/>
  <c r="M49" i="19"/>
  <c r="N49" i="19"/>
  <c r="M50" i="19"/>
  <c r="N50" i="19"/>
  <c r="M51" i="19"/>
  <c r="N51" i="19"/>
  <c r="N52" i="19"/>
  <c r="M53" i="19"/>
  <c r="N53" i="19"/>
  <c r="M54" i="19"/>
  <c r="N54" i="19"/>
  <c r="M55" i="19"/>
  <c r="N55" i="19"/>
  <c r="M56" i="19"/>
  <c r="O56" i="19" s="1"/>
  <c r="N56" i="19"/>
  <c r="M57" i="19"/>
  <c r="N57" i="19"/>
  <c r="M58" i="19"/>
  <c r="N58" i="19"/>
  <c r="M59" i="19"/>
  <c r="N59" i="19"/>
  <c r="M60" i="19"/>
  <c r="N60" i="19"/>
  <c r="M61" i="19"/>
  <c r="N61" i="19"/>
  <c r="M62" i="19"/>
  <c r="N62" i="19"/>
  <c r="M63" i="19"/>
  <c r="N63" i="19"/>
  <c r="M64" i="19"/>
  <c r="N64" i="19"/>
  <c r="M65" i="19"/>
  <c r="N65" i="19"/>
  <c r="M66" i="19"/>
  <c r="N66" i="19"/>
  <c r="M67" i="19"/>
  <c r="N67" i="19"/>
  <c r="M68" i="19"/>
  <c r="N68" i="19"/>
  <c r="M69" i="19"/>
  <c r="N69" i="19"/>
  <c r="M70" i="19"/>
  <c r="N70" i="19"/>
  <c r="M71" i="19"/>
  <c r="N71" i="19"/>
  <c r="M72" i="19"/>
  <c r="N72" i="19"/>
  <c r="M73" i="19"/>
  <c r="N73" i="19"/>
  <c r="M74" i="19"/>
  <c r="N74" i="19"/>
  <c r="M75" i="19"/>
  <c r="N75" i="19"/>
  <c r="M76" i="19"/>
  <c r="N76" i="19"/>
  <c r="M77" i="19"/>
  <c r="N77" i="19"/>
  <c r="M78" i="19"/>
  <c r="N78" i="19"/>
  <c r="M79" i="19"/>
  <c r="N79" i="19"/>
  <c r="M80" i="19"/>
  <c r="N80" i="19"/>
  <c r="M81" i="19"/>
  <c r="N81" i="19"/>
  <c r="M82" i="19"/>
  <c r="N82" i="19"/>
  <c r="M83" i="19"/>
  <c r="N83" i="19"/>
  <c r="M84" i="19"/>
  <c r="N84" i="19"/>
  <c r="M85" i="19"/>
  <c r="N85" i="19"/>
  <c r="M86" i="19"/>
  <c r="N86" i="19"/>
  <c r="M87" i="19"/>
  <c r="N87" i="19"/>
  <c r="M88" i="19"/>
  <c r="N88" i="19"/>
  <c r="M89" i="19"/>
  <c r="N89" i="19"/>
  <c r="M90" i="19"/>
  <c r="O90" i="19" s="1"/>
  <c r="N90" i="19"/>
  <c r="M91" i="19"/>
  <c r="N91" i="19"/>
  <c r="M92" i="19"/>
  <c r="N92" i="19"/>
  <c r="M93" i="19"/>
  <c r="N93" i="19"/>
  <c r="M94" i="19"/>
  <c r="N94" i="19"/>
  <c r="M95" i="19"/>
  <c r="N95" i="19"/>
  <c r="M96" i="19"/>
  <c r="N96" i="19"/>
  <c r="M97" i="19"/>
  <c r="N97" i="19"/>
  <c r="M98" i="19"/>
  <c r="N98" i="19"/>
  <c r="M99" i="19"/>
  <c r="N99" i="19"/>
  <c r="J5" i="19"/>
  <c r="K5" i="19"/>
  <c r="J6" i="19"/>
  <c r="K6" i="19"/>
  <c r="J7" i="19"/>
  <c r="K7" i="19"/>
  <c r="J8" i="19"/>
  <c r="K8" i="19"/>
  <c r="J9" i="19"/>
  <c r="L9" i="19" s="1"/>
  <c r="K9" i="19"/>
  <c r="J10" i="19"/>
  <c r="K10" i="19"/>
  <c r="L10" i="19" s="1"/>
  <c r="J11" i="19"/>
  <c r="K11" i="19"/>
  <c r="J12" i="19"/>
  <c r="K12" i="19"/>
  <c r="J13" i="19"/>
  <c r="K13" i="19"/>
  <c r="J14" i="19"/>
  <c r="K14" i="19"/>
  <c r="L14" i="19" s="1"/>
  <c r="J15" i="19"/>
  <c r="K15" i="19"/>
  <c r="L15" i="19" s="1"/>
  <c r="J16" i="19"/>
  <c r="K16" i="19"/>
  <c r="J17" i="19"/>
  <c r="L17" i="19" s="1"/>
  <c r="K17" i="19"/>
  <c r="J18" i="19"/>
  <c r="L18" i="19" s="1"/>
  <c r="K18" i="19"/>
  <c r="J19" i="19"/>
  <c r="K19" i="19"/>
  <c r="L19" i="19" s="1"/>
  <c r="J20" i="19"/>
  <c r="K20" i="19"/>
  <c r="J21" i="19"/>
  <c r="K21" i="19"/>
  <c r="J22" i="19"/>
  <c r="K22" i="19"/>
  <c r="J23" i="19"/>
  <c r="K23" i="19"/>
  <c r="J24" i="19"/>
  <c r="K24" i="19"/>
  <c r="J25" i="19"/>
  <c r="L25" i="19" s="1"/>
  <c r="K25" i="19"/>
  <c r="J26" i="19"/>
  <c r="K26" i="19"/>
  <c r="J27" i="19"/>
  <c r="K27" i="19"/>
  <c r="J28" i="19"/>
  <c r="K28" i="19"/>
  <c r="J29" i="19"/>
  <c r="K29" i="19"/>
  <c r="J30" i="19"/>
  <c r="K30" i="19"/>
  <c r="J31" i="19"/>
  <c r="K31" i="19"/>
  <c r="J32" i="19"/>
  <c r="K32" i="19"/>
  <c r="J33" i="19"/>
  <c r="K33" i="19"/>
  <c r="J34" i="19"/>
  <c r="K34" i="19"/>
  <c r="J35" i="19"/>
  <c r="K35" i="19"/>
  <c r="J36" i="19"/>
  <c r="K36" i="19"/>
  <c r="J37" i="19"/>
  <c r="K37" i="19"/>
  <c r="J38" i="19"/>
  <c r="K38" i="19"/>
  <c r="J39" i="19"/>
  <c r="K39" i="19"/>
  <c r="J40" i="19"/>
  <c r="K40" i="19"/>
  <c r="J41" i="19"/>
  <c r="L41" i="19" s="1"/>
  <c r="K41" i="19"/>
  <c r="J42" i="19"/>
  <c r="L42" i="19" s="1"/>
  <c r="K42" i="19"/>
  <c r="J43" i="19"/>
  <c r="K43" i="19"/>
  <c r="J44" i="19"/>
  <c r="K44" i="19"/>
  <c r="J45" i="19"/>
  <c r="K45" i="19"/>
  <c r="J46" i="19"/>
  <c r="K46" i="19"/>
  <c r="L46" i="19" s="1"/>
  <c r="J47" i="19"/>
  <c r="K47" i="19"/>
  <c r="J48" i="19"/>
  <c r="K48" i="19"/>
  <c r="J49" i="19"/>
  <c r="L49" i="19" s="1"/>
  <c r="K49" i="19"/>
  <c r="J50" i="19"/>
  <c r="L50" i="19" s="1"/>
  <c r="K50" i="19"/>
  <c r="J51" i="19"/>
  <c r="K51" i="19"/>
  <c r="J52" i="19"/>
  <c r="K52" i="19"/>
  <c r="J53" i="19"/>
  <c r="K53" i="19"/>
  <c r="J54" i="19"/>
  <c r="K54" i="19"/>
  <c r="L54" i="19" s="1"/>
  <c r="J55" i="19"/>
  <c r="K55" i="19"/>
  <c r="J56" i="19"/>
  <c r="K56" i="19"/>
  <c r="L56" i="19" s="1"/>
  <c r="J57" i="19"/>
  <c r="L57" i="19" s="1"/>
  <c r="K57" i="19"/>
  <c r="J58" i="19"/>
  <c r="K58" i="19"/>
  <c r="L58" i="19" s="1"/>
  <c r="J59" i="19"/>
  <c r="K59" i="19"/>
  <c r="J60" i="19"/>
  <c r="K60" i="19"/>
  <c r="J61" i="19"/>
  <c r="K61" i="19"/>
  <c r="J62" i="19"/>
  <c r="K62" i="19"/>
  <c r="L62" i="19" s="1"/>
  <c r="J63" i="19"/>
  <c r="L63" i="19" s="1"/>
  <c r="K63" i="19"/>
  <c r="J64" i="19"/>
  <c r="K64" i="19"/>
  <c r="J65" i="19"/>
  <c r="K65" i="19"/>
  <c r="J66" i="19"/>
  <c r="K66" i="19"/>
  <c r="J67" i="19"/>
  <c r="K67" i="19"/>
  <c r="J68" i="19"/>
  <c r="K68" i="19"/>
  <c r="J69" i="19"/>
  <c r="K69" i="19"/>
  <c r="J70" i="19"/>
  <c r="K70" i="19"/>
  <c r="J71" i="19"/>
  <c r="K71" i="19"/>
  <c r="J72" i="19"/>
  <c r="K72" i="19"/>
  <c r="J73" i="19"/>
  <c r="K73" i="19"/>
  <c r="J74" i="19"/>
  <c r="L74" i="19" s="1"/>
  <c r="K74" i="19"/>
  <c r="J75" i="19"/>
  <c r="K75" i="19"/>
  <c r="J76" i="19"/>
  <c r="K76" i="19"/>
  <c r="J77" i="19"/>
  <c r="K77" i="19"/>
  <c r="J78" i="19"/>
  <c r="K78" i="19"/>
  <c r="J79" i="19"/>
  <c r="K79" i="19"/>
  <c r="J80" i="19"/>
  <c r="K80" i="19"/>
  <c r="J81" i="19"/>
  <c r="K81" i="19"/>
  <c r="J82" i="19"/>
  <c r="K82" i="19"/>
  <c r="J83" i="19"/>
  <c r="K83" i="19"/>
  <c r="J84" i="19"/>
  <c r="K84" i="19"/>
  <c r="J85" i="19"/>
  <c r="K85" i="19"/>
  <c r="J86" i="19"/>
  <c r="K86" i="19"/>
  <c r="J87" i="19"/>
  <c r="K87" i="19"/>
  <c r="J88" i="19"/>
  <c r="K88" i="19"/>
  <c r="J89" i="19"/>
  <c r="K89" i="19"/>
  <c r="J90" i="19"/>
  <c r="K90" i="19"/>
  <c r="J91" i="19"/>
  <c r="K91" i="19"/>
  <c r="J92" i="19"/>
  <c r="K92" i="19"/>
  <c r="J93" i="19"/>
  <c r="L93" i="19" s="1"/>
  <c r="K93" i="19"/>
  <c r="J94" i="19"/>
  <c r="K94" i="19"/>
  <c r="J95" i="19"/>
  <c r="K95" i="19"/>
  <c r="J96" i="19"/>
  <c r="K96" i="19"/>
  <c r="J97" i="19"/>
  <c r="K97" i="19"/>
  <c r="J98" i="19"/>
  <c r="K98" i="19"/>
  <c r="J99" i="19"/>
  <c r="K99" i="19"/>
  <c r="G5" i="19"/>
  <c r="H5" i="19"/>
  <c r="G6" i="19"/>
  <c r="H6" i="19"/>
  <c r="G7" i="19"/>
  <c r="H7" i="19"/>
  <c r="G8" i="19"/>
  <c r="H8" i="19"/>
  <c r="G9" i="19"/>
  <c r="H9" i="19"/>
  <c r="G10" i="19"/>
  <c r="I10" i="19" s="1"/>
  <c r="H10" i="19"/>
  <c r="G11" i="19"/>
  <c r="H11" i="19"/>
  <c r="G12" i="19"/>
  <c r="H12" i="19"/>
  <c r="G13" i="19"/>
  <c r="H13" i="19"/>
  <c r="G14" i="19"/>
  <c r="I14" i="19" s="1"/>
  <c r="H14" i="19"/>
  <c r="G15" i="19"/>
  <c r="H15" i="19"/>
  <c r="G16" i="19"/>
  <c r="H16" i="19"/>
  <c r="G17" i="19"/>
  <c r="H17" i="19"/>
  <c r="G18" i="19"/>
  <c r="I18" i="19" s="1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I26" i="19" s="1"/>
  <c r="H26" i="19"/>
  <c r="G27" i="19"/>
  <c r="H27" i="19"/>
  <c r="G28" i="19"/>
  <c r="H28" i="19"/>
  <c r="G29" i="19"/>
  <c r="H29" i="19"/>
  <c r="G30" i="19"/>
  <c r="H30" i="19"/>
  <c r="G31" i="19"/>
  <c r="H31" i="19"/>
  <c r="G32" i="19"/>
  <c r="H32" i="19"/>
  <c r="G33" i="19"/>
  <c r="H33" i="19"/>
  <c r="G34" i="19"/>
  <c r="H34" i="19"/>
  <c r="G35" i="19"/>
  <c r="H35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I42" i="19" s="1"/>
  <c r="H42" i="19"/>
  <c r="G43" i="19"/>
  <c r="H43" i="19"/>
  <c r="G44" i="19"/>
  <c r="H44" i="19"/>
  <c r="G45" i="19"/>
  <c r="H45" i="19"/>
  <c r="G46" i="19"/>
  <c r="I46" i="19" s="1"/>
  <c r="Z46" i="19" s="1"/>
  <c r="H46" i="19"/>
  <c r="G47" i="19"/>
  <c r="H47" i="19"/>
  <c r="G48" i="19"/>
  <c r="H48" i="19"/>
  <c r="G49" i="19"/>
  <c r="H49" i="19"/>
  <c r="G50" i="19"/>
  <c r="I50" i="19" s="1"/>
  <c r="H50" i="19"/>
  <c r="G51" i="19"/>
  <c r="H51" i="19"/>
  <c r="G52" i="19"/>
  <c r="H52" i="19"/>
  <c r="G53" i="19"/>
  <c r="H53" i="19"/>
  <c r="G54" i="19"/>
  <c r="I54" i="19" s="1"/>
  <c r="H54" i="19"/>
  <c r="G55" i="19"/>
  <c r="H55" i="19"/>
  <c r="G56" i="19"/>
  <c r="H56" i="19"/>
  <c r="G57" i="19"/>
  <c r="H57" i="19"/>
  <c r="G58" i="19"/>
  <c r="I58" i="19" s="1"/>
  <c r="H58" i="19"/>
  <c r="G59" i="19"/>
  <c r="I59" i="19" s="1"/>
  <c r="H59" i="19"/>
  <c r="G60" i="19"/>
  <c r="H60" i="19"/>
  <c r="G61" i="19"/>
  <c r="H61" i="19"/>
  <c r="G62" i="19"/>
  <c r="I62" i="19" s="1"/>
  <c r="H62" i="19"/>
  <c r="G63" i="19"/>
  <c r="H63" i="19"/>
  <c r="G64" i="19"/>
  <c r="H64" i="19"/>
  <c r="G65" i="19"/>
  <c r="H65" i="19"/>
  <c r="G66" i="19"/>
  <c r="H66" i="19"/>
  <c r="G67" i="19"/>
  <c r="H67" i="19"/>
  <c r="G68" i="19"/>
  <c r="H68" i="19"/>
  <c r="G69" i="19"/>
  <c r="H69" i="19"/>
  <c r="G70" i="19"/>
  <c r="I70" i="19" s="1"/>
  <c r="H70" i="19"/>
  <c r="G71" i="19"/>
  <c r="H71" i="19"/>
  <c r="G72" i="19"/>
  <c r="H72" i="19"/>
  <c r="G73" i="19"/>
  <c r="H73" i="19"/>
  <c r="G74" i="19"/>
  <c r="H74" i="19"/>
  <c r="G75" i="19"/>
  <c r="H75" i="19"/>
  <c r="G76" i="19"/>
  <c r="H76" i="19"/>
  <c r="G77" i="19"/>
  <c r="H77" i="19"/>
  <c r="G78" i="19"/>
  <c r="H78" i="19"/>
  <c r="G79" i="19"/>
  <c r="H79" i="19"/>
  <c r="G80" i="19"/>
  <c r="H80" i="19"/>
  <c r="G81" i="19"/>
  <c r="H81" i="19"/>
  <c r="G82" i="19"/>
  <c r="H82" i="19"/>
  <c r="G83" i="19"/>
  <c r="H83" i="19"/>
  <c r="G84" i="19"/>
  <c r="H84" i="19"/>
  <c r="G85" i="19"/>
  <c r="H85" i="19"/>
  <c r="G86" i="19"/>
  <c r="I86" i="19" s="1"/>
  <c r="H86" i="19"/>
  <c r="G87" i="19"/>
  <c r="H87" i="19"/>
  <c r="G88" i="19"/>
  <c r="H88" i="19"/>
  <c r="G89" i="19"/>
  <c r="H89" i="19"/>
  <c r="G90" i="19"/>
  <c r="H90" i="19"/>
  <c r="G91" i="19"/>
  <c r="H91" i="19"/>
  <c r="G92" i="19"/>
  <c r="H92" i="19"/>
  <c r="G93" i="19"/>
  <c r="H93" i="19"/>
  <c r="G94" i="19"/>
  <c r="I94" i="19" s="1"/>
  <c r="H94" i="19"/>
  <c r="G95" i="19"/>
  <c r="H95" i="19"/>
  <c r="G96" i="19"/>
  <c r="H96" i="19"/>
  <c r="G97" i="19"/>
  <c r="H97" i="19"/>
  <c r="G98" i="19"/>
  <c r="H98" i="19"/>
  <c r="G99" i="19"/>
  <c r="H99" i="19"/>
  <c r="H4" i="19"/>
  <c r="J4" i="19"/>
  <c r="K4" i="19"/>
  <c r="M4" i="19"/>
  <c r="N4" i="19"/>
  <c r="P4" i="19"/>
  <c r="Q4" i="19"/>
  <c r="S4" i="19"/>
  <c r="S100" i="19" s="1"/>
  <c r="T4" i="19"/>
  <c r="T100" i="19" s="1"/>
  <c r="V4" i="19"/>
  <c r="V100" i="19" s="1"/>
  <c r="W4" i="19"/>
  <c r="W100" i="19" s="1"/>
  <c r="Y4" i="19"/>
  <c r="G4" i="19"/>
  <c r="E4" i="19"/>
  <c r="E5" i="19"/>
  <c r="D5" i="19"/>
  <c r="F17" i="19"/>
  <c r="D4" i="19"/>
  <c r="X99" i="19"/>
  <c r="U99" i="19"/>
  <c r="X98" i="19"/>
  <c r="U98" i="19"/>
  <c r="X97" i="19"/>
  <c r="U97" i="19"/>
  <c r="X96" i="19"/>
  <c r="U96" i="19"/>
  <c r="X95" i="19"/>
  <c r="U95" i="19"/>
  <c r="X94" i="19"/>
  <c r="U94" i="19"/>
  <c r="X93" i="19"/>
  <c r="U93" i="19"/>
  <c r="X92" i="19"/>
  <c r="U92" i="19"/>
  <c r="X91" i="19"/>
  <c r="U91" i="19"/>
  <c r="X90" i="19"/>
  <c r="U90" i="19"/>
  <c r="X89" i="19"/>
  <c r="U89" i="19"/>
  <c r="X88" i="19"/>
  <c r="U88" i="19"/>
  <c r="X87" i="19"/>
  <c r="U87" i="19"/>
  <c r="X86" i="19"/>
  <c r="U86" i="19"/>
  <c r="X85" i="19"/>
  <c r="U85" i="19"/>
  <c r="X84" i="19"/>
  <c r="U84" i="19"/>
  <c r="X83" i="19"/>
  <c r="U83" i="19"/>
  <c r="X82" i="19"/>
  <c r="U82" i="19"/>
  <c r="X81" i="19"/>
  <c r="U81" i="19"/>
  <c r="X80" i="19"/>
  <c r="U80" i="19"/>
  <c r="X79" i="19"/>
  <c r="U79" i="19"/>
  <c r="X78" i="19"/>
  <c r="U78" i="19"/>
  <c r="X77" i="19"/>
  <c r="U77" i="19"/>
  <c r="X76" i="19"/>
  <c r="U76" i="19"/>
  <c r="X75" i="19"/>
  <c r="U75" i="19"/>
  <c r="X74" i="19"/>
  <c r="U74" i="19"/>
  <c r="X73" i="19"/>
  <c r="U73" i="19"/>
  <c r="X72" i="19"/>
  <c r="U72" i="19"/>
  <c r="X71" i="19"/>
  <c r="U71" i="19"/>
  <c r="X70" i="19"/>
  <c r="U70" i="19"/>
  <c r="X69" i="19"/>
  <c r="U69" i="19"/>
  <c r="X68" i="19"/>
  <c r="U68" i="19"/>
  <c r="X67" i="19"/>
  <c r="U67" i="19"/>
  <c r="X66" i="19"/>
  <c r="U66" i="19"/>
  <c r="X65" i="19"/>
  <c r="U65" i="19"/>
  <c r="X64" i="19"/>
  <c r="U64" i="19"/>
  <c r="X63" i="19"/>
  <c r="U63" i="19"/>
  <c r="X62" i="19"/>
  <c r="U62" i="19"/>
  <c r="X61" i="19"/>
  <c r="U61" i="19"/>
  <c r="X60" i="19"/>
  <c r="U60" i="19"/>
  <c r="X59" i="19"/>
  <c r="U59" i="19"/>
  <c r="X58" i="19"/>
  <c r="U58" i="19"/>
  <c r="X57" i="19"/>
  <c r="U57" i="19"/>
  <c r="R57" i="19"/>
  <c r="X56" i="19"/>
  <c r="U56" i="19"/>
  <c r="X55" i="19"/>
  <c r="U55" i="19"/>
  <c r="X54" i="19"/>
  <c r="U54" i="19"/>
  <c r="X53" i="19"/>
  <c r="U53" i="19"/>
  <c r="X52" i="19"/>
  <c r="U52" i="19"/>
  <c r="X51" i="19"/>
  <c r="U51" i="19"/>
  <c r="X50" i="19"/>
  <c r="U50" i="19"/>
  <c r="O50" i="19"/>
  <c r="X49" i="19"/>
  <c r="U49" i="19"/>
  <c r="O49" i="19"/>
  <c r="X48" i="19"/>
  <c r="U48" i="19"/>
  <c r="X47" i="19"/>
  <c r="U47" i="19"/>
  <c r="F47" i="19"/>
  <c r="X46" i="19"/>
  <c r="U46" i="19"/>
  <c r="R46" i="19"/>
  <c r="F46" i="19"/>
  <c r="X45" i="19"/>
  <c r="U45" i="19"/>
  <c r="X44" i="19"/>
  <c r="U44" i="19"/>
  <c r="X43" i="19"/>
  <c r="U43" i="19"/>
  <c r="R43" i="19"/>
  <c r="X42" i="19"/>
  <c r="U42" i="19"/>
  <c r="X41" i="19"/>
  <c r="U41" i="19"/>
  <c r="R41" i="19"/>
  <c r="O41" i="19"/>
  <c r="F41" i="19"/>
  <c r="X40" i="19"/>
  <c r="U40" i="19"/>
  <c r="X39" i="19"/>
  <c r="U39" i="19"/>
  <c r="X38" i="19"/>
  <c r="U38" i="19"/>
  <c r="X37" i="19"/>
  <c r="U37" i="19"/>
  <c r="X36" i="19"/>
  <c r="U36" i="19"/>
  <c r="X35" i="19"/>
  <c r="U35" i="19"/>
  <c r="X34" i="19"/>
  <c r="U34" i="19"/>
  <c r="X33" i="19"/>
  <c r="U33" i="19"/>
  <c r="O33" i="19"/>
  <c r="X32" i="19"/>
  <c r="U32" i="19"/>
  <c r="X31" i="19"/>
  <c r="U31" i="19"/>
  <c r="X30" i="19"/>
  <c r="U30" i="19"/>
  <c r="X29" i="19"/>
  <c r="U29" i="19"/>
  <c r="X28" i="19"/>
  <c r="U28" i="19"/>
  <c r="X27" i="19"/>
  <c r="U27" i="19"/>
  <c r="X26" i="19"/>
  <c r="U26" i="19"/>
  <c r="X25" i="19"/>
  <c r="U25" i="19"/>
  <c r="F25" i="19"/>
  <c r="X24" i="19"/>
  <c r="U24" i="19"/>
  <c r="X23" i="19"/>
  <c r="U23" i="19"/>
  <c r="X22" i="19"/>
  <c r="U22" i="19"/>
  <c r="X21" i="19"/>
  <c r="U21" i="19"/>
  <c r="X20" i="19"/>
  <c r="U20" i="19"/>
  <c r="X19" i="19"/>
  <c r="U19" i="19"/>
  <c r="X18" i="19"/>
  <c r="U18" i="19"/>
  <c r="O18" i="19"/>
  <c r="X17" i="19"/>
  <c r="U17" i="19"/>
  <c r="O17" i="19"/>
  <c r="X16" i="19"/>
  <c r="U16" i="19"/>
  <c r="R16" i="19"/>
  <c r="X15" i="19"/>
  <c r="U15" i="19"/>
  <c r="X14" i="19"/>
  <c r="U14" i="19"/>
  <c r="F14" i="19"/>
  <c r="X13" i="19"/>
  <c r="U13" i="19"/>
  <c r="X12" i="19"/>
  <c r="U12" i="19"/>
  <c r="L12" i="19"/>
  <c r="F12" i="19"/>
  <c r="X11" i="19"/>
  <c r="U11" i="19"/>
  <c r="X10" i="19"/>
  <c r="U10" i="19"/>
  <c r="O10" i="19"/>
  <c r="X9" i="19"/>
  <c r="U9" i="19"/>
  <c r="R9" i="19"/>
  <c r="O9" i="19"/>
  <c r="F9" i="19"/>
  <c r="X8" i="19"/>
  <c r="U8" i="19"/>
  <c r="X7" i="19"/>
  <c r="U7" i="19"/>
  <c r="X6" i="19"/>
  <c r="U6" i="19"/>
  <c r="X5" i="19"/>
  <c r="U5" i="19"/>
  <c r="O57" i="13"/>
  <c r="O61" i="13"/>
  <c r="O63" i="13"/>
  <c r="AD100" i="18"/>
  <c r="AB100" i="18"/>
  <c r="AA100" i="18"/>
  <c r="Y100" i="18"/>
  <c r="W100" i="18"/>
  <c r="V100" i="18"/>
  <c r="T100" i="18"/>
  <c r="S100" i="18"/>
  <c r="Q100" i="18"/>
  <c r="P100" i="18"/>
  <c r="N100" i="18"/>
  <c r="M100" i="18"/>
  <c r="K100" i="18"/>
  <c r="J100" i="18"/>
  <c r="H100" i="18"/>
  <c r="G100" i="18"/>
  <c r="E100" i="18"/>
  <c r="D100" i="18"/>
  <c r="Z99" i="18"/>
  <c r="AC99" i="18" s="1"/>
  <c r="AG99" i="18" s="1"/>
  <c r="X99" i="18"/>
  <c r="U99" i="18"/>
  <c r="R99" i="18"/>
  <c r="O99" i="18"/>
  <c r="L99" i="18"/>
  <c r="I99" i="18"/>
  <c r="F99" i="18"/>
  <c r="X98" i="18"/>
  <c r="U98" i="18"/>
  <c r="R98" i="18"/>
  <c r="O98" i="18"/>
  <c r="L98" i="18"/>
  <c r="I98" i="18"/>
  <c r="F98" i="18"/>
  <c r="X97" i="18"/>
  <c r="U97" i="18"/>
  <c r="R97" i="18"/>
  <c r="O97" i="18"/>
  <c r="L97" i="18"/>
  <c r="I97" i="18"/>
  <c r="F97" i="18"/>
  <c r="X96" i="18"/>
  <c r="U96" i="18"/>
  <c r="R96" i="18"/>
  <c r="O96" i="18"/>
  <c r="L96" i="18"/>
  <c r="I96" i="18"/>
  <c r="F96" i="18"/>
  <c r="X95" i="18"/>
  <c r="U95" i="18"/>
  <c r="R95" i="18"/>
  <c r="O95" i="18"/>
  <c r="L95" i="18"/>
  <c r="I95" i="18"/>
  <c r="F95" i="18"/>
  <c r="X94" i="18"/>
  <c r="U94" i="18"/>
  <c r="R94" i="18"/>
  <c r="O94" i="18"/>
  <c r="L94" i="18"/>
  <c r="I94" i="18"/>
  <c r="F94" i="18"/>
  <c r="X93" i="18"/>
  <c r="U93" i="18"/>
  <c r="R93" i="18"/>
  <c r="O93" i="18"/>
  <c r="L93" i="18"/>
  <c r="I93" i="18"/>
  <c r="F93" i="18"/>
  <c r="X92" i="18"/>
  <c r="U92" i="18"/>
  <c r="R92" i="18"/>
  <c r="O92" i="18"/>
  <c r="L92" i="18"/>
  <c r="I92" i="18"/>
  <c r="F92" i="18"/>
  <c r="X91" i="18"/>
  <c r="U91" i="18"/>
  <c r="R91" i="18"/>
  <c r="O91" i="18"/>
  <c r="L91" i="18"/>
  <c r="I91" i="18"/>
  <c r="F91" i="18"/>
  <c r="X90" i="18"/>
  <c r="U90" i="18"/>
  <c r="R90" i="18"/>
  <c r="O90" i="18"/>
  <c r="L90" i="18"/>
  <c r="I90" i="18"/>
  <c r="F90" i="18"/>
  <c r="X89" i="18"/>
  <c r="U89" i="18"/>
  <c r="R89" i="18"/>
  <c r="O89" i="18"/>
  <c r="L89" i="18"/>
  <c r="I89" i="18"/>
  <c r="F89" i="18"/>
  <c r="X88" i="18"/>
  <c r="U88" i="18"/>
  <c r="R88" i="18"/>
  <c r="O88" i="18"/>
  <c r="L88" i="18"/>
  <c r="I88" i="18"/>
  <c r="F88" i="18"/>
  <c r="X87" i="18"/>
  <c r="U87" i="18"/>
  <c r="R87" i="18"/>
  <c r="O87" i="18"/>
  <c r="L87" i="18"/>
  <c r="I87" i="18"/>
  <c r="F87" i="18"/>
  <c r="Z87" i="18" s="1"/>
  <c r="AC87" i="18" s="1"/>
  <c r="AG87" i="18" s="1"/>
  <c r="X86" i="18"/>
  <c r="U86" i="18"/>
  <c r="R86" i="18"/>
  <c r="O86" i="18"/>
  <c r="L86" i="18"/>
  <c r="I86" i="18"/>
  <c r="F86" i="18"/>
  <c r="X85" i="18"/>
  <c r="U85" i="18"/>
  <c r="R85" i="18"/>
  <c r="O85" i="18"/>
  <c r="L85" i="18"/>
  <c r="I85" i="18"/>
  <c r="F85" i="18"/>
  <c r="X84" i="18"/>
  <c r="U84" i="18"/>
  <c r="R84" i="18"/>
  <c r="O84" i="18"/>
  <c r="L84" i="18"/>
  <c r="I84" i="18"/>
  <c r="F84" i="18"/>
  <c r="X83" i="18"/>
  <c r="U83" i="18"/>
  <c r="R83" i="18"/>
  <c r="O83" i="18"/>
  <c r="L83" i="18"/>
  <c r="I83" i="18"/>
  <c r="F83" i="18"/>
  <c r="X82" i="18"/>
  <c r="U82" i="18"/>
  <c r="R82" i="18"/>
  <c r="O82" i="18"/>
  <c r="L82" i="18"/>
  <c r="I82" i="18"/>
  <c r="F82" i="18"/>
  <c r="Z82" i="18" s="1"/>
  <c r="AC82" i="18" s="1"/>
  <c r="AG82" i="18" s="1"/>
  <c r="X81" i="18"/>
  <c r="U81" i="18"/>
  <c r="R81" i="18"/>
  <c r="O81" i="18"/>
  <c r="L81" i="18"/>
  <c r="I81" i="18"/>
  <c r="F81" i="18"/>
  <c r="X80" i="18"/>
  <c r="U80" i="18"/>
  <c r="R80" i="18"/>
  <c r="O80" i="18"/>
  <c r="L80" i="18"/>
  <c r="I80" i="18"/>
  <c r="F80" i="18"/>
  <c r="X79" i="18"/>
  <c r="U79" i="18"/>
  <c r="R79" i="18"/>
  <c r="O79" i="18"/>
  <c r="L79" i="18"/>
  <c r="I79" i="18"/>
  <c r="F79" i="18"/>
  <c r="X78" i="18"/>
  <c r="U78" i="18"/>
  <c r="R78" i="18"/>
  <c r="O78" i="18"/>
  <c r="L78" i="18"/>
  <c r="I78" i="18"/>
  <c r="F78" i="18"/>
  <c r="X77" i="18"/>
  <c r="U77" i="18"/>
  <c r="R77" i="18"/>
  <c r="O77" i="18"/>
  <c r="L77" i="18"/>
  <c r="I77" i="18"/>
  <c r="F77" i="18"/>
  <c r="X76" i="18"/>
  <c r="U76" i="18"/>
  <c r="R76" i="18"/>
  <c r="O76" i="18"/>
  <c r="L76" i="18"/>
  <c r="I76" i="18"/>
  <c r="F76" i="18"/>
  <c r="X75" i="18"/>
  <c r="U75" i="18"/>
  <c r="R75" i="18"/>
  <c r="O75" i="18"/>
  <c r="L75" i="18"/>
  <c r="I75" i="18"/>
  <c r="F75" i="18"/>
  <c r="X74" i="18"/>
  <c r="U74" i="18"/>
  <c r="R74" i="18"/>
  <c r="O74" i="18"/>
  <c r="L74" i="18"/>
  <c r="I74" i="18"/>
  <c r="F74" i="18"/>
  <c r="X73" i="18"/>
  <c r="U73" i="18"/>
  <c r="R73" i="18"/>
  <c r="O73" i="18"/>
  <c r="L73" i="18"/>
  <c r="I73" i="18"/>
  <c r="F73" i="18"/>
  <c r="X72" i="18"/>
  <c r="U72" i="18"/>
  <c r="R72" i="18"/>
  <c r="O72" i="18"/>
  <c r="L72" i="18"/>
  <c r="I72" i="18"/>
  <c r="F72" i="18"/>
  <c r="X71" i="18"/>
  <c r="U71" i="18"/>
  <c r="R71" i="18"/>
  <c r="O71" i="18"/>
  <c r="L71" i="18"/>
  <c r="I71" i="18"/>
  <c r="F71" i="18"/>
  <c r="X70" i="18"/>
  <c r="U70" i="18"/>
  <c r="R70" i="18"/>
  <c r="O70" i="18"/>
  <c r="L70" i="18"/>
  <c r="I70" i="18"/>
  <c r="F70" i="18"/>
  <c r="X69" i="18"/>
  <c r="U69" i="18"/>
  <c r="R69" i="18"/>
  <c r="O69" i="18"/>
  <c r="L69" i="18"/>
  <c r="I69" i="18"/>
  <c r="F69" i="18"/>
  <c r="X68" i="18"/>
  <c r="U68" i="18"/>
  <c r="R68" i="18"/>
  <c r="O68" i="18"/>
  <c r="L68" i="18"/>
  <c r="I68" i="18"/>
  <c r="F68" i="18"/>
  <c r="X67" i="18"/>
  <c r="U67" i="18"/>
  <c r="R67" i="18"/>
  <c r="O67" i="18"/>
  <c r="L67" i="18"/>
  <c r="I67" i="18"/>
  <c r="F67" i="18"/>
  <c r="X66" i="18"/>
  <c r="U66" i="18"/>
  <c r="R66" i="18"/>
  <c r="O66" i="18"/>
  <c r="L66" i="18"/>
  <c r="I66" i="18"/>
  <c r="F66" i="18"/>
  <c r="X65" i="18"/>
  <c r="U65" i="18"/>
  <c r="R65" i="18"/>
  <c r="O65" i="18"/>
  <c r="L65" i="18"/>
  <c r="I65" i="18"/>
  <c r="F65" i="18"/>
  <c r="X64" i="18"/>
  <c r="U64" i="18"/>
  <c r="R64" i="18"/>
  <c r="O64" i="18"/>
  <c r="L64" i="18"/>
  <c r="I64" i="18"/>
  <c r="F64" i="18"/>
  <c r="X63" i="18"/>
  <c r="U63" i="18"/>
  <c r="R63" i="18"/>
  <c r="O63" i="18"/>
  <c r="L63" i="18"/>
  <c r="I63" i="18"/>
  <c r="F63" i="18"/>
  <c r="X62" i="18"/>
  <c r="U62" i="18"/>
  <c r="R62" i="18"/>
  <c r="O62" i="18"/>
  <c r="L62" i="18"/>
  <c r="I62" i="18"/>
  <c r="F62" i="18"/>
  <c r="X61" i="18"/>
  <c r="U61" i="18"/>
  <c r="R61" i="18"/>
  <c r="O61" i="18"/>
  <c r="L61" i="18"/>
  <c r="I61" i="18"/>
  <c r="F61" i="18"/>
  <c r="X60" i="18"/>
  <c r="U60" i="18"/>
  <c r="R60" i="18"/>
  <c r="O60" i="18"/>
  <c r="L60" i="18"/>
  <c r="I60" i="18"/>
  <c r="F60" i="18"/>
  <c r="X59" i="18"/>
  <c r="U59" i="18"/>
  <c r="R59" i="18"/>
  <c r="O59" i="18"/>
  <c r="L59" i="18"/>
  <c r="I59" i="18"/>
  <c r="F59" i="18"/>
  <c r="Z59" i="18" s="1"/>
  <c r="AC59" i="18" s="1"/>
  <c r="AG59" i="18" s="1"/>
  <c r="X58" i="18"/>
  <c r="U58" i="18"/>
  <c r="R58" i="18"/>
  <c r="O58" i="18"/>
  <c r="L58" i="18"/>
  <c r="I58" i="18"/>
  <c r="F58" i="18"/>
  <c r="X57" i="18"/>
  <c r="U57" i="18"/>
  <c r="R57" i="18"/>
  <c r="O57" i="18"/>
  <c r="L57" i="18"/>
  <c r="I57" i="18"/>
  <c r="F57" i="18"/>
  <c r="X56" i="18"/>
  <c r="U56" i="18"/>
  <c r="R56" i="18"/>
  <c r="O56" i="18"/>
  <c r="L56" i="18"/>
  <c r="I56" i="18"/>
  <c r="F56" i="18"/>
  <c r="X55" i="18"/>
  <c r="U55" i="18"/>
  <c r="R55" i="18"/>
  <c r="O55" i="18"/>
  <c r="L55" i="18"/>
  <c r="I55" i="18"/>
  <c r="F55" i="18"/>
  <c r="X54" i="18"/>
  <c r="U54" i="18"/>
  <c r="R54" i="18"/>
  <c r="O54" i="18"/>
  <c r="L54" i="18"/>
  <c r="I54" i="18"/>
  <c r="F54" i="18"/>
  <c r="X53" i="18"/>
  <c r="U53" i="18"/>
  <c r="R53" i="18"/>
  <c r="O53" i="18"/>
  <c r="L53" i="18"/>
  <c r="I53" i="18"/>
  <c r="F53" i="18"/>
  <c r="X52" i="18"/>
  <c r="U52" i="18"/>
  <c r="R52" i="18"/>
  <c r="O52" i="18"/>
  <c r="L52" i="18"/>
  <c r="I52" i="18"/>
  <c r="F52" i="18"/>
  <c r="X51" i="18"/>
  <c r="Z51" i="18" s="1"/>
  <c r="AC51" i="18" s="1"/>
  <c r="AG51" i="18" s="1"/>
  <c r="U51" i="18"/>
  <c r="R51" i="18"/>
  <c r="O51" i="18"/>
  <c r="L51" i="18"/>
  <c r="I51" i="18"/>
  <c r="F51" i="18"/>
  <c r="X50" i="18"/>
  <c r="U50" i="18"/>
  <c r="R50" i="18"/>
  <c r="O50" i="18"/>
  <c r="L50" i="18"/>
  <c r="I50" i="18"/>
  <c r="F50" i="18"/>
  <c r="X49" i="18"/>
  <c r="U49" i="18"/>
  <c r="R49" i="18"/>
  <c r="O49" i="18"/>
  <c r="L49" i="18"/>
  <c r="I49" i="18"/>
  <c r="F49" i="18"/>
  <c r="X48" i="18"/>
  <c r="U48" i="18"/>
  <c r="R48" i="18"/>
  <c r="O48" i="18"/>
  <c r="L48" i="18"/>
  <c r="I48" i="18"/>
  <c r="Z48" i="18" s="1"/>
  <c r="AC48" i="18" s="1"/>
  <c r="AG48" i="18" s="1"/>
  <c r="F48" i="18"/>
  <c r="X47" i="18"/>
  <c r="U47" i="18"/>
  <c r="R47" i="18"/>
  <c r="O47" i="18"/>
  <c r="L47" i="18"/>
  <c r="I47" i="18"/>
  <c r="F47" i="18"/>
  <c r="X46" i="18"/>
  <c r="U46" i="18"/>
  <c r="R46" i="18"/>
  <c r="O46" i="18"/>
  <c r="L46" i="18"/>
  <c r="I46" i="18"/>
  <c r="F46" i="18"/>
  <c r="X45" i="18"/>
  <c r="U45" i="18"/>
  <c r="R45" i="18"/>
  <c r="O45" i="18"/>
  <c r="L45" i="18"/>
  <c r="I45" i="18"/>
  <c r="F45" i="18"/>
  <c r="X44" i="18"/>
  <c r="U44" i="18"/>
  <c r="R44" i="18"/>
  <c r="O44" i="18"/>
  <c r="L44" i="18"/>
  <c r="I44" i="18"/>
  <c r="F44" i="18"/>
  <c r="X43" i="18"/>
  <c r="U43" i="18"/>
  <c r="R43" i="18"/>
  <c r="O43" i="18"/>
  <c r="L43" i="18"/>
  <c r="I43" i="18"/>
  <c r="F43" i="18"/>
  <c r="X42" i="18"/>
  <c r="U42" i="18"/>
  <c r="R42" i="18"/>
  <c r="O42" i="18"/>
  <c r="L42" i="18"/>
  <c r="I42" i="18"/>
  <c r="F42" i="18"/>
  <c r="X41" i="18"/>
  <c r="U41" i="18"/>
  <c r="R41" i="18"/>
  <c r="O41" i="18"/>
  <c r="L41" i="18"/>
  <c r="I41" i="18"/>
  <c r="F41" i="18"/>
  <c r="X40" i="18"/>
  <c r="U40" i="18"/>
  <c r="R40" i="18"/>
  <c r="O40" i="18"/>
  <c r="L40" i="18"/>
  <c r="I40" i="18"/>
  <c r="F40" i="18"/>
  <c r="X39" i="18"/>
  <c r="U39" i="18"/>
  <c r="R39" i="18"/>
  <c r="O39" i="18"/>
  <c r="L39" i="18"/>
  <c r="I39" i="18"/>
  <c r="F39" i="18"/>
  <c r="X38" i="18"/>
  <c r="U38" i="18"/>
  <c r="R38" i="18"/>
  <c r="O38" i="18"/>
  <c r="L38" i="18"/>
  <c r="I38" i="18"/>
  <c r="F38" i="18"/>
  <c r="X37" i="18"/>
  <c r="U37" i="18"/>
  <c r="R37" i="18"/>
  <c r="O37" i="18"/>
  <c r="L37" i="18"/>
  <c r="I37" i="18"/>
  <c r="F37" i="18"/>
  <c r="X36" i="18"/>
  <c r="U36" i="18"/>
  <c r="R36" i="18"/>
  <c r="O36" i="18"/>
  <c r="L36" i="18"/>
  <c r="I36" i="18"/>
  <c r="F36" i="18"/>
  <c r="X35" i="18"/>
  <c r="U35" i="18"/>
  <c r="R35" i="18"/>
  <c r="O35" i="18"/>
  <c r="L35" i="18"/>
  <c r="I35" i="18"/>
  <c r="F35" i="18"/>
  <c r="X34" i="18"/>
  <c r="U34" i="18"/>
  <c r="R34" i="18"/>
  <c r="O34" i="18"/>
  <c r="L34" i="18"/>
  <c r="I34" i="18"/>
  <c r="F34" i="18"/>
  <c r="X33" i="18"/>
  <c r="U33" i="18"/>
  <c r="R33" i="18"/>
  <c r="O33" i="18"/>
  <c r="L33" i="18"/>
  <c r="I33" i="18"/>
  <c r="F33" i="18"/>
  <c r="X32" i="18"/>
  <c r="U32" i="18"/>
  <c r="R32" i="18"/>
  <c r="O32" i="18"/>
  <c r="L32" i="18"/>
  <c r="I32" i="18"/>
  <c r="F32" i="18"/>
  <c r="Z32" i="18" s="1"/>
  <c r="AC32" i="18" s="1"/>
  <c r="AG32" i="18" s="1"/>
  <c r="X31" i="18"/>
  <c r="U31" i="18"/>
  <c r="R31" i="18"/>
  <c r="O31" i="18"/>
  <c r="L31" i="18"/>
  <c r="I31" i="18"/>
  <c r="F31" i="18"/>
  <c r="X30" i="18"/>
  <c r="U30" i="18"/>
  <c r="R30" i="18"/>
  <c r="O30" i="18"/>
  <c r="L30" i="18"/>
  <c r="I30" i="18"/>
  <c r="F30" i="18"/>
  <c r="X29" i="18"/>
  <c r="U29" i="18"/>
  <c r="R29" i="18"/>
  <c r="O29" i="18"/>
  <c r="L29" i="18"/>
  <c r="I29" i="18"/>
  <c r="F29" i="18"/>
  <c r="X28" i="18"/>
  <c r="U28" i="18"/>
  <c r="R28" i="18"/>
  <c r="O28" i="18"/>
  <c r="L28" i="18"/>
  <c r="I28" i="18"/>
  <c r="F28" i="18"/>
  <c r="X27" i="18"/>
  <c r="U27" i="18"/>
  <c r="R27" i="18"/>
  <c r="O27" i="18"/>
  <c r="L27" i="18"/>
  <c r="I27" i="18"/>
  <c r="F27" i="18"/>
  <c r="X26" i="18"/>
  <c r="U26" i="18"/>
  <c r="R26" i="18"/>
  <c r="O26" i="18"/>
  <c r="L26" i="18"/>
  <c r="I26" i="18"/>
  <c r="F26" i="18"/>
  <c r="X25" i="18"/>
  <c r="U25" i="18"/>
  <c r="R25" i="18"/>
  <c r="O25" i="18"/>
  <c r="L25" i="18"/>
  <c r="I25" i="18"/>
  <c r="F25" i="18"/>
  <c r="X24" i="18"/>
  <c r="U24" i="18"/>
  <c r="R24" i="18"/>
  <c r="O24" i="18"/>
  <c r="L24" i="18"/>
  <c r="I24" i="18"/>
  <c r="F24" i="18"/>
  <c r="X23" i="18"/>
  <c r="U23" i="18"/>
  <c r="R23" i="18"/>
  <c r="O23" i="18"/>
  <c r="L23" i="18"/>
  <c r="I23" i="18"/>
  <c r="F23" i="18"/>
  <c r="X22" i="18"/>
  <c r="U22" i="18"/>
  <c r="R22" i="18"/>
  <c r="O22" i="18"/>
  <c r="L22" i="18"/>
  <c r="I22" i="18"/>
  <c r="F22" i="18"/>
  <c r="X21" i="18"/>
  <c r="U21" i="18"/>
  <c r="R21" i="18"/>
  <c r="O21" i="18"/>
  <c r="L21" i="18"/>
  <c r="I21" i="18"/>
  <c r="F21" i="18"/>
  <c r="X20" i="18"/>
  <c r="U20" i="18"/>
  <c r="R20" i="18"/>
  <c r="O20" i="18"/>
  <c r="L20" i="18"/>
  <c r="I20" i="18"/>
  <c r="F20" i="18"/>
  <c r="X19" i="18"/>
  <c r="U19" i="18"/>
  <c r="R19" i="18"/>
  <c r="O19" i="18"/>
  <c r="L19" i="18"/>
  <c r="I19" i="18"/>
  <c r="F19" i="18"/>
  <c r="X18" i="18"/>
  <c r="U18" i="18"/>
  <c r="R18" i="18"/>
  <c r="O18" i="18"/>
  <c r="L18" i="18"/>
  <c r="I18" i="18"/>
  <c r="F18" i="18"/>
  <c r="X17" i="18"/>
  <c r="U17" i="18"/>
  <c r="R17" i="18"/>
  <c r="O17" i="18"/>
  <c r="L17" i="18"/>
  <c r="I17" i="18"/>
  <c r="F17" i="18"/>
  <c r="X16" i="18"/>
  <c r="U16" i="18"/>
  <c r="R16" i="18"/>
  <c r="O16" i="18"/>
  <c r="L16" i="18"/>
  <c r="I16" i="18"/>
  <c r="F16" i="18"/>
  <c r="X15" i="18"/>
  <c r="U15" i="18"/>
  <c r="R15" i="18"/>
  <c r="O15" i="18"/>
  <c r="L15" i="18"/>
  <c r="I15" i="18"/>
  <c r="F15" i="18"/>
  <c r="X14" i="18"/>
  <c r="U14" i="18"/>
  <c r="R14" i="18"/>
  <c r="O14" i="18"/>
  <c r="L14" i="18"/>
  <c r="I14" i="18"/>
  <c r="F14" i="18"/>
  <c r="X13" i="18"/>
  <c r="U13" i="18"/>
  <c r="R13" i="18"/>
  <c r="O13" i="18"/>
  <c r="L13" i="18"/>
  <c r="I13" i="18"/>
  <c r="F13" i="18"/>
  <c r="X12" i="18"/>
  <c r="U12" i="18"/>
  <c r="R12" i="18"/>
  <c r="O12" i="18"/>
  <c r="L12" i="18"/>
  <c r="I12" i="18"/>
  <c r="F12" i="18"/>
  <c r="X11" i="18"/>
  <c r="U11" i="18"/>
  <c r="R11" i="18"/>
  <c r="O11" i="18"/>
  <c r="L11" i="18"/>
  <c r="I11" i="18"/>
  <c r="F11" i="18"/>
  <c r="X10" i="18"/>
  <c r="U10" i="18"/>
  <c r="R10" i="18"/>
  <c r="O10" i="18"/>
  <c r="L10" i="18"/>
  <c r="I10" i="18"/>
  <c r="F10" i="18"/>
  <c r="X9" i="18"/>
  <c r="U9" i="18"/>
  <c r="R9" i="18"/>
  <c r="O9" i="18"/>
  <c r="L9" i="18"/>
  <c r="I9" i="18"/>
  <c r="F9" i="18"/>
  <c r="X8" i="18"/>
  <c r="U8" i="18"/>
  <c r="R8" i="18"/>
  <c r="O8" i="18"/>
  <c r="L8" i="18"/>
  <c r="I8" i="18"/>
  <c r="F8" i="18"/>
  <c r="X7" i="18"/>
  <c r="U7" i="18"/>
  <c r="R7" i="18"/>
  <c r="O7" i="18"/>
  <c r="L7" i="18"/>
  <c r="I7" i="18"/>
  <c r="F7" i="18"/>
  <c r="X6" i="18"/>
  <c r="U6" i="18"/>
  <c r="R6" i="18"/>
  <c r="O6" i="18"/>
  <c r="L6" i="18"/>
  <c r="I6" i="18"/>
  <c r="F6" i="18"/>
  <c r="X5" i="18"/>
  <c r="U5" i="18"/>
  <c r="R5" i="18"/>
  <c r="O5" i="18"/>
  <c r="L5" i="18"/>
  <c r="I5" i="18"/>
  <c r="F5" i="18"/>
  <c r="X4" i="18"/>
  <c r="U4" i="18"/>
  <c r="R4" i="18"/>
  <c r="O4" i="18"/>
  <c r="L4" i="18"/>
  <c r="I4" i="18"/>
  <c r="F4" i="18"/>
  <c r="AD100" i="17"/>
  <c r="AB100" i="17"/>
  <c r="AA100" i="17"/>
  <c r="Y100" i="17"/>
  <c r="W100" i="17"/>
  <c r="V100" i="17"/>
  <c r="T100" i="17"/>
  <c r="S100" i="17"/>
  <c r="Q100" i="17"/>
  <c r="P100" i="17"/>
  <c r="N100" i="17"/>
  <c r="M100" i="17"/>
  <c r="K100" i="17"/>
  <c r="J100" i="17"/>
  <c r="H100" i="17"/>
  <c r="G100" i="17"/>
  <c r="E100" i="17"/>
  <c r="D100" i="17"/>
  <c r="X99" i="17"/>
  <c r="U99" i="17"/>
  <c r="R99" i="17"/>
  <c r="O99" i="17"/>
  <c r="L99" i="17"/>
  <c r="I99" i="17"/>
  <c r="F99" i="17"/>
  <c r="X98" i="17"/>
  <c r="U98" i="17"/>
  <c r="R98" i="17"/>
  <c r="O98" i="17"/>
  <c r="L98" i="17"/>
  <c r="I98" i="17"/>
  <c r="F98" i="17"/>
  <c r="X97" i="17"/>
  <c r="U97" i="17"/>
  <c r="R97" i="17"/>
  <c r="O97" i="17"/>
  <c r="L97" i="17"/>
  <c r="I97" i="17"/>
  <c r="F97" i="17"/>
  <c r="X96" i="17"/>
  <c r="U96" i="17"/>
  <c r="R96" i="17"/>
  <c r="O96" i="17"/>
  <c r="L96" i="17"/>
  <c r="I96" i="17"/>
  <c r="F96" i="17"/>
  <c r="X95" i="17"/>
  <c r="U95" i="17"/>
  <c r="R95" i="17"/>
  <c r="O95" i="17"/>
  <c r="L95" i="17"/>
  <c r="I95" i="17"/>
  <c r="F95" i="17"/>
  <c r="X94" i="17"/>
  <c r="U94" i="17"/>
  <c r="R94" i="17"/>
  <c r="O94" i="17"/>
  <c r="L94" i="17"/>
  <c r="I94" i="17"/>
  <c r="F94" i="17"/>
  <c r="X93" i="17"/>
  <c r="U93" i="17"/>
  <c r="R93" i="17"/>
  <c r="O93" i="17"/>
  <c r="L93" i="17"/>
  <c r="I93" i="17"/>
  <c r="F93" i="17"/>
  <c r="X92" i="17"/>
  <c r="U92" i="17"/>
  <c r="R92" i="17"/>
  <c r="O92" i="17"/>
  <c r="L92" i="17"/>
  <c r="I92" i="17"/>
  <c r="F92" i="17"/>
  <c r="X91" i="17"/>
  <c r="U91" i="17"/>
  <c r="R91" i="17"/>
  <c r="O91" i="17"/>
  <c r="L91" i="17"/>
  <c r="I91" i="17"/>
  <c r="F91" i="17"/>
  <c r="X90" i="17"/>
  <c r="U90" i="17"/>
  <c r="R90" i="17"/>
  <c r="O90" i="17"/>
  <c r="L90" i="17"/>
  <c r="I90" i="17"/>
  <c r="F90" i="17"/>
  <c r="X89" i="17"/>
  <c r="U89" i="17"/>
  <c r="R89" i="17"/>
  <c r="O89" i="17"/>
  <c r="L89" i="17"/>
  <c r="I89" i="17"/>
  <c r="F89" i="17"/>
  <c r="X88" i="17"/>
  <c r="U88" i="17"/>
  <c r="R88" i="17"/>
  <c r="O88" i="17"/>
  <c r="L88" i="17"/>
  <c r="I88" i="17"/>
  <c r="F88" i="17"/>
  <c r="X87" i="17"/>
  <c r="U87" i="17"/>
  <c r="R87" i="17"/>
  <c r="O87" i="17"/>
  <c r="L87" i="17"/>
  <c r="I87" i="17"/>
  <c r="F87" i="17"/>
  <c r="X86" i="17"/>
  <c r="U86" i="17"/>
  <c r="R86" i="17"/>
  <c r="O86" i="17"/>
  <c r="L86" i="17"/>
  <c r="I86" i="17"/>
  <c r="F86" i="17"/>
  <c r="X85" i="17"/>
  <c r="U85" i="17"/>
  <c r="R85" i="17"/>
  <c r="O85" i="17"/>
  <c r="L85" i="17"/>
  <c r="I85" i="17"/>
  <c r="F85" i="17"/>
  <c r="X84" i="17"/>
  <c r="U84" i="17"/>
  <c r="R84" i="17"/>
  <c r="O84" i="17"/>
  <c r="L84" i="17"/>
  <c r="I84" i="17"/>
  <c r="F84" i="17"/>
  <c r="X83" i="17"/>
  <c r="U83" i="17"/>
  <c r="R83" i="17"/>
  <c r="O83" i="17"/>
  <c r="L83" i="17"/>
  <c r="I83" i="17"/>
  <c r="F83" i="17"/>
  <c r="X82" i="17"/>
  <c r="U82" i="17"/>
  <c r="R82" i="17"/>
  <c r="O82" i="17"/>
  <c r="L82" i="17"/>
  <c r="I82" i="17"/>
  <c r="F82" i="17"/>
  <c r="X81" i="17"/>
  <c r="U81" i="17"/>
  <c r="R81" i="17"/>
  <c r="O81" i="17"/>
  <c r="L81" i="17"/>
  <c r="I81" i="17"/>
  <c r="F81" i="17"/>
  <c r="X80" i="17"/>
  <c r="U80" i="17"/>
  <c r="R80" i="17"/>
  <c r="O80" i="17"/>
  <c r="L80" i="17"/>
  <c r="I80" i="17"/>
  <c r="F80" i="17"/>
  <c r="X79" i="17"/>
  <c r="U79" i="17"/>
  <c r="R79" i="17"/>
  <c r="O79" i="17"/>
  <c r="L79" i="17"/>
  <c r="I79" i="17"/>
  <c r="F79" i="17"/>
  <c r="X78" i="17"/>
  <c r="U78" i="17"/>
  <c r="R78" i="17"/>
  <c r="O78" i="17"/>
  <c r="L78" i="17"/>
  <c r="I78" i="17"/>
  <c r="F78" i="17"/>
  <c r="Z78" i="17" s="1"/>
  <c r="AC78" i="17" s="1"/>
  <c r="AG78" i="17" s="1"/>
  <c r="X77" i="17"/>
  <c r="U77" i="17"/>
  <c r="R77" i="17"/>
  <c r="O77" i="17"/>
  <c r="L77" i="17"/>
  <c r="I77" i="17"/>
  <c r="F77" i="17"/>
  <c r="X76" i="17"/>
  <c r="U76" i="17"/>
  <c r="R76" i="17"/>
  <c r="O76" i="17"/>
  <c r="L76" i="17"/>
  <c r="I76" i="17"/>
  <c r="F76" i="17"/>
  <c r="X75" i="17"/>
  <c r="U75" i="17"/>
  <c r="R75" i="17"/>
  <c r="O75" i="17"/>
  <c r="L75" i="17"/>
  <c r="I75" i="17"/>
  <c r="F75" i="17"/>
  <c r="X74" i="17"/>
  <c r="U74" i="17"/>
  <c r="R74" i="17"/>
  <c r="O74" i="17"/>
  <c r="L74" i="17"/>
  <c r="I74" i="17"/>
  <c r="F74" i="17"/>
  <c r="X73" i="17"/>
  <c r="U73" i="17"/>
  <c r="R73" i="17"/>
  <c r="O73" i="17"/>
  <c r="L73" i="17"/>
  <c r="I73" i="17"/>
  <c r="F73" i="17"/>
  <c r="Z73" i="17" s="1"/>
  <c r="AC73" i="17" s="1"/>
  <c r="AG73" i="17" s="1"/>
  <c r="X72" i="17"/>
  <c r="U72" i="17"/>
  <c r="R72" i="17"/>
  <c r="O72" i="17"/>
  <c r="L72" i="17"/>
  <c r="I72" i="17"/>
  <c r="F72" i="17"/>
  <c r="X71" i="17"/>
  <c r="U71" i="17"/>
  <c r="R71" i="17"/>
  <c r="O71" i="17"/>
  <c r="L71" i="17"/>
  <c r="I71" i="17"/>
  <c r="F71" i="17"/>
  <c r="X70" i="17"/>
  <c r="U70" i="17"/>
  <c r="R70" i="17"/>
  <c r="O70" i="17"/>
  <c r="L70" i="17"/>
  <c r="I70" i="17"/>
  <c r="F70" i="17"/>
  <c r="X69" i="17"/>
  <c r="U69" i="17"/>
  <c r="R69" i="17"/>
  <c r="O69" i="17"/>
  <c r="L69" i="17"/>
  <c r="I69" i="17"/>
  <c r="F69" i="17"/>
  <c r="X68" i="17"/>
  <c r="U68" i="17"/>
  <c r="R68" i="17"/>
  <c r="O68" i="17"/>
  <c r="L68" i="17"/>
  <c r="I68" i="17"/>
  <c r="F68" i="17"/>
  <c r="X67" i="17"/>
  <c r="U67" i="17"/>
  <c r="R67" i="17"/>
  <c r="O67" i="17"/>
  <c r="L67" i="17"/>
  <c r="I67" i="17"/>
  <c r="F67" i="17"/>
  <c r="X66" i="17"/>
  <c r="U66" i="17"/>
  <c r="R66" i="17"/>
  <c r="O66" i="17"/>
  <c r="L66" i="17"/>
  <c r="I66" i="17"/>
  <c r="F66" i="17"/>
  <c r="X65" i="17"/>
  <c r="U65" i="17"/>
  <c r="R65" i="17"/>
  <c r="O65" i="17"/>
  <c r="L65" i="17"/>
  <c r="I65" i="17"/>
  <c r="F65" i="17"/>
  <c r="X64" i="17"/>
  <c r="U64" i="17"/>
  <c r="R64" i="17"/>
  <c r="O64" i="17"/>
  <c r="L64" i="17"/>
  <c r="I64" i="17"/>
  <c r="F64" i="17"/>
  <c r="X63" i="17"/>
  <c r="U63" i="17"/>
  <c r="R63" i="17"/>
  <c r="O63" i="17"/>
  <c r="L63" i="17"/>
  <c r="I63" i="17"/>
  <c r="F63" i="17"/>
  <c r="X62" i="17"/>
  <c r="U62" i="17"/>
  <c r="R62" i="17"/>
  <c r="O62" i="17"/>
  <c r="L62" i="17"/>
  <c r="I62" i="17"/>
  <c r="F62" i="17"/>
  <c r="Z62" i="17" s="1"/>
  <c r="AC62" i="17" s="1"/>
  <c r="AG62" i="17" s="1"/>
  <c r="X61" i="17"/>
  <c r="U61" i="17"/>
  <c r="R61" i="17"/>
  <c r="O61" i="17"/>
  <c r="L61" i="17"/>
  <c r="I61" i="17"/>
  <c r="F61" i="17"/>
  <c r="X60" i="17"/>
  <c r="U60" i="17"/>
  <c r="R60" i="17"/>
  <c r="O60" i="17"/>
  <c r="L60" i="17"/>
  <c r="I60" i="17"/>
  <c r="F60" i="17"/>
  <c r="X59" i="17"/>
  <c r="U59" i="17"/>
  <c r="R59" i="17"/>
  <c r="O59" i="17"/>
  <c r="L59" i="17"/>
  <c r="I59" i="17"/>
  <c r="F59" i="17"/>
  <c r="X58" i="17"/>
  <c r="U58" i="17"/>
  <c r="R58" i="17"/>
  <c r="O58" i="17"/>
  <c r="L58" i="17"/>
  <c r="I58" i="17"/>
  <c r="F58" i="17"/>
  <c r="X57" i="17"/>
  <c r="U57" i="17"/>
  <c r="R57" i="17"/>
  <c r="O57" i="17"/>
  <c r="L57" i="17"/>
  <c r="I57" i="17"/>
  <c r="F57" i="17"/>
  <c r="X56" i="17"/>
  <c r="U56" i="17"/>
  <c r="R56" i="17"/>
  <c r="O56" i="17"/>
  <c r="L56" i="17"/>
  <c r="I56" i="17"/>
  <c r="F56" i="17"/>
  <c r="X55" i="17"/>
  <c r="U55" i="17"/>
  <c r="R55" i="17"/>
  <c r="O55" i="17"/>
  <c r="L55" i="17"/>
  <c r="I55" i="17"/>
  <c r="F55" i="17"/>
  <c r="X54" i="17"/>
  <c r="U54" i="17"/>
  <c r="R54" i="17"/>
  <c r="O54" i="17"/>
  <c r="L54" i="17"/>
  <c r="I54" i="17"/>
  <c r="F54" i="17"/>
  <c r="X53" i="17"/>
  <c r="U53" i="17"/>
  <c r="R53" i="17"/>
  <c r="O53" i="17"/>
  <c r="L53" i="17"/>
  <c r="I53" i="17"/>
  <c r="F53" i="17"/>
  <c r="X52" i="17"/>
  <c r="U52" i="17"/>
  <c r="R52" i="17"/>
  <c r="O52" i="17"/>
  <c r="L52" i="17"/>
  <c r="I52" i="17"/>
  <c r="F52" i="17"/>
  <c r="X51" i="17"/>
  <c r="U51" i="17"/>
  <c r="R51" i="17"/>
  <c r="O51" i="17"/>
  <c r="L51" i="17"/>
  <c r="I51" i="17"/>
  <c r="F51" i="17"/>
  <c r="X50" i="17"/>
  <c r="U50" i="17"/>
  <c r="R50" i="17"/>
  <c r="O50" i="17"/>
  <c r="L50" i="17"/>
  <c r="I50" i="17"/>
  <c r="F50" i="17"/>
  <c r="X49" i="17"/>
  <c r="U49" i="17"/>
  <c r="R49" i="17"/>
  <c r="O49" i="17"/>
  <c r="L49" i="17"/>
  <c r="I49" i="17"/>
  <c r="F49" i="17"/>
  <c r="X48" i="17"/>
  <c r="U48" i="17"/>
  <c r="R48" i="17"/>
  <c r="O48" i="17"/>
  <c r="L48" i="17"/>
  <c r="I48" i="17"/>
  <c r="F48" i="17"/>
  <c r="X47" i="17"/>
  <c r="U47" i="17"/>
  <c r="R47" i="17"/>
  <c r="O47" i="17"/>
  <c r="L47" i="17"/>
  <c r="I47" i="17"/>
  <c r="F47" i="17"/>
  <c r="X46" i="17"/>
  <c r="U46" i="17"/>
  <c r="R46" i="17"/>
  <c r="O46" i="17"/>
  <c r="L46" i="17"/>
  <c r="I46" i="17"/>
  <c r="F46" i="17"/>
  <c r="X45" i="17"/>
  <c r="U45" i="17"/>
  <c r="R45" i="17"/>
  <c r="O45" i="17"/>
  <c r="L45" i="17"/>
  <c r="I45" i="17"/>
  <c r="F45" i="17"/>
  <c r="X44" i="17"/>
  <c r="U44" i="17"/>
  <c r="R44" i="17"/>
  <c r="O44" i="17"/>
  <c r="L44" i="17"/>
  <c r="I44" i="17"/>
  <c r="F44" i="17"/>
  <c r="X43" i="17"/>
  <c r="U43" i="17"/>
  <c r="R43" i="17"/>
  <c r="O43" i="17"/>
  <c r="L43" i="17"/>
  <c r="I43" i="17"/>
  <c r="F43" i="17"/>
  <c r="X42" i="17"/>
  <c r="U42" i="17"/>
  <c r="R42" i="17"/>
  <c r="O42" i="17"/>
  <c r="L42" i="17"/>
  <c r="I42" i="17"/>
  <c r="F42" i="17"/>
  <c r="X41" i="17"/>
  <c r="U41" i="17"/>
  <c r="R41" i="17"/>
  <c r="O41" i="17"/>
  <c r="L41" i="17"/>
  <c r="I41" i="17"/>
  <c r="F41" i="17"/>
  <c r="X40" i="17"/>
  <c r="U40" i="17"/>
  <c r="R40" i="17"/>
  <c r="O40" i="17"/>
  <c r="L40" i="17"/>
  <c r="I40" i="17"/>
  <c r="F40" i="17"/>
  <c r="X39" i="17"/>
  <c r="U39" i="17"/>
  <c r="R39" i="17"/>
  <c r="O39" i="17"/>
  <c r="L39" i="17"/>
  <c r="I39" i="17"/>
  <c r="F39" i="17"/>
  <c r="X38" i="17"/>
  <c r="U38" i="17"/>
  <c r="R38" i="17"/>
  <c r="O38" i="17"/>
  <c r="L38" i="17"/>
  <c r="I38" i="17"/>
  <c r="F38" i="17"/>
  <c r="X37" i="17"/>
  <c r="U37" i="17"/>
  <c r="R37" i="17"/>
  <c r="O37" i="17"/>
  <c r="L37" i="17"/>
  <c r="I37" i="17"/>
  <c r="F37" i="17"/>
  <c r="X36" i="17"/>
  <c r="U36" i="17"/>
  <c r="R36" i="17"/>
  <c r="O36" i="17"/>
  <c r="L36" i="17"/>
  <c r="I36" i="17"/>
  <c r="F36" i="17"/>
  <c r="X35" i="17"/>
  <c r="U35" i="17"/>
  <c r="R35" i="17"/>
  <c r="O35" i="17"/>
  <c r="L35" i="17"/>
  <c r="I35" i="17"/>
  <c r="F35" i="17"/>
  <c r="Z35" i="17" s="1"/>
  <c r="AC35" i="17" s="1"/>
  <c r="AG35" i="17" s="1"/>
  <c r="X34" i="17"/>
  <c r="U34" i="17"/>
  <c r="R34" i="17"/>
  <c r="O34" i="17"/>
  <c r="L34" i="17"/>
  <c r="I34" i="17"/>
  <c r="F34" i="17"/>
  <c r="X33" i="17"/>
  <c r="U33" i="17"/>
  <c r="R33" i="17"/>
  <c r="O33" i="17"/>
  <c r="L33" i="17"/>
  <c r="I33" i="17"/>
  <c r="F33" i="17"/>
  <c r="X32" i="17"/>
  <c r="U32" i="17"/>
  <c r="R32" i="17"/>
  <c r="O32" i="17"/>
  <c r="L32" i="17"/>
  <c r="I32" i="17"/>
  <c r="F32" i="17"/>
  <c r="X31" i="17"/>
  <c r="U31" i="17"/>
  <c r="R31" i="17"/>
  <c r="O31" i="17"/>
  <c r="L31" i="17"/>
  <c r="I31" i="17"/>
  <c r="F31" i="17"/>
  <c r="X30" i="17"/>
  <c r="U30" i="17"/>
  <c r="R30" i="17"/>
  <c r="O30" i="17"/>
  <c r="L30" i="17"/>
  <c r="I30" i="17"/>
  <c r="F30" i="17"/>
  <c r="X29" i="17"/>
  <c r="U29" i="17"/>
  <c r="R29" i="17"/>
  <c r="O29" i="17"/>
  <c r="L29" i="17"/>
  <c r="I29" i="17"/>
  <c r="F29" i="17"/>
  <c r="X28" i="17"/>
  <c r="U28" i="17"/>
  <c r="R28" i="17"/>
  <c r="O28" i="17"/>
  <c r="L28" i="17"/>
  <c r="I28" i="17"/>
  <c r="F28" i="17"/>
  <c r="X27" i="17"/>
  <c r="U27" i="17"/>
  <c r="R27" i="17"/>
  <c r="O27" i="17"/>
  <c r="L27" i="17"/>
  <c r="I27" i="17"/>
  <c r="F27" i="17"/>
  <c r="X26" i="17"/>
  <c r="U26" i="17"/>
  <c r="R26" i="17"/>
  <c r="O26" i="17"/>
  <c r="L26" i="17"/>
  <c r="I26" i="17"/>
  <c r="F26" i="17"/>
  <c r="X25" i="17"/>
  <c r="U25" i="17"/>
  <c r="R25" i="17"/>
  <c r="O25" i="17"/>
  <c r="L25" i="17"/>
  <c r="I25" i="17"/>
  <c r="F25" i="17"/>
  <c r="X24" i="17"/>
  <c r="U24" i="17"/>
  <c r="R24" i="17"/>
  <c r="O24" i="17"/>
  <c r="L24" i="17"/>
  <c r="I24" i="17"/>
  <c r="F24" i="17"/>
  <c r="X23" i="17"/>
  <c r="U23" i="17"/>
  <c r="R23" i="17"/>
  <c r="O23" i="17"/>
  <c r="L23" i="17"/>
  <c r="I23" i="17"/>
  <c r="F23" i="17"/>
  <c r="X22" i="17"/>
  <c r="U22" i="17"/>
  <c r="R22" i="17"/>
  <c r="O22" i="17"/>
  <c r="L22" i="17"/>
  <c r="I22" i="17"/>
  <c r="F22" i="17"/>
  <c r="X21" i="17"/>
  <c r="U21" i="17"/>
  <c r="R21" i="17"/>
  <c r="O21" i="17"/>
  <c r="L21" i="17"/>
  <c r="I21" i="17"/>
  <c r="F21" i="17"/>
  <c r="X20" i="17"/>
  <c r="U20" i="17"/>
  <c r="R20" i="17"/>
  <c r="O20" i="17"/>
  <c r="L20" i="17"/>
  <c r="I20" i="17"/>
  <c r="F20" i="17"/>
  <c r="X19" i="17"/>
  <c r="U19" i="17"/>
  <c r="R19" i="17"/>
  <c r="O19" i="17"/>
  <c r="L19" i="17"/>
  <c r="I19" i="17"/>
  <c r="F19" i="17"/>
  <c r="X18" i="17"/>
  <c r="U18" i="17"/>
  <c r="R18" i="17"/>
  <c r="O18" i="17"/>
  <c r="L18" i="17"/>
  <c r="I18" i="17"/>
  <c r="F18" i="17"/>
  <c r="X17" i="17"/>
  <c r="U17" i="17"/>
  <c r="R17" i="17"/>
  <c r="O17" i="17"/>
  <c r="L17" i="17"/>
  <c r="I17" i="17"/>
  <c r="F17" i="17"/>
  <c r="X16" i="17"/>
  <c r="U16" i="17"/>
  <c r="R16" i="17"/>
  <c r="O16" i="17"/>
  <c r="L16" i="17"/>
  <c r="I16" i="17"/>
  <c r="F16" i="17"/>
  <c r="X15" i="17"/>
  <c r="U15" i="17"/>
  <c r="R15" i="17"/>
  <c r="O15" i="17"/>
  <c r="L15" i="17"/>
  <c r="I15" i="17"/>
  <c r="F15" i="17"/>
  <c r="X14" i="17"/>
  <c r="U14" i="17"/>
  <c r="R14" i="17"/>
  <c r="O14" i="17"/>
  <c r="L14" i="17"/>
  <c r="I14" i="17"/>
  <c r="F14" i="17"/>
  <c r="X13" i="17"/>
  <c r="U13" i="17"/>
  <c r="R13" i="17"/>
  <c r="O13" i="17"/>
  <c r="L13" i="17"/>
  <c r="I13" i="17"/>
  <c r="F13" i="17"/>
  <c r="X12" i="17"/>
  <c r="U12" i="17"/>
  <c r="R12" i="17"/>
  <c r="O12" i="17"/>
  <c r="L12" i="17"/>
  <c r="I12" i="17"/>
  <c r="F12" i="17"/>
  <c r="Z12" i="17" s="1"/>
  <c r="AC12" i="17" s="1"/>
  <c r="AG12" i="17" s="1"/>
  <c r="X11" i="17"/>
  <c r="U11" i="17"/>
  <c r="R11" i="17"/>
  <c r="O11" i="17"/>
  <c r="L11" i="17"/>
  <c r="I11" i="17"/>
  <c r="F11" i="17"/>
  <c r="X10" i="17"/>
  <c r="U10" i="17"/>
  <c r="R10" i="17"/>
  <c r="O10" i="17"/>
  <c r="L10" i="17"/>
  <c r="I10" i="17"/>
  <c r="F10" i="17"/>
  <c r="X9" i="17"/>
  <c r="U9" i="17"/>
  <c r="R9" i="17"/>
  <c r="O9" i="17"/>
  <c r="L9" i="17"/>
  <c r="I9" i="17"/>
  <c r="F9" i="17"/>
  <c r="X8" i="17"/>
  <c r="U8" i="17"/>
  <c r="R8" i="17"/>
  <c r="O8" i="17"/>
  <c r="L8" i="17"/>
  <c r="I8" i="17"/>
  <c r="F8" i="17"/>
  <c r="X7" i="17"/>
  <c r="U7" i="17"/>
  <c r="R7" i="17"/>
  <c r="O7" i="17"/>
  <c r="L7" i="17"/>
  <c r="I7" i="17"/>
  <c r="F7" i="17"/>
  <c r="X6" i="17"/>
  <c r="U6" i="17"/>
  <c r="R6" i="17"/>
  <c r="O6" i="17"/>
  <c r="L6" i="17"/>
  <c r="I6" i="17"/>
  <c r="F6" i="17"/>
  <c r="X5" i="17"/>
  <c r="U5" i="17"/>
  <c r="R5" i="17"/>
  <c r="O5" i="17"/>
  <c r="L5" i="17"/>
  <c r="I5" i="17"/>
  <c r="F5" i="17"/>
  <c r="X4" i="17"/>
  <c r="U4" i="17"/>
  <c r="R4" i="17"/>
  <c r="O4" i="17"/>
  <c r="L4" i="17"/>
  <c r="I4" i="17"/>
  <c r="F4" i="17"/>
  <c r="AD100" i="16"/>
  <c r="AB100" i="16"/>
  <c r="AA100" i="16"/>
  <c r="Y100" i="16"/>
  <c r="W100" i="16"/>
  <c r="V100" i="16"/>
  <c r="T100" i="16"/>
  <c r="S100" i="16"/>
  <c r="Q100" i="16"/>
  <c r="P100" i="16"/>
  <c r="N100" i="16"/>
  <c r="M100" i="16"/>
  <c r="K100" i="16"/>
  <c r="J100" i="16"/>
  <c r="H100" i="16"/>
  <c r="G100" i="16"/>
  <c r="E100" i="16"/>
  <c r="D100" i="16"/>
  <c r="X99" i="16"/>
  <c r="U99" i="16"/>
  <c r="R99" i="16"/>
  <c r="O99" i="16"/>
  <c r="L99" i="16"/>
  <c r="I99" i="16"/>
  <c r="F99" i="16"/>
  <c r="X98" i="16"/>
  <c r="U98" i="16"/>
  <c r="R98" i="16"/>
  <c r="O98" i="16"/>
  <c r="L98" i="16"/>
  <c r="I98" i="16"/>
  <c r="F98" i="16"/>
  <c r="X97" i="16"/>
  <c r="U97" i="16"/>
  <c r="R97" i="16"/>
  <c r="O97" i="16"/>
  <c r="L97" i="16"/>
  <c r="I97" i="16"/>
  <c r="F97" i="16"/>
  <c r="X96" i="16"/>
  <c r="U96" i="16"/>
  <c r="R96" i="16"/>
  <c r="O96" i="16"/>
  <c r="L96" i="16"/>
  <c r="I96" i="16"/>
  <c r="F96" i="16"/>
  <c r="X95" i="16"/>
  <c r="U95" i="16"/>
  <c r="R95" i="16"/>
  <c r="O95" i="16"/>
  <c r="L95" i="16"/>
  <c r="I95" i="16"/>
  <c r="F95" i="16"/>
  <c r="X94" i="16"/>
  <c r="U94" i="16"/>
  <c r="R94" i="16"/>
  <c r="O94" i="16"/>
  <c r="L94" i="16"/>
  <c r="I94" i="16"/>
  <c r="F94" i="16"/>
  <c r="X93" i="16"/>
  <c r="U93" i="16"/>
  <c r="R93" i="16"/>
  <c r="O93" i="16"/>
  <c r="L93" i="16"/>
  <c r="I93" i="16"/>
  <c r="F93" i="16"/>
  <c r="X92" i="16"/>
  <c r="U92" i="16"/>
  <c r="R92" i="16"/>
  <c r="O92" i="16"/>
  <c r="L92" i="16"/>
  <c r="I92" i="16"/>
  <c r="F92" i="16"/>
  <c r="X91" i="16"/>
  <c r="U91" i="16"/>
  <c r="R91" i="16"/>
  <c r="O91" i="16"/>
  <c r="L91" i="16"/>
  <c r="I91" i="16"/>
  <c r="F91" i="16"/>
  <c r="X90" i="16"/>
  <c r="U90" i="16"/>
  <c r="R90" i="16"/>
  <c r="O90" i="16"/>
  <c r="L90" i="16"/>
  <c r="I90" i="16"/>
  <c r="F90" i="16"/>
  <c r="X89" i="16"/>
  <c r="U89" i="16"/>
  <c r="R89" i="16"/>
  <c r="O89" i="16"/>
  <c r="L89" i="16"/>
  <c r="I89" i="16"/>
  <c r="F89" i="16"/>
  <c r="X88" i="16"/>
  <c r="U88" i="16"/>
  <c r="R88" i="16"/>
  <c r="O88" i="16"/>
  <c r="L88" i="16"/>
  <c r="I88" i="16"/>
  <c r="F88" i="16"/>
  <c r="X87" i="16"/>
  <c r="U87" i="16"/>
  <c r="R87" i="16"/>
  <c r="O87" i="16"/>
  <c r="L87" i="16"/>
  <c r="I87" i="16"/>
  <c r="F87" i="16"/>
  <c r="X86" i="16"/>
  <c r="U86" i="16"/>
  <c r="R86" i="16"/>
  <c r="O86" i="16"/>
  <c r="L86" i="16"/>
  <c r="I86" i="16"/>
  <c r="F86" i="16"/>
  <c r="X85" i="16"/>
  <c r="U85" i="16"/>
  <c r="R85" i="16"/>
  <c r="O85" i="16"/>
  <c r="L85" i="16"/>
  <c r="I85" i="16"/>
  <c r="F85" i="16"/>
  <c r="X84" i="16"/>
  <c r="U84" i="16"/>
  <c r="R84" i="16"/>
  <c r="O84" i="16"/>
  <c r="L84" i="16"/>
  <c r="I84" i="16"/>
  <c r="F84" i="16"/>
  <c r="X83" i="16"/>
  <c r="U83" i="16"/>
  <c r="R83" i="16"/>
  <c r="O83" i="16"/>
  <c r="L83" i="16"/>
  <c r="I83" i="16"/>
  <c r="F83" i="16"/>
  <c r="X82" i="16"/>
  <c r="U82" i="16"/>
  <c r="R82" i="16"/>
  <c r="O82" i="16"/>
  <c r="L82" i="16"/>
  <c r="I82" i="16"/>
  <c r="F82" i="16"/>
  <c r="X81" i="16"/>
  <c r="U81" i="16"/>
  <c r="R81" i="16"/>
  <c r="O81" i="16"/>
  <c r="L81" i="16"/>
  <c r="I81" i="16"/>
  <c r="F81" i="16"/>
  <c r="X80" i="16"/>
  <c r="U80" i="16"/>
  <c r="R80" i="16"/>
  <c r="O80" i="16"/>
  <c r="L80" i="16"/>
  <c r="I80" i="16"/>
  <c r="F80" i="16"/>
  <c r="X79" i="16"/>
  <c r="U79" i="16"/>
  <c r="R79" i="16"/>
  <c r="O79" i="16"/>
  <c r="L79" i="16"/>
  <c r="I79" i="16"/>
  <c r="F79" i="16"/>
  <c r="X78" i="16"/>
  <c r="U78" i="16"/>
  <c r="R78" i="16"/>
  <c r="O78" i="16"/>
  <c r="L78" i="16"/>
  <c r="I78" i="16"/>
  <c r="F78" i="16"/>
  <c r="X77" i="16"/>
  <c r="U77" i="16"/>
  <c r="R77" i="16"/>
  <c r="O77" i="16"/>
  <c r="L77" i="16"/>
  <c r="I77" i="16"/>
  <c r="F77" i="16"/>
  <c r="X76" i="16"/>
  <c r="U76" i="16"/>
  <c r="R76" i="16"/>
  <c r="O76" i="16"/>
  <c r="L76" i="16"/>
  <c r="I76" i="16"/>
  <c r="F76" i="16"/>
  <c r="X75" i="16"/>
  <c r="U75" i="16"/>
  <c r="R75" i="16"/>
  <c r="O75" i="16"/>
  <c r="L75" i="16"/>
  <c r="I75" i="16"/>
  <c r="F75" i="16"/>
  <c r="X74" i="16"/>
  <c r="U74" i="16"/>
  <c r="R74" i="16"/>
  <c r="O74" i="16"/>
  <c r="L74" i="16"/>
  <c r="I74" i="16"/>
  <c r="F74" i="16"/>
  <c r="X73" i="16"/>
  <c r="U73" i="16"/>
  <c r="R73" i="16"/>
  <c r="O73" i="16"/>
  <c r="L73" i="16"/>
  <c r="I73" i="16"/>
  <c r="F73" i="16"/>
  <c r="X72" i="16"/>
  <c r="U72" i="16"/>
  <c r="R72" i="16"/>
  <c r="O72" i="16"/>
  <c r="L72" i="16"/>
  <c r="I72" i="16"/>
  <c r="F72" i="16"/>
  <c r="X71" i="16"/>
  <c r="U71" i="16"/>
  <c r="R71" i="16"/>
  <c r="O71" i="16"/>
  <c r="L71" i="16"/>
  <c r="I71" i="16"/>
  <c r="F71" i="16"/>
  <c r="X70" i="16"/>
  <c r="U70" i="16"/>
  <c r="R70" i="16"/>
  <c r="O70" i="16"/>
  <c r="L70" i="16"/>
  <c r="I70" i="16"/>
  <c r="F70" i="16"/>
  <c r="X69" i="16"/>
  <c r="U69" i="16"/>
  <c r="R69" i="16"/>
  <c r="O69" i="16"/>
  <c r="L69" i="16"/>
  <c r="I69" i="16"/>
  <c r="F69" i="16"/>
  <c r="X68" i="16"/>
  <c r="U68" i="16"/>
  <c r="R68" i="16"/>
  <c r="O68" i="16"/>
  <c r="L68" i="16"/>
  <c r="I68" i="16"/>
  <c r="F68" i="16"/>
  <c r="X67" i="16"/>
  <c r="U67" i="16"/>
  <c r="R67" i="16"/>
  <c r="O67" i="16"/>
  <c r="L67" i="16"/>
  <c r="I67" i="16"/>
  <c r="F67" i="16"/>
  <c r="X66" i="16"/>
  <c r="U66" i="16"/>
  <c r="R66" i="16"/>
  <c r="O66" i="16"/>
  <c r="L66" i="16"/>
  <c r="I66" i="16"/>
  <c r="F66" i="16"/>
  <c r="X65" i="16"/>
  <c r="U65" i="16"/>
  <c r="R65" i="16"/>
  <c r="O65" i="16"/>
  <c r="L65" i="16"/>
  <c r="I65" i="16"/>
  <c r="F65" i="16"/>
  <c r="X64" i="16"/>
  <c r="U64" i="16"/>
  <c r="R64" i="16"/>
  <c r="O64" i="16"/>
  <c r="L64" i="16"/>
  <c r="I64" i="16"/>
  <c r="F64" i="16"/>
  <c r="X63" i="16"/>
  <c r="U63" i="16"/>
  <c r="R63" i="16"/>
  <c r="O63" i="16"/>
  <c r="L63" i="16"/>
  <c r="I63" i="16"/>
  <c r="F63" i="16"/>
  <c r="X62" i="16"/>
  <c r="U62" i="16"/>
  <c r="R62" i="16"/>
  <c r="O62" i="16"/>
  <c r="L62" i="16"/>
  <c r="I62" i="16"/>
  <c r="F62" i="16"/>
  <c r="X61" i="16"/>
  <c r="U61" i="16"/>
  <c r="R61" i="16"/>
  <c r="O61" i="16"/>
  <c r="L61" i="16"/>
  <c r="I61" i="16"/>
  <c r="F61" i="16"/>
  <c r="X60" i="16"/>
  <c r="U60" i="16"/>
  <c r="R60" i="16"/>
  <c r="O60" i="16"/>
  <c r="L60" i="16"/>
  <c r="I60" i="16"/>
  <c r="F60" i="16"/>
  <c r="X59" i="16"/>
  <c r="U59" i="16"/>
  <c r="R59" i="16"/>
  <c r="O59" i="16"/>
  <c r="L59" i="16"/>
  <c r="I59" i="16"/>
  <c r="F59" i="16"/>
  <c r="X58" i="16"/>
  <c r="U58" i="16"/>
  <c r="R58" i="16"/>
  <c r="O58" i="16"/>
  <c r="L58" i="16"/>
  <c r="I58" i="16"/>
  <c r="F58" i="16"/>
  <c r="X57" i="16"/>
  <c r="U57" i="16"/>
  <c r="R57" i="16"/>
  <c r="O57" i="16"/>
  <c r="L57" i="16"/>
  <c r="I57" i="16"/>
  <c r="F57" i="16"/>
  <c r="X56" i="16"/>
  <c r="U56" i="16"/>
  <c r="R56" i="16"/>
  <c r="O56" i="16"/>
  <c r="L56" i="16"/>
  <c r="I56" i="16"/>
  <c r="F56" i="16"/>
  <c r="X55" i="16"/>
  <c r="U55" i="16"/>
  <c r="R55" i="16"/>
  <c r="O55" i="16"/>
  <c r="L55" i="16"/>
  <c r="I55" i="16"/>
  <c r="F55" i="16"/>
  <c r="X54" i="16"/>
  <c r="U54" i="16"/>
  <c r="R54" i="16"/>
  <c r="O54" i="16"/>
  <c r="L54" i="16"/>
  <c r="I54" i="16"/>
  <c r="F54" i="16"/>
  <c r="X53" i="16"/>
  <c r="U53" i="16"/>
  <c r="R53" i="16"/>
  <c r="O53" i="16"/>
  <c r="L53" i="16"/>
  <c r="I53" i="16"/>
  <c r="F53" i="16"/>
  <c r="X52" i="16"/>
  <c r="U52" i="16"/>
  <c r="R52" i="16"/>
  <c r="O52" i="16"/>
  <c r="L52" i="16"/>
  <c r="I52" i="16"/>
  <c r="F52" i="16"/>
  <c r="X51" i="16"/>
  <c r="U51" i="16"/>
  <c r="R51" i="16"/>
  <c r="O51" i="16"/>
  <c r="Z51" i="16" s="1"/>
  <c r="AC51" i="16" s="1"/>
  <c r="AG51" i="16" s="1"/>
  <c r="L51" i="16"/>
  <c r="I51" i="16"/>
  <c r="F51" i="16"/>
  <c r="X50" i="16"/>
  <c r="U50" i="16"/>
  <c r="R50" i="16"/>
  <c r="O50" i="16"/>
  <c r="L50" i="16"/>
  <c r="I50" i="16"/>
  <c r="F50" i="16"/>
  <c r="X49" i="16"/>
  <c r="U49" i="16"/>
  <c r="R49" i="16"/>
  <c r="O49" i="16"/>
  <c r="L49" i="16"/>
  <c r="I49" i="16"/>
  <c r="F49" i="16"/>
  <c r="X48" i="16"/>
  <c r="U48" i="16"/>
  <c r="R48" i="16"/>
  <c r="O48" i="16"/>
  <c r="L48" i="16"/>
  <c r="I48" i="16"/>
  <c r="F48" i="16"/>
  <c r="X47" i="16"/>
  <c r="U47" i="16"/>
  <c r="R47" i="16"/>
  <c r="O47" i="16"/>
  <c r="L47" i="16"/>
  <c r="I47" i="16"/>
  <c r="F47" i="16"/>
  <c r="X46" i="16"/>
  <c r="U46" i="16"/>
  <c r="R46" i="16"/>
  <c r="O46" i="16"/>
  <c r="L46" i="16"/>
  <c r="I46" i="16"/>
  <c r="F46" i="16"/>
  <c r="X45" i="16"/>
  <c r="U45" i="16"/>
  <c r="R45" i="16"/>
  <c r="O45" i="16"/>
  <c r="L45" i="16"/>
  <c r="I45" i="16"/>
  <c r="F45" i="16"/>
  <c r="X44" i="16"/>
  <c r="U44" i="16"/>
  <c r="R44" i="16"/>
  <c r="O44" i="16"/>
  <c r="L44" i="16"/>
  <c r="I44" i="16"/>
  <c r="F44" i="16"/>
  <c r="X43" i="16"/>
  <c r="U43" i="16"/>
  <c r="R43" i="16"/>
  <c r="O43" i="16"/>
  <c r="L43" i="16"/>
  <c r="I43" i="16"/>
  <c r="F43" i="16"/>
  <c r="X42" i="16"/>
  <c r="U42" i="16"/>
  <c r="R42" i="16"/>
  <c r="O42" i="16"/>
  <c r="L42" i="16"/>
  <c r="I42" i="16"/>
  <c r="F42" i="16"/>
  <c r="X41" i="16"/>
  <c r="U41" i="16"/>
  <c r="R41" i="16"/>
  <c r="O41" i="16"/>
  <c r="L41" i="16"/>
  <c r="I41" i="16"/>
  <c r="F41" i="16"/>
  <c r="X40" i="16"/>
  <c r="U40" i="16"/>
  <c r="R40" i="16"/>
  <c r="O40" i="16"/>
  <c r="L40" i="16"/>
  <c r="I40" i="16"/>
  <c r="F40" i="16"/>
  <c r="X39" i="16"/>
  <c r="U39" i="16"/>
  <c r="R39" i="16"/>
  <c r="O39" i="16"/>
  <c r="L39" i="16"/>
  <c r="I39" i="16"/>
  <c r="F39" i="16"/>
  <c r="X38" i="16"/>
  <c r="U38" i="16"/>
  <c r="R38" i="16"/>
  <c r="O38" i="16"/>
  <c r="L38" i="16"/>
  <c r="I38" i="16"/>
  <c r="F38" i="16"/>
  <c r="X37" i="16"/>
  <c r="U37" i="16"/>
  <c r="R37" i="16"/>
  <c r="O37" i="16"/>
  <c r="L37" i="16"/>
  <c r="I37" i="16"/>
  <c r="F37" i="16"/>
  <c r="X36" i="16"/>
  <c r="U36" i="16"/>
  <c r="R36" i="16"/>
  <c r="O36" i="16"/>
  <c r="L36" i="16"/>
  <c r="I36" i="16"/>
  <c r="F36" i="16"/>
  <c r="X35" i="16"/>
  <c r="U35" i="16"/>
  <c r="R35" i="16"/>
  <c r="O35" i="16"/>
  <c r="L35" i="16"/>
  <c r="I35" i="16"/>
  <c r="F35" i="16"/>
  <c r="X34" i="16"/>
  <c r="U34" i="16"/>
  <c r="R34" i="16"/>
  <c r="O34" i="16"/>
  <c r="L34" i="16"/>
  <c r="I34" i="16"/>
  <c r="F34" i="16"/>
  <c r="X33" i="16"/>
  <c r="U33" i="16"/>
  <c r="R33" i="16"/>
  <c r="O33" i="16"/>
  <c r="L33" i="16"/>
  <c r="I33" i="16"/>
  <c r="F33" i="16"/>
  <c r="X32" i="16"/>
  <c r="U32" i="16"/>
  <c r="R32" i="16"/>
  <c r="O32" i="16"/>
  <c r="L32" i="16"/>
  <c r="I32" i="16"/>
  <c r="F32" i="16"/>
  <c r="X31" i="16"/>
  <c r="U31" i="16"/>
  <c r="R31" i="16"/>
  <c r="O31" i="16"/>
  <c r="L31" i="16"/>
  <c r="I31" i="16"/>
  <c r="F31" i="16"/>
  <c r="X30" i="16"/>
  <c r="U30" i="16"/>
  <c r="R30" i="16"/>
  <c r="O30" i="16"/>
  <c r="L30" i="16"/>
  <c r="I30" i="16"/>
  <c r="F30" i="16"/>
  <c r="X29" i="16"/>
  <c r="U29" i="16"/>
  <c r="R29" i="16"/>
  <c r="O29" i="16"/>
  <c r="L29" i="16"/>
  <c r="I29" i="16"/>
  <c r="F29" i="16"/>
  <c r="X28" i="16"/>
  <c r="U28" i="16"/>
  <c r="R28" i="16"/>
  <c r="O28" i="16"/>
  <c r="L28" i="16"/>
  <c r="I28" i="16"/>
  <c r="F28" i="16"/>
  <c r="X27" i="16"/>
  <c r="U27" i="16"/>
  <c r="R27" i="16"/>
  <c r="O27" i="16"/>
  <c r="L27" i="16"/>
  <c r="I27" i="16"/>
  <c r="F27" i="16"/>
  <c r="X26" i="16"/>
  <c r="U26" i="16"/>
  <c r="R26" i="16"/>
  <c r="O26" i="16"/>
  <c r="L26" i="16"/>
  <c r="I26" i="16"/>
  <c r="F26" i="16"/>
  <c r="X25" i="16"/>
  <c r="U25" i="16"/>
  <c r="R25" i="16"/>
  <c r="O25" i="16"/>
  <c r="L25" i="16"/>
  <c r="I25" i="16"/>
  <c r="F25" i="16"/>
  <c r="X24" i="16"/>
  <c r="U24" i="16"/>
  <c r="R24" i="16"/>
  <c r="O24" i="16"/>
  <c r="L24" i="16"/>
  <c r="I24" i="16"/>
  <c r="F24" i="16"/>
  <c r="X23" i="16"/>
  <c r="U23" i="16"/>
  <c r="R23" i="16"/>
  <c r="O23" i="16"/>
  <c r="L23" i="16"/>
  <c r="I23" i="16"/>
  <c r="F23" i="16"/>
  <c r="X22" i="16"/>
  <c r="U22" i="16"/>
  <c r="R22" i="16"/>
  <c r="O22" i="16"/>
  <c r="L22" i="16"/>
  <c r="I22" i="16"/>
  <c r="F22" i="16"/>
  <c r="X21" i="16"/>
  <c r="U21" i="16"/>
  <c r="R21" i="16"/>
  <c r="O21" i="16"/>
  <c r="L21" i="16"/>
  <c r="I21" i="16"/>
  <c r="F21" i="16"/>
  <c r="X20" i="16"/>
  <c r="U20" i="16"/>
  <c r="R20" i="16"/>
  <c r="O20" i="16"/>
  <c r="L20" i="16"/>
  <c r="I20" i="16"/>
  <c r="F20" i="16"/>
  <c r="X19" i="16"/>
  <c r="U19" i="16"/>
  <c r="R19" i="16"/>
  <c r="O19" i="16"/>
  <c r="L19" i="16"/>
  <c r="I19" i="16"/>
  <c r="F19" i="16"/>
  <c r="X18" i="16"/>
  <c r="U18" i="16"/>
  <c r="R18" i="16"/>
  <c r="O18" i="16"/>
  <c r="L18" i="16"/>
  <c r="I18" i="16"/>
  <c r="F18" i="16"/>
  <c r="X17" i="16"/>
  <c r="U17" i="16"/>
  <c r="R17" i="16"/>
  <c r="O17" i="16"/>
  <c r="L17" i="16"/>
  <c r="I17" i="16"/>
  <c r="F17" i="16"/>
  <c r="X16" i="16"/>
  <c r="U16" i="16"/>
  <c r="R16" i="16"/>
  <c r="O16" i="16"/>
  <c r="L16" i="16"/>
  <c r="I16" i="16"/>
  <c r="F16" i="16"/>
  <c r="X15" i="16"/>
  <c r="U15" i="16"/>
  <c r="R15" i="16"/>
  <c r="O15" i="16"/>
  <c r="L15" i="16"/>
  <c r="I15" i="16"/>
  <c r="F15" i="16"/>
  <c r="X14" i="16"/>
  <c r="U14" i="16"/>
  <c r="R14" i="16"/>
  <c r="O14" i="16"/>
  <c r="L14" i="16"/>
  <c r="I14" i="16"/>
  <c r="F14" i="16"/>
  <c r="X13" i="16"/>
  <c r="U13" i="16"/>
  <c r="R13" i="16"/>
  <c r="O13" i="16"/>
  <c r="L13" i="16"/>
  <c r="I13" i="16"/>
  <c r="F13" i="16"/>
  <c r="X12" i="16"/>
  <c r="U12" i="16"/>
  <c r="R12" i="16"/>
  <c r="O12" i="16"/>
  <c r="L12" i="16"/>
  <c r="I12" i="16"/>
  <c r="F12" i="16"/>
  <c r="X11" i="16"/>
  <c r="U11" i="16"/>
  <c r="R11" i="16"/>
  <c r="O11" i="16"/>
  <c r="L11" i="16"/>
  <c r="I11" i="16"/>
  <c r="F11" i="16"/>
  <c r="X10" i="16"/>
  <c r="U10" i="16"/>
  <c r="R10" i="16"/>
  <c r="O10" i="16"/>
  <c r="L10" i="16"/>
  <c r="I10" i="16"/>
  <c r="F10" i="16"/>
  <c r="X9" i="16"/>
  <c r="U9" i="16"/>
  <c r="R9" i="16"/>
  <c r="O9" i="16"/>
  <c r="L9" i="16"/>
  <c r="I9" i="16"/>
  <c r="F9" i="16"/>
  <c r="X8" i="16"/>
  <c r="U8" i="16"/>
  <c r="R8" i="16"/>
  <c r="O8" i="16"/>
  <c r="L8" i="16"/>
  <c r="I8" i="16"/>
  <c r="F8" i="16"/>
  <c r="X7" i="16"/>
  <c r="U7" i="16"/>
  <c r="R7" i="16"/>
  <c r="O7" i="16"/>
  <c r="L7" i="16"/>
  <c r="I7" i="16"/>
  <c r="F7" i="16"/>
  <c r="X6" i="16"/>
  <c r="U6" i="16"/>
  <c r="R6" i="16"/>
  <c r="O6" i="16"/>
  <c r="L6" i="16"/>
  <c r="I6" i="16"/>
  <c r="F6" i="16"/>
  <c r="X5" i="16"/>
  <c r="U5" i="16"/>
  <c r="R5" i="16"/>
  <c r="O5" i="16"/>
  <c r="L5" i="16"/>
  <c r="I5" i="16"/>
  <c r="F5" i="16"/>
  <c r="X4" i="16"/>
  <c r="U4" i="16"/>
  <c r="R4" i="16"/>
  <c r="O4" i="16"/>
  <c r="L4" i="16"/>
  <c r="I4" i="16"/>
  <c r="F4" i="16"/>
  <c r="AD100" i="15"/>
  <c r="AB100" i="15"/>
  <c r="AA100" i="15"/>
  <c r="Y100" i="15"/>
  <c r="W100" i="15"/>
  <c r="V100" i="15"/>
  <c r="T100" i="15"/>
  <c r="S100" i="15"/>
  <c r="Q100" i="15"/>
  <c r="P100" i="15"/>
  <c r="N100" i="15"/>
  <c r="K100" i="15"/>
  <c r="J100" i="15"/>
  <c r="H100" i="15"/>
  <c r="G100" i="15"/>
  <c r="E100" i="15"/>
  <c r="D100" i="15"/>
  <c r="X99" i="15"/>
  <c r="U99" i="15"/>
  <c r="R99" i="15"/>
  <c r="O99" i="15"/>
  <c r="L99" i="15"/>
  <c r="I99" i="15"/>
  <c r="F99" i="15"/>
  <c r="X98" i="15"/>
  <c r="U98" i="15"/>
  <c r="R98" i="15"/>
  <c r="O98" i="15"/>
  <c r="L98" i="15"/>
  <c r="I98" i="15"/>
  <c r="F98" i="15"/>
  <c r="X97" i="15"/>
  <c r="U97" i="15"/>
  <c r="R97" i="15"/>
  <c r="O97" i="15"/>
  <c r="L97" i="15"/>
  <c r="I97" i="15"/>
  <c r="F97" i="15"/>
  <c r="X96" i="15"/>
  <c r="U96" i="15"/>
  <c r="R96" i="15"/>
  <c r="Z96" i="15" s="1"/>
  <c r="AC96" i="15" s="1"/>
  <c r="AG96" i="15" s="1"/>
  <c r="O96" i="15"/>
  <c r="L96" i="15"/>
  <c r="I96" i="15"/>
  <c r="F96" i="15"/>
  <c r="X95" i="15"/>
  <c r="U95" i="15"/>
  <c r="R95" i="15"/>
  <c r="O95" i="15"/>
  <c r="L95" i="15"/>
  <c r="I95" i="15"/>
  <c r="F95" i="15"/>
  <c r="X94" i="15"/>
  <c r="U94" i="15"/>
  <c r="R94" i="15"/>
  <c r="O94" i="15"/>
  <c r="L94" i="15"/>
  <c r="I94" i="15"/>
  <c r="F94" i="15"/>
  <c r="X93" i="15"/>
  <c r="U93" i="15"/>
  <c r="R93" i="15"/>
  <c r="O93" i="15"/>
  <c r="L93" i="15"/>
  <c r="I93" i="15"/>
  <c r="F93" i="15"/>
  <c r="X92" i="15"/>
  <c r="U92" i="15"/>
  <c r="R92" i="15"/>
  <c r="O92" i="15"/>
  <c r="L92" i="15"/>
  <c r="I92" i="15"/>
  <c r="F92" i="15"/>
  <c r="X91" i="15"/>
  <c r="U91" i="15"/>
  <c r="R91" i="15"/>
  <c r="O91" i="15"/>
  <c r="L91" i="15"/>
  <c r="I91" i="15"/>
  <c r="F91" i="15"/>
  <c r="X90" i="15"/>
  <c r="U90" i="15"/>
  <c r="R90" i="15"/>
  <c r="O90" i="15"/>
  <c r="L90" i="15"/>
  <c r="I90" i="15"/>
  <c r="F90" i="15"/>
  <c r="X89" i="15"/>
  <c r="U89" i="15"/>
  <c r="R89" i="15"/>
  <c r="O89" i="15"/>
  <c r="L89" i="15"/>
  <c r="I89" i="15"/>
  <c r="F89" i="15"/>
  <c r="X88" i="15"/>
  <c r="U88" i="15"/>
  <c r="R88" i="15"/>
  <c r="O88" i="15"/>
  <c r="L88" i="15"/>
  <c r="I88" i="15"/>
  <c r="F88" i="15"/>
  <c r="X87" i="15"/>
  <c r="U87" i="15"/>
  <c r="R87" i="15"/>
  <c r="O87" i="15"/>
  <c r="L87" i="15"/>
  <c r="I87" i="15"/>
  <c r="F87" i="15"/>
  <c r="X86" i="15"/>
  <c r="U86" i="15"/>
  <c r="R86" i="15"/>
  <c r="O86" i="15"/>
  <c r="L86" i="15"/>
  <c r="I86" i="15"/>
  <c r="F86" i="15"/>
  <c r="X85" i="15"/>
  <c r="U85" i="15"/>
  <c r="R85" i="15"/>
  <c r="O85" i="15"/>
  <c r="L85" i="15"/>
  <c r="I85" i="15"/>
  <c r="F85" i="15"/>
  <c r="X84" i="15"/>
  <c r="U84" i="15"/>
  <c r="R84" i="15"/>
  <c r="O84" i="15"/>
  <c r="L84" i="15"/>
  <c r="I84" i="15"/>
  <c r="F84" i="15"/>
  <c r="X83" i="15"/>
  <c r="U83" i="15"/>
  <c r="R83" i="15"/>
  <c r="O83" i="15"/>
  <c r="L83" i="15"/>
  <c r="I83" i="15"/>
  <c r="F83" i="15"/>
  <c r="X82" i="15"/>
  <c r="U82" i="15"/>
  <c r="R82" i="15"/>
  <c r="O82" i="15"/>
  <c r="L82" i="15"/>
  <c r="I82" i="15"/>
  <c r="F82" i="15"/>
  <c r="X81" i="15"/>
  <c r="U81" i="15"/>
  <c r="R81" i="15"/>
  <c r="O81" i="15"/>
  <c r="L81" i="15"/>
  <c r="I81" i="15"/>
  <c r="F81" i="15"/>
  <c r="X80" i="15"/>
  <c r="U80" i="15"/>
  <c r="R80" i="15"/>
  <c r="Z80" i="15" s="1"/>
  <c r="AC80" i="15" s="1"/>
  <c r="AG80" i="15" s="1"/>
  <c r="O80" i="15"/>
  <c r="L80" i="15"/>
  <c r="I80" i="15"/>
  <c r="F80" i="15"/>
  <c r="X79" i="15"/>
  <c r="U79" i="15"/>
  <c r="R79" i="15"/>
  <c r="O79" i="15"/>
  <c r="L79" i="15"/>
  <c r="I79" i="15"/>
  <c r="F79" i="15"/>
  <c r="Z79" i="15" s="1"/>
  <c r="AC79" i="15" s="1"/>
  <c r="AG79" i="15" s="1"/>
  <c r="X78" i="15"/>
  <c r="U78" i="15"/>
  <c r="R78" i="15"/>
  <c r="O78" i="15"/>
  <c r="L78" i="15"/>
  <c r="I78" i="15"/>
  <c r="F78" i="15"/>
  <c r="X77" i="15"/>
  <c r="U77" i="15"/>
  <c r="R77" i="15"/>
  <c r="O77" i="15"/>
  <c r="L77" i="15"/>
  <c r="I77" i="15"/>
  <c r="F77" i="15"/>
  <c r="X76" i="15"/>
  <c r="U76" i="15"/>
  <c r="R76" i="15"/>
  <c r="O76" i="15"/>
  <c r="L76" i="15"/>
  <c r="I76" i="15"/>
  <c r="F76" i="15"/>
  <c r="X75" i="15"/>
  <c r="U75" i="15"/>
  <c r="R75" i="15"/>
  <c r="O75" i="15"/>
  <c r="L75" i="15"/>
  <c r="I75" i="15"/>
  <c r="F75" i="15"/>
  <c r="X74" i="15"/>
  <c r="U74" i="15"/>
  <c r="R74" i="15"/>
  <c r="O74" i="15"/>
  <c r="L74" i="15"/>
  <c r="I74" i="15"/>
  <c r="F74" i="15"/>
  <c r="X73" i="15"/>
  <c r="U73" i="15"/>
  <c r="R73" i="15"/>
  <c r="O73" i="15"/>
  <c r="L73" i="15"/>
  <c r="I73" i="15"/>
  <c r="F73" i="15"/>
  <c r="X72" i="15"/>
  <c r="U72" i="15"/>
  <c r="R72" i="15"/>
  <c r="O72" i="15"/>
  <c r="L72" i="15"/>
  <c r="I72" i="15"/>
  <c r="F72" i="15"/>
  <c r="X71" i="15"/>
  <c r="U71" i="15"/>
  <c r="R71" i="15"/>
  <c r="O71" i="15"/>
  <c r="L71" i="15"/>
  <c r="I71" i="15"/>
  <c r="F71" i="15"/>
  <c r="X70" i="15"/>
  <c r="U70" i="15"/>
  <c r="R70" i="15"/>
  <c r="O70" i="15"/>
  <c r="L70" i="15"/>
  <c r="I70" i="15"/>
  <c r="F70" i="15"/>
  <c r="X69" i="15"/>
  <c r="U69" i="15"/>
  <c r="R69" i="15"/>
  <c r="O69" i="15"/>
  <c r="L69" i="15"/>
  <c r="I69" i="15"/>
  <c r="F69" i="15"/>
  <c r="X68" i="15"/>
  <c r="U68" i="15"/>
  <c r="R68" i="15"/>
  <c r="O68" i="15"/>
  <c r="L68" i="15"/>
  <c r="I68" i="15"/>
  <c r="F68" i="15"/>
  <c r="X67" i="15"/>
  <c r="U67" i="15"/>
  <c r="R67" i="15"/>
  <c r="O67" i="15"/>
  <c r="L67" i="15"/>
  <c r="I67" i="15"/>
  <c r="F67" i="15"/>
  <c r="X66" i="15"/>
  <c r="U66" i="15"/>
  <c r="R66" i="15"/>
  <c r="O66" i="15"/>
  <c r="L66" i="15"/>
  <c r="I66" i="15"/>
  <c r="F66" i="15"/>
  <c r="X65" i="15"/>
  <c r="U65" i="15"/>
  <c r="R65" i="15"/>
  <c r="O65" i="15"/>
  <c r="L65" i="15"/>
  <c r="I65" i="15"/>
  <c r="F65" i="15"/>
  <c r="X64" i="15"/>
  <c r="U64" i="15"/>
  <c r="R64" i="15"/>
  <c r="O64" i="15"/>
  <c r="L64" i="15"/>
  <c r="I64" i="15"/>
  <c r="F64" i="15"/>
  <c r="X63" i="15"/>
  <c r="U63" i="15"/>
  <c r="R63" i="15"/>
  <c r="O63" i="15"/>
  <c r="L63" i="15"/>
  <c r="I63" i="15"/>
  <c r="F63" i="15"/>
  <c r="X62" i="15"/>
  <c r="U62" i="15"/>
  <c r="R62" i="15"/>
  <c r="O62" i="15"/>
  <c r="L62" i="15"/>
  <c r="I62" i="15"/>
  <c r="F62" i="15"/>
  <c r="X61" i="15"/>
  <c r="U61" i="15"/>
  <c r="R61" i="15"/>
  <c r="O61" i="15"/>
  <c r="L61" i="15"/>
  <c r="I61" i="15"/>
  <c r="F61" i="15"/>
  <c r="X60" i="15"/>
  <c r="U60" i="15"/>
  <c r="R60" i="15"/>
  <c r="O60" i="15"/>
  <c r="L60" i="15"/>
  <c r="I60" i="15"/>
  <c r="F60" i="15"/>
  <c r="X59" i="15"/>
  <c r="U59" i="15"/>
  <c r="R59" i="15"/>
  <c r="O59" i="15"/>
  <c r="L59" i="15"/>
  <c r="I59" i="15"/>
  <c r="F59" i="15"/>
  <c r="X58" i="15"/>
  <c r="U58" i="15"/>
  <c r="R58" i="15"/>
  <c r="O58" i="15"/>
  <c r="L58" i="15"/>
  <c r="I58" i="15"/>
  <c r="F58" i="15"/>
  <c r="X57" i="15"/>
  <c r="U57" i="15"/>
  <c r="R57" i="15"/>
  <c r="O57" i="15"/>
  <c r="L57" i="15"/>
  <c r="I57" i="15"/>
  <c r="F57" i="15"/>
  <c r="X56" i="15"/>
  <c r="U56" i="15"/>
  <c r="R56" i="15"/>
  <c r="O56" i="15"/>
  <c r="L56" i="15"/>
  <c r="I56" i="15"/>
  <c r="F56" i="15"/>
  <c r="X55" i="15"/>
  <c r="U55" i="15"/>
  <c r="R55" i="15"/>
  <c r="O55" i="15"/>
  <c r="L55" i="15"/>
  <c r="I55" i="15"/>
  <c r="F55" i="15"/>
  <c r="X54" i="15"/>
  <c r="U54" i="15"/>
  <c r="R54" i="15"/>
  <c r="O54" i="15"/>
  <c r="L54" i="15"/>
  <c r="I54" i="15"/>
  <c r="F54" i="15"/>
  <c r="X53" i="15"/>
  <c r="U53" i="15"/>
  <c r="R53" i="15"/>
  <c r="O53" i="15"/>
  <c r="L53" i="15"/>
  <c r="I53" i="15"/>
  <c r="F53" i="15"/>
  <c r="X52" i="15"/>
  <c r="U52" i="15"/>
  <c r="R52" i="15"/>
  <c r="L52" i="15"/>
  <c r="I52" i="15"/>
  <c r="F52" i="15"/>
  <c r="X51" i="15"/>
  <c r="U51" i="15"/>
  <c r="R51" i="15"/>
  <c r="O51" i="15"/>
  <c r="L51" i="15"/>
  <c r="I51" i="15"/>
  <c r="F51" i="15"/>
  <c r="X50" i="15"/>
  <c r="U50" i="15"/>
  <c r="R50" i="15"/>
  <c r="O50" i="15"/>
  <c r="L50" i="15"/>
  <c r="I50" i="15"/>
  <c r="F50" i="15"/>
  <c r="X49" i="15"/>
  <c r="U49" i="15"/>
  <c r="R49" i="15"/>
  <c r="O49" i="15"/>
  <c r="L49" i="15"/>
  <c r="I49" i="15"/>
  <c r="F49" i="15"/>
  <c r="X48" i="15"/>
  <c r="U48" i="15"/>
  <c r="R48" i="15"/>
  <c r="O48" i="15"/>
  <c r="L48" i="15"/>
  <c r="I48" i="15"/>
  <c r="F48" i="15"/>
  <c r="X47" i="15"/>
  <c r="U47" i="15"/>
  <c r="R47" i="15"/>
  <c r="O47" i="15"/>
  <c r="L47" i="15"/>
  <c r="I47" i="15"/>
  <c r="F47" i="15"/>
  <c r="X46" i="15"/>
  <c r="U46" i="15"/>
  <c r="R46" i="15"/>
  <c r="O46" i="15"/>
  <c r="L46" i="15"/>
  <c r="I46" i="15"/>
  <c r="F46" i="15"/>
  <c r="X45" i="15"/>
  <c r="U45" i="15"/>
  <c r="R45" i="15"/>
  <c r="O45" i="15"/>
  <c r="L45" i="15"/>
  <c r="I45" i="15"/>
  <c r="F45" i="15"/>
  <c r="X44" i="15"/>
  <c r="U44" i="15"/>
  <c r="R44" i="15"/>
  <c r="O44" i="15"/>
  <c r="L44" i="15"/>
  <c r="I44" i="15"/>
  <c r="F44" i="15"/>
  <c r="X43" i="15"/>
  <c r="U43" i="15"/>
  <c r="R43" i="15"/>
  <c r="O43" i="15"/>
  <c r="L43" i="15"/>
  <c r="I43" i="15"/>
  <c r="F43" i="15"/>
  <c r="X42" i="15"/>
  <c r="U42" i="15"/>
  <c r="R42" i="15"/>
  <c r="O42" i="15"/>
  <c r="L42" i="15"/>
  <c r="I42" i="15"/>
  <c r="F42" i="15"/>
  <c r="X41" i="15"/>
  <c r="U41" i="15"/>
  <c r="R41" i="15"/>
  <c r="O41" i="15"/>
  <c r="L41" i="15"/>
  <c r="I41" i="15"/>
  <c r="F41" i="15"/>
  <c r="X40" i="15"/>
  <c r="U40" i="15"/>
  <c r="R40" i="15"/>
  <c r="O40" i="15"/>
  <c r="L40" i="15"/>
  <c r="I40" i="15"/>
  <c r="F40" i="15"/>
  <c r="X39" i="15"/>
  <c r="U39" i="15"/>
  <c r="R39" i="15"/>
  <c r="O39" i="15"/>
  <c r="L39" i="15"/>
  <c r="I39" i="15"/>
  <c r="F39" i="15"/>
  <c r="X38" i="15"/>
  <c r="U38" i="15"/>
  <c r="R38" i="15"/>
  <c r="O38" i="15"/>
  <c r="L38" i="15"/>
  <c r="I38" i="15"/>
  <c r="F38" i="15"/>
  <c r="X37" i="15"/>
  <c r="U37" i="15"/>
  <c r="R37" i="15"/>
  <c r="O37" i="15"/>
  <c r="L37" i="15"/>
  <c r="I37" i="15"/>
  <c r="F37" i="15"/>
  <c r="X36" i="15"/>
  <c r="U36" i="15"/>
  <c r="R36" i="15"/>
  <c r="O36" i="15"/>
  <c r="L36" i="15"/>
  <c r="I36" i="15"/>
  <c r="F36" i="15"/>
  <c r="X35" i="15"/>
  <c r="U35" i="15"/>
  <c r="R35" i="15"/>
  <c r="O35" i="15"/>
  <c r="L35" i="15"/>
  <c r="I35" i="15"/>
  <c r="F35" i="15"/>
  <c r="X34" i="15"/>
  <c r="U34" i="15"/>
  <c r="R34" i="15"/>
  <c r="O34" i="15"/>
  <c r="L34" i="15"/>
  <c r="I34" i="15"/>
  <c r="F34" i="15"/>
  <c r="X33" i="15"/>
  <c r="U33" i="15"/>
  <c r="R33" i="15"/>
  <c r="O33" i="15"/>
  <c r="L33" i="15"/>
  <c r="I33" i="15"/>
  <c r="F33" i="15"/>
  <c r="X32" i="15"/>
  <c r="U32" i="15"/>
  <c r="R32" i="15"/>
  <c r="O32" i="15"/>
  <c r="L32" i="15"/>
  <c r="I32" i="15"/>
  <c r="F32" i="15"/>
  <c r="X31" i="15"/>
  <c r="U31" i="15"/>
  <c r="R31" i="15"/>
  <c r="O31" i="15"/>
  <c r="L31" i="15"/>
  <c r="I31" i="15"/>
  <c r="F31" i="15"/>
  <c r="X30" i="15"/>
  <c r="U30" i="15"/>
  <c r="R30" i="15"/>
  <c r="O30" i="15"/>
  <c r="L30" i="15"/>
  <c r="I30" i="15"/>
  <c r="F30" i="15"/>
  <c r="X29" i="15"/>
  <c r="U29" i="15"/>
  <c r="R29" i="15"/>
  <c r="O29" i="15"/>
  <c r="L29" i="15"/>
  <c r="I29" i="15"/>
  <c r="F29" i="15"/>
  <c r="X28" i="15"/>
  <c r="U28" i="15"/>
  <c r="R28" i="15"/>
  <c r="O28" i="15"/>
  <c r="L28" i="15"/>
  <c r="I28" i="15"/>
  <c r="F28" i="15"/>
  <c r="X27" i="15"/>
  <c r="U27" i="15"/>
  <c r="R27" i="15"/>
  <c r="O27" i="15"/>
  <c r="L27" i="15"/>
  <c r="I27" i="15"/>
  <c r="F27" i="15"/>
  <c r="X26" i="15"/>
  <c r="U26" i="15"/>
  <c r="R26" i="15"/>
  <c r="O26" i="15"/>
  <c r="L26" i="15"/>
  <c r="I26" i="15"/>
  <c r="F26" i="15"/>
  <c r="X25" i="15"/>
  <c r="U25" i="15"/>
  <c r="R25" i="15"/>
  <c r="O25" i="15"/>
  <c r="L25" i="15"/>
  <c r="I25" i="15"/>
  <c r="F25" i="15"/>
  <c r="X24" i="15"/>
  <c r="U24" i="15"/>
  <c r="R24" i="15"/>
  <c r="O24" i="15"/>
  <c r="L24" i="15"/>
  <c r="I24" i="15"/>
  <c r="F24" i="15"/>
  <c r="X23" i="15"/>
  <c r="U23" i="15"/>
  <c r="R23" i="15"/>
  <c r="O23" i="15"/>
  <c r="L23" i="15"/>
  <c r="I23" i="15"/>
  <c r="F23" i="15"/>
  <c r="X22" i="15"/>
  <c r="U22" i="15"/>
  <c r="R22" i="15"/>
  <c r="O22" i="15"/>
  <c r="L22" i="15"/>
  <c r="I22" i="15"/>
  <c r="F22" i="15"/>
  <c r="X21" i="15"/>
  <c r="U21" i="15"/>
  <c r="R21" i="15"/>
  <c r="O21" i="15"/>
  <c r="L21" i="15"/>
  <c r="I21" i="15"/>
  <c r="F21" i="15"/>
  <c r="X20" i="15"/>
  <c r="U20" i="15"/>
  <c r="R20" i="15"/>
  <c r="O20" i="15"/>
  <c r="L20" i="15"/>
  <c r="I20" i="15"/>
  <c r="F20" i="15"/>
  <c r="X19" i="15"/>
  <c r="U19" i="15"/>
  <c r="R19" i="15"/>
  <c r="O19" i="15"/>
  <c r="L19" i="15"/>
  <c r="I19" i="15"/>
  <c r="F19" i="15"/>
  <c r="X18" i="15"/>
  <c r="U18" i="15"/>
  <c r="R18" i="15"/>
  <c r="O18" i="15"/>
  <c r="L18" i="15"/>
  <c r="I18" i="15"/>
  <c r="F18" i="15"/>
  <c r="X17" i="15"/>
  <c r="U17" i="15"/>
  <c r="R17" i="15"/>
  <c r="O17" i="15"/>
  <c r="L17" i="15"/>
  <c r="I17" i="15"/>
  <c r="F17" i="15"/>
  <c r="X16" i="15"/>
  <c r="U16" i="15"/>
  <c r="R16" i="15"/>
  <c r="O16" i="15"/>
  <c r="L16" i="15"/>
  <c r="I16" i="15"/>
  <c r="F16" i="15"/>
  <c r="X15" i="15"/>
  <c r="U15" i="15"/>
  <c r="R15" i="15"/>
  <c r="O15" i="15"/>
  <c r="L15" i="15"/>
  <c r="I15" i="15"/>
  <c r="F15" i="15"/>
  <c r="X14" i="15"/>
  <c r="U14" i="15"/>
  <c r="R14" i="15"/>
  <c r="O14" i="15"/>
  <c r="L14" i="15"/>
  <c r="I14" i="15"/>
  <c r="F14" i="15"/>
  <c r="X13" i="15"/>
  <c r="U13" i="15"/>
  <c r="R13" i="15"/>
  <c r="O13" i="15"/>
  <c r="L13" i="15"/>
  <c r="I13" i="15"/>
  <c r="F13" i="15"/>
  <c r="X12" i="15"/>
  <c r="U12" i="15"/>
  <c r="R12" i="15"/>
  <c r="O12" i="15"/>
  <c r="L12" i="15"/>
  <c r="I12" i="15"/>
  <c r="F12" i="15"/>
  <c r="X11" i="15"/>
  <c r="U11" i="15"/>
  <c r="R11" i="15"/>
  <c r="O11" i="15"/>
  <c r="L11" i="15"/>
  <c r="I11" i="15"/>
  <c r="F11" i="15"/>
  <c r="X10" i="15"/>
  <c r="U10" i="15"/>
  <c r="R10" i="15"/>
  <c r="O10" i="15"/>
  <c r="L10" i="15"/>
  <c r="I10" i="15"/>
  <c r="F10" i="15"/>
  <c r="X9" i="15"/>
  <c r="U9" i="15"/>
  <c r="R9" i="15"/>
  <c r="O9" i="15"/>
  <c r="L9" i="15"/>
  <c r="I9" i="15"/>
  <c r="F9" i="15"/>
  <c r="X8" i="15"/>
  <c r="U8" i="15"/>
  <c r="R8" i="15"/>
  <c r="O8" i="15"/>
  <c r="L8" i="15"/>
  <c r="I8" i="15"/>
  <c r="F8" i="15"/>
  <c r="X7" i="15"/>
  <c r="U7" i="15"/>
  <c r="R7" i="15"/>
  <c r="O7" i="15"/>
  <c r="L7" i="15"/>
  <c r="I7" i="15"/>
  <c r="F7" i="15"/>
  <c r="X6" i="15"/>
  <c r="U6" i="15"/>
  <c r="R6" i="15"/>
  <c r="O6" i="15"/>
  <c r="L6" i="15"/>
  <c r="I6" i="15"/>
  <c r="F6" i="15"/>
  <c r="X5" i="15"/>
  <c r="U5" i="15"/>
  <c r="R5" i="15"/>
  <c r="O5" i="15"/>
  <c r="L5" i="15"/>
  <c r="I5" i="15"/>
  <c r="F5" i="15"/>
  <c r="X4" i="15"/>
  <c r="U4" i="15"/>
  <c r="R4" i="15"/>
  <c r="O4" i="15"/>
  <c r="L4" i="15"/>
  <c r="I4" i="15"/>
  <c r="F4" i="15"/>
  <c r="AD100" i="14"/>
  <c r="AB100" i="14"/>
  <c r="AA100" i="14"/>
  <c r="Y100" i="14"/>
  <c r="W100" i="14"/>
  <c r="V100" i="14"/>
  <c r="T100" i="14"/>
  <c r="S100" i="14"/>
  <c r="Q100" i="14"/>
  <c r="P100" i="14"/>
  <c r="N100" i="14"/>
  <c r="M100" i="14"/>
  <c r="K100" i="14"/>
  <c r="J100" i="14"/>
  <c r="H100" i="14"/>
  <c r="G100" i="14"/>
  <c r="E100" i="14"/>
  <c r="D100" i="14"/>
  <c r="X99" i="14"/>
  <c r="U99" i="14"/>
  <c r="R99" i="14"/>
  <c r="O99" i="14"/>
  <c r="L99" i="14"/>
  <c r="I99" i="14"/>
  <c r="F99" i="14"/>
  <c r="X98" i="14"/>
  <c r="U98" i="14"/>
  <c r="R98" i="14"/>
  <c r="O98" i="14"/>
  <c r="L98" i="14"/>
  <c r="I98" i="14"/>
  <c r="F98" i="14"/>
  <c r="X97" i="14"/>
  <c r="U97" i="14"/>
  <c r="R97" i="14"/>
  <c r="O97" i="14"/>
  <c r="L97" i="14"/>
  <c r="I97" i="14"/>
  <c r="F97" i="14"/>
  <c r="X96" i="14"/>
  <c r="U96" i="14"/>
  <c r="R96" i="14"/>
  <c r="O96" i="14"/>
  <c r="L96" i="14"/>
  <c r="I96" i="14"/>
  <c r="F96" i="14"/>
  <c r="X95" i="14"/>
  <c r="U95" i="14"/>
  <c r="R95" i="14"/>
  <c r="O95" i="14"/>
  <c r="L95" i="14"/>
  <c r="I95" i="14"/>
  <c r="F95" i="14"/>
  <c r="X94" i="14"/>
  <c r="U94" i="14"/>
  <c r="R94" i="14"/>
  <c r="O94" i="14"/>
  <c r="L94" i="14"/>
  <c r="I94" i="14"/>
  <c r="F94" i="14"/>
  <c r="X93" i="14"/>
  <c r="U93" i="14"/>
  <c r="R93" i="14"/>
  <c r="O93" i="14"/>
  <c r="L93" i="14"/>
  <c r="I93" i="14"/>
  <c r="F93" i="14"/>
  <c r="X92" i="14"/>
  <c r="U92" i="14"/>
  <c r="R92" i="14"/>
  <c r="O92" i="14"/>
  <c r="L92" i="14"/>
  <c r="I92" i="14"/>
  <c r="F92" i="14"/>
  <c r="X91" i="14"/>
  <c r="U91" i="14"/>
  <c r="R91" i="14"/>
  <c r="O91" i="14"/>
  <c r="L91" i="14"/>
  <c r="I91" i="14"/>
  <c r="F91" i="14"/>
  <c r="X90" i="14"/>
  <c r="U90" i="14"/>
  <c r="R90" i="14"/>
  <c r="O90" i="14"/>
  <c r="L90" i="14"/>
  <c r="I90" i="14"/>
  <c r="F90" i="14"/>
  <c r="X89" i="14"/>
  <c r="U89" i="14"/>
  <c r="R89" i="14"/>
  <c r="O89" i="14"/>
  <c r="L89" i="14"/>
  <c r="I89" i="14"/>
  <c r="F89" i="14"/>
  <c r="X88" i="14"/>
  <c r="U88" i="14"/>
  <c r="R88" i="14"/>
  <c r="O88" i="14"/>
  <c r="L88" i="14"/>
  <c r="I88" i="14"/>
  <c r="F88" i="14"/>
  <c r="X87" i="14"/>
  <c r="U87" i="14"/>
  <c r="R87" i="14"/>
  <c r="O87" i="14"/>
  <c r="L87" i="14"/>
  <c r="I87" i="14"/>
  <c r="F87" i="14"/>
  <c r="X86" i="14"/>
  <c r="U86" i="14"/>
  <c r="R86" i="14"/>
  <c r="O86" i="14"/>
  <c r="L86" i="14"/>
  <c r="I86" i="14"/>
  <c r="F86" i="14"/>
  <c r="X85" i="14"/>
  <c r="U85" i="14"/>
  <c r="R85" i="14"/>
  <c r="O85" i="14"/>
  <c r="L85" i="14"/>
  <c r="I85" i="14"/>
  <c r="F85" i="14"/>
  <c r="X84" i="14"/>
  <c r="U84" i="14"/>
  <c r="R84" i="14"/>
  <c r="O84" i="14"/>
  <c r="L84" i="14"/>
  <c r="I84" i="14"/>
  <c r="F84" i="14"/>
  <c r="X83" i="14"/>
  <c r="U83" i="14"/>
  <c r="R83" i="14"/>
  <c r="O83" i="14"/>
  <c r="L83" i="14"/>
  <c r="I83" i="14"/>
  <c r="F83" i="14"/>
  <c r="X82" i="14"/>
  <c r="U82" i="14"/>
  <c r="R82" i="14"/>
  <c r="O82" i="14"/>
  <c r="L82" i="14"/>
  <c r="I82" i="14"/>
  <c r="F82" i="14"/>
  <c r="X81" i="14"/>
  <c r="U81" i="14"/>
  <c r="R81" i="14"/>
  <c r="O81" i="14"/>
  <c r="L81" i="14"/>
  <c r="I81" i="14"/>
  <c r="F81" i="14"/>
  <c r="X80" i="14"/>
  <c r="U80" i="14"/>
  <c r="R80" i="14"/>
  <c r="O80" i="14"/>
  <c r="L80" i="14"/>
  <c r="I80" i="14"/>
  <c r="F80" i="14"/>
  <c r="X79" i="14"/>
  <c r="U79" i="14"/>
  <c r="R79" i="14"/>
  <c r="O79" i="14"/>
  <c r="L79" i="14"/>
  <c r="I79" i="14"/>
  <c r="F79" i="14"/>
  <c r="X78" i="14"/>
  <c r="U78" i="14"/>
  <c r="R78" i="14"/>
  <c r="O78" i="14"/>
  <c r="L78" i="14"/>
  <c r="I78" i="14"/>
  <c r="F78" i="14"/>
  <c r="X77" i="14"/>
  <c r="U77" i="14"/>
  <c r="R77" i="14"/>
  <c r="O77" i="14"/>
  <c r="L77" i="14"/>
  <c r="I77" i="14"/>
  <c r="F77" i="14"/>
  <c r="X76" i="14"/>
  <c r="U76" i="14"/>
  <c r="R76" i="14"/>
  <c r="O76" i="14"/>
  <c r="L76" i="14"/>
  <c r="I76" i="14"/>
  <c r="F76" i="14"/>
  <c r="X75" i="14"/>
  <c r="U75" i="14"/>
  <c r="R75" i="14"/>
  <c r="O75" i="14"/>
  <c r="L75" i="14"/>
  <c r="I75" i="14"/>
  <c r="F75" i="14"/>
  <c r="Z75" i="14" s="1"/>
  <c r="AC75" i="14" s="1"/>
  <c r="AG75" i="14" s="1"/>
  <c r="X74" i="14"/>
  <c r="U74" i="14"/>
  <c r="R74" i="14"/>
  <c r="O74" i="14"/>
  <c r="L74" i="14"/>
  <c r="I74" i="14"/>
  <c r="F74" i="14"/>
  <c r="X73" i="14"/>
  <c r="U73" i="14"/>
  <c r="R73" i="14"/>
  <c r="O73" i="14"/>
  <c r="L73" i="14"/>
  <c r="I73" i="14"/>
  <c r="F73" i="14"/>
  <c r="X72" i="14"/>
  <c r="U72" i="14"/>
  <c r="R72" i="14"/>
  <c r="O72" i="14"/>
  <c r="L72" i="14"/>
  <c r="I72" i="14"/>
  <c r="F72" i="14"/>
  <c r="X71" i="14"/>
  <c r="U71" i="14"/>
  <c r="R71" i="14"/>
  <c r="O71" i="14"/>
  <c r="L71" i="14"/>
  <c r="I71" i="14"/>
  <c r="F71" i="14"/>
  <c r="X70" i="14"/>
  <c r="U70" i="14"/>
  <c r="R70" i="14"/>
  <c r="O70" i="14"/>
  <c r="L70" i="14"/>
  <c r="I70" i="14"/>
  <c r="F70" i="14"/>
  <c r="X69" i="14"/>
  <c r="U69" i="14"/>
  <c r="R69" i="14"/>
  <c r="O69" i="14"/>
  <c r="L69" i="14"/>
  <c r="I69" i="14"/>
  <c r="F69" i="14"/>
  <c r="X68" i="14"/>
  <c r="U68" i="14"/>
  <c r="R68" i="14"/>
  <c r="O68" i="14"/>
  <c r="L68" i="14"/>
  <c r="I68" i="14"/>
  <c r="F68" i="14"/>
  <c r="X67" i="14"/>
  <c r="U67" i="14"/>
  <c r="R67" i="14"/>
  <c r="O67" i="14"/>
  <c r="L67" i="14"/>
  <c r="I67" i="14"/>
  <c r="F67" i="14"/>
  <c r="X66" i="14"/>
  <c r="U66" i="14"/>
  <c r="R66" i="14"/>
  <c r="O66" i="14"/>
  <c r="L66" i="14"/>
  <c r="I66" i="14"/>
  <c r="F66" i="14"/>
  <c r="X65" i="14"/>
  <c r="U65" i="14"/>
  <c r="R65" i="14"/>
  <c r="O65" i="14"/>
  <c r="L65" i="14"/>
  <c r="I65" i="14"/>
  <c r="F65" i="14"/>
  <c r="X64" i="14"/>
  <c r="U64" i="14"/>
  <c r="R64" i="14"/>
  <c r="O64" i="14"/>
  <c r="L64" i="14"/>
  <c r="I64" i="14"/>
  <c r="F64" i="14"/>
  <c r="X63" i="14"/>
  <c r="U63" i="14"/>
  <c r="R63" i="14"/>
  <c r="O63" i="14"/>
  <c r="L63" i="14"/>
  <c r="I63" i="14"/>
  <c r="F63" i="14"/>
  <c r="X62" i="14"/>
  <c r="U62" i="14"/>
  <c r="R62" i="14"/>
  <c r="O62" i="14"/>
  <c r="Z62" i="14" s="1"/>
  <c r="AC62" i="14" s="1"/>
  <c r="AG62" i="14" s="1"/>
  <c r="L62" i="14"/>
  <c r="I62" i="14"/>
  <c r="F62" i="14"/>
  <c r="X61" i="14"/>
  <c r="U61" i="14"/>
  <c r="R61" i="14"/>
  <c r="O61" i="14"/>
  <c r="L61" i="14"/>
  <c r="I61" i="14"/>
  <c r="F61" i="14"/>
  <c r="X60" i="14"/>
  <c r="U60" i="14"/>
  <c r="R60" i="14"/>
  <c r="O60" i="14"/>
  <c r="L60" i="14"/>
  <c r="I60" i="14"/>
  <c r="F60" i="14"/>
  <c r="X59" i="14"/>
  <c r="U59" i="14"/>
  <c r="R59" i="14"/>
  <c r="O59" i="14"/>
  <c r="L59" i="14"/>
  <c r="I59" i="14"/>
  <c r="F59" i="14"/>
  <c r="X58" i="14"/>
  <c r="U58" i="14"/>
  <c r="R58" i="14"/>
  <c r="O58" i="14"/>
  <c r="L58" i="14"/>
  <c r="I58" i="14"/>
  <c r="F58" i="14"/>
  <c r="X57" i="14"/>
  <c r="U57" i="14"/>
  <c r="R57" i="14"/>
  <c r="O57" i="14"/>
  <c r="L57" i="14"/>
  <c r="I57" i="14"/>
  <c r="F57" i="14"/>
  <c r="X56" i="14"/>
  <c r="U56" i="14"/>
  <c r="R56" i="14"/>
  <c r="O56" i="14"/>
  <c r="L56" i="14"/>
  <c r="I56" i="14"/>
  <c r="F56" i="14"/>
  <c r="X55" i="14"/>
  <c r="U55" i="14"/>
  <c r="R55" i="14"/>
  <c r="O55" i="14"/>
  <c r="L55" i="14"/>
  <c r="I55" i="14"/>
  <c r="F55" i="14"/>
  <c r="X54" i="14"/>
  <c r="U54" i="14"/>
  <c r="R54" i="14"/>
  <c r="O54" i="14"/>
  <c r="L54" i="14"/>
  <c r="I54" i="14"/>
  <c r="F54" i="14"/>
  <c r="X53" i="14"/>
  <c r="U53" i="14"/>
  <c r="R53" i="14"/>
  <c r="O53" i="14"/>
  <c r="L53" i="14"/>
  <c r="I53" i="14"/>
  <c r="F53" i="14"/>
  <c r="X52" i="14"/>
  <c r="U52" i="14"/>
  <c r="R52" i="14"/>
  <c r="O52" i="14"/>
  <c r="L52" i="14"/>
  <c r="I52" i="14"/>
  <c r="F52" i="14"/>
  <c r="Z52" i="14" s="1"/>
  <c r="AC52" i="14" s="1"/>
  <c r="AG52" i="14" s="1"/>
  <c r="X51" i="14"/>
  <c r="U51" i="14"/>
  <c r="R51" i="14"/>
  <c r="O51" i="14"/>
  <c r="L51" i="14"/>
  <c r="I51" i="14"/>
  <c r="F51" i="14"/>
  <c r="X50" i="14"/>
  <c r="U50" i="14"/>
  <c r="R50" i="14"/>
  <c r="O50" i="14"/>
  <c r="L50" i="14"/>
  <c r="I50" i="14"/>
  <c r="F50" i="14"/>
  <c r="X49" i="14"/>
  <c r="U49" i="14"/>
  <c r="R49" i="14"/>
  <c r="O49" i="14"/>
  <c r="L49" i="14"/>
  <c r="I49" i="14"/>
  <c r="F49" i="14"/>
  <c r="X48" i="14"/>
  <c r="U48" i="14"/>
  <c r="R48" i="14"/>
  <c r="O48" i="14"/>
  <c r="L48" i="14"/>
  <c r="I48" i="14"/>
  <c r="F48" i="14"/>
  <c r="X47" i="14"/>
  <c r="U47" i="14"/>
  <c r="R47" i="14"/>
  <c r="O47" i="14"/>
  <c r="L47" i="14"/>
  <c r="I47" i="14"/>
  <c r="F47" i="14"/>
  <c r="X46" i="14"/>
  <c r="U46" i="14"/>
  <c r="R46" i="14"/>
  <c r="O46" i="14"/>
  <c r="L46" i="14"/>
  <c r="I46" i="14"/>
  <c r="F46" i="14"/>
  <c r="Z46" i="14" s="1"/>
  <c r="AC46" i="14" s="1"/>
  <c r="AG46" i="14" s="1"/>
  <c r="X45" i="14"/>
  <c r="U45" i="14"/>
  <c r="R45" i="14"/>
  <c r="O45" i="14"/>
  <c r="L45" i="14"/>
  <c r="I45" i="14"/>
  <c r="F45" i="14"/>
  <c r="X44" i="14"/>
  <c r="U44" i="14"/>
  <c r="R44" i="14"/>
  <c r="O44" i="14"/>
  <c r="L44" i="14"/>
  <c r="I44" i="14"/>
  <c r="F44" i="14"/>
  <c r="X43" i="14"/>
  <c r="U43" i="14"/>
  <c r="R43" i="14"/>
  <c r="O43" i="14"/>
  <c r="L43" i="14"/>
  <c r="I43" i="14"/>
  <c r="F43" i="14"/>
  <c r="X42" i="14"/>
  <c r="U42" i="14"/>
  <c r="R42" i="14"/>
  <c r="O42" i="14"/>
  <c r="L42" i="14"/>
  <c r="I42" i="14"/>
  <c r="F42" i="14"/>
  <c r="X41" i="14"/>
  <c r="U41" i="14"/>
  <c r="R41" i="14"/>
  <c r="O41" i="14"/>
  <c r="L41" i="14"/>
  <c r="I41" i="14"/>
  <c r="F41" i="14"/>
  <c r="X40" i="14"/>
  <c r="U40" i="14"/>
  <c r="R40" i="14"/>
  <c r="O40" i="14"/>
  <c r="L40" i="14"/>
  <c r="I40" i="14"/>
  <c r="F40" i="14"/>
  <c r="X39" i="14"/>
  <c r="U39" i="14"/>
  <c r="R39" i="14"/>
  <c r="O39" i="14"/>
  <c r="L39" i="14"/>
  <c r="I39" i="14"/>
  <c r="F39" i="14"/>
  <c r="X38" i="14"/>
  <c r="U38" i="14"/>
  <c r="R38" i="14"/>
  <c r="O38" i="14"/>
  <c r="L38" i="14"/>
  <c r="I38" i="14"/>
  <c r="F38" i="14"/>
  <c r="X37" i="14"/>
  <c r="U37" i="14"/>
  <c r="R37" i="14"/>
  <c r="O37" i="14"/>
  <c r="L37" i="14"/>
  <c r="I37" i="14"/>
  <c r="F37" i="14"/>
  <c r="X36" i="14"/>
  <c r="U36" i="14"/>
  <c r="R36" i="14"/>
  <c r="O36" i="14"/>
  <c r="L36" i="14"/>
  <c r="I36" i="14"/>
  <c r="F36" i="14"/>
  <c r="X35" i="14"/>
  <c r="U35" i="14"/>
  <c r="R35" i="14"/>
  <c r="O35" i="14"/>
  <c r="L35" i="14"/>
  <c r="I35" i="14"/>
  <c r="F35" i="14"/>
  <c r="X34" i="14"/>
  <c r="U34" i="14"/>
  <c r="R34" i="14"/>
  <c r="O34" i="14"/>
  <c r="L34" i="14"/>
  <c r="I34" i="14"/>
  <c r="F34" i="14"/>
  <c r="X33" i="14"/>
  <c r="U33" i="14"/>
  <c r="R33" i="14"/>
  <c r="O33" i="14"/>
  <c r="L33" i="14"/>
  <c r="I33" i="14"/>
  <c r="F33" i="14"/>
  <c r="X32" i="14"/>
  <c r="U32" i="14"/>
  <c r="R32" i="14"/>
  <c r="O32" i="14"/>
  <c r="L32" i="14"/>
  <c r="I32" i="14"/>
  <c r="F32" i="14"/>
  <c r="X31" i="14"/>
  <c r="U31" i="14"/>
  <c r="R31" i="14"/>
  <c r="O31" i="14"/>
  <c r="L31" i="14"/>
  <c r="I31" i="14"/>
  <c r="F31" i="14"/>
  <c r="X30" i="14"/>
  <c r="U30" i="14"/>
  <c r="R30" i="14"/>
  <c r="O30" i="14"/>
  <c r="L30" i="14"/>
  <c r="I30" i="14"/>
  <c r="F30" i="14"/>
  <c r="X29" i="14"/>
  <c r="U29" i="14"/>
  <c r="R29" i="14"/>
  <c r="O29" i="14"/>
  <c r="L29" i="14"/>
  <c r="I29" i="14"/>
  <c r="F29" i="14"/>
  <c r="X28" i="14"/>
  <c r="U28" i="14"/>
  <c r="R28" i="14"/>
  <c r="O28" i="14"/>
  <c r="L28" i="14"/>
  <c r="I28" i="14"/>
  <c r="F28" i="14"/>
  <c r="X27" i="14"/>
  <c r="U27" i="14"/>
  <c r="R27" i="14"/>
  <c r="O27" i="14"/>
  <c r="L27" i="14"/>
  <c r="I27" i="14"/>
  <c r="F27" i="14"/>
  <c r="X26" i="14"/>
  <c r="U26" i="14"/>
  <c r="R26" i="14"/>
  <c r="O26" i="14"/>
  <c r="L26" i="14"/>
  <c r="I26" i="14"/>
  <c r="F26" i="14"/>
  <c r="X25" i="14"/>
  <c r="U25" i="14"/>
  <c r="R25" i="14"/>
  <c r="O25" i="14"/>
  <c r="L25" i="14"/>
  <c r="I25" i="14"/>
  <c r="F25" i="14"/>
  <c r="X24" i="14"/>
  <c r="U24" i="14"/>
  <c r="R24" i="14"/>
  <c r="O24" i="14"/>
  <c r="L24" i="14"/>
  <c r="I24" i="14"/>
  <c r="F24" i="14"/>
  <c r="X23" i="14"/>
  <c r="U23" i="14"/>
  <c r="R23" i="14"/>
  <c r="O23" i="14"/>
  <c r="L23" i="14"/>
  <c r="I23" i="14"/>
  <c r="F23" i="14"/>
  <c r="X22" i="14"/>
  <c r="U22" i="14"/>
  <c r="R22" i="14"/>
  <c r="O22" i="14"/>
  <c r="L22" i="14"/>
  <c r="I22" i="14"/>
  <c r="F22" i="14"/>
  <c r="X21" i="14"/>
  <c r="U21" i="14"/>
  <c r="R21" i="14"/>
  <c r="O21" i="14"/>
  <c r="L21" i="14"/>
  <c r="I21" i="14"/>
  <c r="F21" i="14"/>
  <c r="X20" i="14"/>
  <c r="U20" i="14"/>
  <c r="R20" i="14"/>
  <c r="O20" i="14"/>
  <c r="L20" i="14"/>
  <c r="I20" i="14"/>
  <c r="F20" i="14"/>
  <c r="X19" i="14"/>
  <c r="U19" i="14"/>
  <c r="R19" i="14"/>
  <c r="O19" i="14"/>
  <c r="L19" i="14"/>
  <c r="I19" i="14"/>
  <c r="F19" i="14"/>
  <c r="X18" i="14"/>
  <c r="U18" i="14"/>
  <c r="R18" i="14"/>
  <c r="O18" i="14"/>
  <c r="L18" i="14"/>
  <c r="I18" i="14"/>
  <c r="F18" i="14"/>
  <c r="X17" i="14"/>
  <c r="U17" i="14"/>
  <c r="R17" i="14"/>
  <c r="O17" i="14"/>
  <c r="L17" i="14"/>
  <c r="I17" i="14"/>
  <c r="F17" i="14"/>
  <c r="X16" i="14"/>
  <c r="U16" i="14"/>
  <c r="R16" i="14"/>
  <c r="O16" i="14"/>
  <c r="L16" i="14"/>
  <c r="I16" i="14"/>
  <c r="F16" i="14"/>
  <c r="X15" i="14"/>
  <c r="U15" i="14"/>
  <c r="R15" i="14"/>
  <c r="O15" i="14"/>
  <c r="L15" i="14"/>
  <c r="I15" i="14"/>
  <c r="F15" i="14"/>
  <c r="X14" i="14"/>
  <c r="U14" i="14"/>
  <c r="R14" i="14"/>
  <c r="O14" i="14"/>
  <c r="L14" i="14"/>
  <c r="I14" i="14"/>
  <c r="F14" i="14"/>
  <c r="X13" i="14"/>
  <c r="U13" i="14"/>
  <c r="R13" i="14"/>
  <c r="O13" i="14"/>
  <c r="L13" i="14"/>
  <c r="I13" i="14"/>
  <c r="F13" i="14"/>
  <c r="X12" i="14"/>
  <c r="U12" i="14"/>
  <c r="R12" i="14"/>
  <c r="O12" i="14"/>
  <c r="L12" i="14"/>
  <c r="I12" i="14"/>
  <c r="F12" i="14"/>
  <c r="X11" i="14"/>
  <c r="U11" i="14"/>
  <c r="R11" i="14"/>
  <c r="O11" i="14"/>
  <c r="L11" i="14"/>
  <c r="I11" i="14"/>
  <c r="F11" i="14"/>
  <c r="X10" i="14"/>
  <c r="U10" i="14"/>
  <c r="R10" i="14"/>
  <c r="O10" i="14"/>
  <c r="L10" i="14"/>
  <c r="I10" i="14"/>
  <c r="F10" i="14"/>
  <c r="X9" i="14"/>
  <c r="U9" i="14"/>
  <c r="R9" i="14"/>
  <c r="O9" i="14"/>
  <c r="L9" i="14"/>
  <c r="I9" i="14"/>
  <c r="F9" i="14"/>
  <c r="X8" i="14"/>
  <c r="U8" i="14"/>
  <c r="R8" i="14"/>
  <c r="O8" i="14"/>
  <c r="L8" i="14"/>
  <c r="I8" i="14"/>
  <c r="F8" i="14"/>
  <c r="X7" i="14"/>
  <c r="U7" i="14"/>
  <c r="R7" i="14"/>
  <c r="O7" i="14"/>
  <c r="L7" i="14"/>
  <c r="I7" i="14"/>
  <c r="F7" i="14"/>
  <c r="X6" i="14"/>
  <c r="U6" i="14"/>
  <c r="R6" i="14"/>
  <c r="O6" i="14"/>
  <c r="L6" i="14"/>
  <c r="I6" i="14"/>
  <c r="F6" i="14"/>
  <c r="X5" i="14"/>
  <c r="U5" i="14"/>
  <c r="R5" i="14"/>
  <c r="O5" i="14"/>
  <c r="L5" i="14"/>
  <c r="I5" i="14"/>
  <c r="F5" i="14"/>
  <c r="X4" i="14"/>
  <c r="U4" i="14"/>
  <c r="R4" i="14"/>
  <c r="O4" i="14"/>
  <c r="L4" i="14"/>
  <c r="I4" i="14"/>
  <c r="F4" i="14"/>
  <c r="AD100" i="13"/>
  <c r="AB100" i="13"/>
  <c r="AA100" i="13"/>
  <c r="Y100" i="13"/>
  <c r="W100" i="13"/>
  <c r="V100" i="13"/>
  <c r="T100" i="13"/>
  <c r="S100" i="13"/>
  <c r="Q100" i="13"/>
  <c r="P100" i="13"/>
  <c r="N100" i="13"/>
  <c r="M100" i="13"/>
  <c r="K100" i="13"/>
  <c r="J100" i="13"/>
  <c r="H100" i="13"/>
  <c r="G100" i="13"/>
  <c r="E100" i="13"/>
  <c r="D100" i="13"/>
  <c r="X99" i="13"/>
  <c r="Z99" i="13" s="1"/>
  <c r="AC99" i="13" s="1"/>
  <c r="AG99" i="13" s="1"/>
  <c r="U99" i="13"/>
  <c r="R99" i="13"/>
  <c r="O99" i="13"/>
  <c r="L99" i="13"/>
  <c r="I99" i="13"/>
  <c r="F99" i="13"/>
  <c r="X98" i="13"/>
  <c r="U98" i="13"/>
  <c r="R98" i="13"/>
  <c r="O98" i="13"/>
  <c r="L98" i="13"/>
  <c r="I98" i="13"/>
  <c r="F98" i="13"/>
  <c r="X97" i="13"/>
  <c r="U97" i="13"/>
  <c r="R97" i="13"/>
  <c r="O97" i="13"/>
  <c r="L97" i="13"/>
  <c r="I97" i="13"/>
  <c r="F97" i="13"/>
  <c r="X96" i="13"/>
  <c r="U96" i="13"/>
  <c r="R96" i="13"/>
  <c r="O96" i="13"/>
  <c r="L96" i="13"/>
  <c r="I96" i="13"/>
  <c r="F96" i="13"/>
  <c r="X95" i="13"/>
  <c r="U95" i="13"/>
  <c r="R95" i="13"/>
  <c r="O95" i="13"/>
  <c r="L95" i="13"/>
  <c r="I95" i="13"/>
  <c r="F95" i="13"/>
  <c r="X94" i="13"/>
  <c r="U94" i="13"/>
  <c r="R94" i="13"/>
  <c r="O94" i="13"/>
  <c r="L94" i="13"/>
  <c r="I94" i="13"/>
  <c r="F94" i="13"/>
  <c r="X93" i="13"/>
  <c r="U93" i="13"/>
  <c r="R93" i="13"/>
  <c r="O93" i="13"/>
  <c r="L93" i="13"/>
  <c r="I93" i="13"/>
  <c r="F93" i="13"/>
  <c r="X92" i="13"/>
  <c r="U92" i="13"/>
  <c r="R92" i="13"/>
  <c r="O92" i="13"/>
  <c r="L92" i="13"/>
  <c r="I92" i="13"/>
  <c r="F92" i="13"/>
  <c r="X91" i="13"/>
  <c r="U91" i="13"/>
  <c r="R91" i="13"/>
  <c r="O91" i="13"/>
  <c r="Z91" i="13" s="1"/>
  <c r="AC91" i="13" s="1"/>
  <c r="AG91" i="13" s="1"/>
  <c r="L91" i="13"/>
  <c r="I91" i="13"/>
  <c r="F91" i="13"/>
  <c r="X90" i="13"/>
  <c r="U90" i="13"/>
  <c r="R90" i="13"/>
  <c r="O90" i="13"/>
  <c r="L90" i="13"/>
  <c r="I90" i="13"/>
  <c r="F90" i="13"/>
  <c r="X89" i="13"/>
  <c r="U89" i="13"/>
  <c r="R89" i="13"/>
  <c r="O89" i="13"/>
  <c r="L89" i="13"/>
  <c r="I89" i="13"/>
  <c r="F89" i="13"/>
  <c r="X88" i="13"/>
  <c r="U88" i="13"/>
  <c r="R88" i="13"/>
  <c r="O88" i="13"/>
  <c r="L88" i="13"/>
  <c r="I88" i="13"/>
  <c r="F88" i="13"/>
  <c r="X87" i="13"/>
  <c r="U87" i="13"/>
  <c r="R87" i="13"/>
  <c r="O87" i="13"/>
  <c r="L87" i="13"/>
  <c r="I87" i="13"/>
  <c r="F87" i="13"/>
  <c r="X86" i="13"/>
  <c r="U86" i="13"/>
  <c r="R86" i="13"/>
  <c r="O86" i="13"/>
  <c r="L86" i="13"/>
  <c r="I86" i="13"/>
  <c r="F86" i="13"/>
  <c r="X85" i="13"/>
  <c r="U85" i="13"/>
  <c r="R85" i="13"/>
  <c r="O85" i="13"/>
  <c r="L85" i="13"/>
  <c r="I85" i="13"/>
  <c r="F85" i="13"/>
  <c r="X84" i="13"/>
  <c r="U84" i="13"/>
  <c r="R84" i="13"/>
  <c r="O84" i="13"/>
  <c r="L84" i="13"/>
  <c r="I84" i="13"/>
  <c r="F84" i="13"/>
  <c r="X83" i="13"/>
  <c r="U83" i="13"/>
  <c r="R83" i="13"/>
  <c r="O83" i="13"/>
  <c r="L83" i="13"/>
  <c r="I83" i="13"/>
  <c r="F83" i="13"/>
  <c r="X82" i="13"/>
  <c r="U82" i="13"/>
  <c r="R82" i="13"/>
  <c r="O82" i="13"/>
  <c r="L82" i="13"/>
  <c r="I82" i="13"/>
  <c r="F82" i="13"/>
  <c r="X81" i="13"/>
  <c r="U81" i="13"/>
  <c r="R81" i="13"/>
  <c r="O81" i="13"/>
  <c r="L81" i="13"/>
  <c r="I81" i="13"/>
  <c r="F81" i="13"/>
  <c r="X80" i="13"/>
  <c r="U80" i="13"/>
  <c r="R80" i="13"/>
  <c r="O80" i="13"/>
  <c r="L80" i="13"/>
  <c r="I80" i="13"/>
  <c r="F80" i="13"/>
  <c r="X79" i="13"/>
  <c r="U79" i="13"/>
  <c r="R79" i="13"/>
  <c r="O79" i="13"/>
  <c r="L79" i="13"/>
  <c r="I79" i="13"/>
  <c r="F79" i="13"/>
  <c r="X78" i="13"/>
  <c r="U78" i="13"/>
  <c r="R78" i="13"/>
  <c r="O78" i="13"/>
  <c r="L78" i="13"/>
  <c r="I78" i="13"/>
  <c r="F78" i="13"/>
  <c r="X77" i="13"/>
  <c r="U77" i="13"/>
  <c r="R77" i="13"/>
  <c r="O77" i="13"/>
  <c r="L77" i="13"/>
  <c r="I77" i="13"/>
  <c r="F77" i="13"/>
  <c r="X76" i="13"/>
  <c r="U76" i="13"/>
  <c r="R76" i="13"/>
  <c r="O76" i="13"/>
  <c r="L76" i="13"/>
  <c r="I76" i="13"/>
  <c r="F76" i="13"/>
  <c r="X75" i="13"/>
  <c r="U75" i="13"/>
  <c r="R75" i="13"/>
  <c r="O75" i="13"/>
  <c r="L75" i="13"/>
  <c r="I75" i="13"/>
  <c r="F75" i="13"/>
  <c r="X74" i="13"/>
  <c r="U74" i="13"/>
  <c r="R74" i="13"/>
  <c r="O74" i="13"/>
  <c r="L74" i="13"/>
  <c r="I74" i="13"/>
  <c r="F74" i="13"/>
  <c r="X73" i="13"/>
  <c r="U73" i="13"/>
  <c r="R73" i="13"/>
  <c r="O73" i="13"/>
  <c r="L73" i="13"/>
  <c r="I73" i="13"/>
  <c r="F73" i="13"/>
  <c r="X72" i="13"/>
  <c r="U72" i="13"/>
  <c r="R72" i="13"/>
  <c r="O72" i="13"/>
  <c r="L72" i="13"/>
  <c r="Z72" i="13" s="1"/>
  <c r="AC72" i="13" s="1"/>
  <c r="AG72" i="13" s="1"/>
  <c r="I72" i="13"/>
  <c r="F72" i="13"/>
  <c r="X71" i="13"/>
  <c r="U71" i="13"/>
  <c r="R71" i="13"/>
  <c r="O71" i="13"/>
  <c r="L71" i="13"/>
  <c r="I71" i="13"/>
  <c r="F71" i="13"/>
  <c r="X70" i="13"/>
  <c r="U70" i="13"/>
  <c r="R70" i="13"/>
  <c r="O70" i="13"/>
  <c r="L70" i="13"/>
  <c r="I70" i="13"/>
  <c r="F70" i="13"/>
  <c r="X69" i="13"/>
  <c r="U69" i="13"/>
  <c r="R69" i="13"/>
  <c r="O69" i="13"/>
  <c r="L69" i="13"/>
  <c r="I69" i="13"/>
  <c r="F69" i="13"/>
  <c r="X68" i="13"/>
  <c r="U68" i="13"/>
  <c r="R68" i="13"/>
  <c r="O68" i="13"/>
  <c r="L68" i="13"/>
  <c r="I68" i="13"/>
  <c r="F68" i="13"/>
  <c r="X67" i="13"/>
  <c r="U67" i="13"/>
  <c r="R67" i="13"/>
  <c r="O67" i="13"/>
  <c r="L67" i="13"/>
  <c r="I67" i="13"/>
  <c r="F67" i="13"/>
  <c r="X66" i="13"/>
  <c r="U66" i="13"/>
  <c r="R66" i="13"/>
  <c r="O66" i="13"/>
  <c r="L66" i="13"/>
  <c r="I66" i="13"/>
  <c r="F66" i="13"/>
  <c r="X65" i="13"/>
  <c r="U65" i="13"/>
  <c r="R65" i="13"/>
  <c r="O65" i="13"/>
  <c r="L65" i="13"/>
  <c r="I65" i="13"/>
  <c r="F65" i="13"/>
  <c r="X64" i="13"/>
  <c r="U64" i="13"/>
  <c r="R64" i="13"/>
  <c r="O64" i="13"/>
  <c r="L64" i="13"/>
  <c r="I64" i="13"/>
  <c r="F64" i="13"/>
  <c r="X63" i="13"/>
  <c r="U63" i="13"/>
  <c r="R63" i="13"/>
  <c r="L63" i="13"/>
  <c r="I63" i="13"/>
  <c r="F63" i="13"/>
  <c r="X62" i="13"/>
  <c r="U62" i="13"/>
  <c r="R62" i="13"/>
  <c r="O62" i="13"/>
  <c r="L62" i="13"/>
  <c r="I62" i="13"/>
  <c r="F62" i="13"/>
  <c r="X61" i="13"/>
  <c r="U61" i="13"/>
  <c r="R61" i="13"/>
  <c r="L61" i="13"/>
  <c r="I61" i="13"/>
  <c r="F61" i="13"/>
  <c r="X60" i="13"/>
  <c r="U60" i="13"/>
  <c r="R60" i="13"/>
  <c r="O60" i="13"/>
  <c r="L60" i="13"/>
  <c r="I60" i="13"/>
  <c r="F60" i="13"/>
  <c r="X59" i="13"/>
  <c r="U59" i="13"/>
  <c r="R59" i="13"/>
  <c r="O59" i="13"/>
  <c r="L59" i="13"/>
  <c r="I59" i="13"/>
  <c r="F59" i="13"/>
  <c r="X58" i="13"/>
  <c r="U58" i="13"/>
  <c r="R58" i="13"/>
  <c r="O58" i="13"/>
  <c r="L58" i="13"/>
  <c r="I58" i="13"/>
  <c r="F58" i="13"/>
  <c r="X57" i="13"/>
  <c r="U57" i="13"/>
  <c r="R57" i="13"/>
  <c r="L57" i="13"/>
  <c r="I57" i="13"/>
  <c r="F57" i="13"/>
  <c r="X56" i="13"/>
  <c r="U56" i="13"/>
  <c r="R56" i="13"/>
  <c r="O56" i="13"/>
  <c r="L56" i="13"/>
  <c r="I56" i="13"/>
  <c r="F56" i="13"/>
  <c r="X55" i="13"/>
  <c r="U55" i="13"/>
  <c r="R55" i="13"/>
  <c r="O55" i="13"/>
  <c r="L55" i="13"/>
  <c r="I55" i="13"/>
  <c r="F55" i="13"/>
  <c r="X54" i="13"/>
  <c r="U54" i="13"/>
  <c r="R54" i="13"/>
  <c r="O54" i="13"/>
  <c r="L54" i="13"/>
  <c r="I54" i="13"/>
  <c r="F54" i="13"/>
  <c r="X53" i="13"/>
  <c r="U53" i="13"/>
  <c r="R53" i="13"/>
  <c r="O53" i="13"/>
  <c r="L53" i="13"/>
  <c r="I53" i="13"/>
  <c r="F53" i="13"/>
  <c r="X52" i="13"/>
  <c r="U52" i="13"/>
  <c r="R52" i="13"/>
  <c r="O52" i="13"/>
  <c r="L52" i="13"/>
  <c r="I52" i="13"/>
  <c r="F52" i="13"/>
  <c r="X51" i="13"/>
  <c r="U51" i="13"/>
  <c r="R51" i="13"/>
  <c r="O51" i="13"/>
  <c r="L51" i="13"/>
  <c r="I51" i="13"/>
  <c r="F51" i="13"/>
  <c r="X50" i="13"/>
  <c r="U50" i="13"/>
  <c r="R50" i="13"/>
  <c r="O50" i="13"/>
  <c r="L50" i="13"/>
  <c r="I50" i="13"/>
  <c r="F50" i="13"/>
  <c r="X49" i="13"/>
  <c r="U49" i="13"/>
  <c r="R49" i="13"/>
  <c r="O49" i="13"/>
  <c r="L49" i="13"/>
  <c r="I49" i="13"/>
  <c r="F49" i="13"/>
  <c r="X48" i="13"/>
  <c r="U48" i="13"/>
  <c r="R48" i="13"/>
  <c r="O48" i="13"/>
  <c r="L48" i="13"/>
  <c r="I48" i="13"/>
  <c r="F48" i="13"/>
  <c r="X47" i="13"/>
  <c r="U47" i="13"/>
  <c r="R47" i="13"/>
  <c r="O47" i="13"/>
  <c r="L47" i="13"/>
  <c r="I47" i="13"/>
  <c r="F47" i="13"/>
  <c r="X46" i="13"/>
  <c r="U46" i="13"/>
  <c r="R46" i="13"/>
  <c r="O46" i="13"/>
  <c r="L46" i="13"/>
  <c r="I46" i="13"/>
  <c r="F46" i="13"/>
  <c r="X45" i="13"/>
  <c r="U45" i="13"/>
  <c r="R45" i="13"/>
  <c r="O45" i="13"/>
  <c r="L45" i="13"/>
  <c r="I45" i="13"/>
  <c r="F45" i="13"/>
  <c r="X44" i="13"/>
  <c r="U44" i="13"/>
  <c r="R44" i="13"/>
  <c r="O44" i="13"/>
  <c r="L44" i="13"/>
  <c r="I44" i="13"/>
  <c r="F44" i="13"/>
  <c r="X43" i="13"/>
  <c r="U43" i="13"/>
  <c r="R43" i="13"/>
  <c r="O43" i="13"/>
  <c r="L43" i="13"/>
  <c r="I43" i="13"/>
  <c r="F43" i="13"/>
  <c r="X42" i="13"/>
  <c r="U42" i="13"/>
  <c r="R42" i="13"/>
  <c r="O42" i="13"/>
  <c r="L42" i="13"/>
  <c r="I42" i="13"/>
  <c r="F42" i="13"/>
  <c r="X41" i="13"/>
  <c r="U41" i="13"/>
  <c r="R41" i="13"/>
  <c r="O41" i="13"/>
  <c r="L41" i="13"/>
  <c r="I41" i="13"/>
  <c r="F41" i="13"/>
  <c r="X40" i="13"/>
  <c r="U40" i="13"/>
  <c r="R40" i="13"/>
  <c r="O40" i="13"/>
  <c r="L40" i="13"/>
  <c r="I40" i="13"/>
  <c r="F40" i="13"/>
  <c r="X39" i="13"/>
  <c r="U39" i="13"/>
  <c r="R39" i="13"/>
  <c r="O39" i="13"/>
  <c r="L39" i="13"/>
  <c r="I39" i="13"/>
  <c r="F39" i="13"/>
  <c r="Z39" i="13" s="1"/>
  <c r="AC39" i="13" s="1"/>
  <c r="AG39" i="13" s="1"/>
  <c r="X38" i="13"/>
  <c r="U38" i="13"/>
  <c r="R38" i="13"/>
  <c r="O38" i="13"/>
  <c r="L38" i="13"/>
  <c r="I38" i="13"/>
  <c r="F38" i="13"/>
  <c r="X37" i="13"/>
  <c r="U37" i="13"/>
  <c r="R37" i="13"/>
  <c r="O37" i="13"/>
  <c r="L37" i="13"/>
  <c r="I37" i="13"/>
  <c r="F37" i="13"/>
  <c r="X36" i="13"/>
  <c r="U36" i="13"/>
  <c r="R36" i="13"/>
  <c r="O36" i="13"/>
  <c r="L36" i="13"/>
  <c r="I36" i="13"/>
  <c r="F36" i="13"/>
  <c r="X35" i="13"/>
  <c r="U35" i="13"/>
  <c r="R35" i="13"/>
  <c r="O35" i="13"/>
  <c r="L35" i="13"/>
  <c r="I35" i="13"/>
  <c r="F35" i="13"/>
  <c r="X34" i="13"/>
  <c r="U34" i="13"/>
  <c r="R34" i="13"/>
  <c r="O34" i="13"/>
  <c r="L34" i="13"/>
  <c r="I34" i="13"/>
  <c r="F34" i="13"/>
  <c r="X33" i="13"/>
  <c r="U33" i="13"/>
  <c r="R33" i="13"/>
  <c r="O33" i="13"/>
  <c r="L33" i="13"/>
  <c r="I33" i="13"/>
  <c r="F33" i="13"/>
  <c r="X32" i="13"/>
  <c r="U32" i="13"/>
  <c r="R32" i="13"/>
  <c r="O32" i="13"/>
  <c r="L32" i="13"/>
  <c r="I32" i="13"/>
  <c r="F32" i="13"/>
  <c r="X31" i="13"/>
  <c r="U31" i="13"/>
  <c r="R31" i="13"/>
  <c r="O31" i="13"/>
  <c r="L31" i="13"/>
  <c r="I31" i="13"/>
  <c r="F31" i="13"/>
  <c r="X30" i="13"/>
  <c r="U30" i="13"/>
  <c r="R30" i="13"/>
  <c r="O30" i="13"/>
  <c r="L30" i="13"/>
  <c r="I30" i="13"/>
  <c r="F30" i="13"/>
  <c r="X29" i="13"/>
  <c r="U29" i="13"/>
  <c r="R29" i="13"/>
  <c r="O29" i="13"/>
  <c r="L29" i="13"/>
  <c r="I29" i="13"/>
  <c r="F29" i="13"/>
  <c r="X28" i="13"/>
  <c r="U28" i="13"/>
  <c r="R28" i="13"/>
  <c r="O28" i="13"/>
  <c r="L28" i="13"/>
  <c r="I28" i="13"/>
  <c r="F28" i="13"/>
  <c r="X27" i="13"/>
  <c r="U27" i="13"/>
  <c r="R27" i="13"/>
  <c r="O27" i="13"/>
  <c r="L27" i="13"/>
  <c r="I27" i="13"/>
  <c r="F27" i="13"/>
  <c r="X26" i="13"/>
  <c r="U26" i="13"/>
  <c r="R26" i="13"/>
  <c r="O26" i="13"/>
  <c r="L26" i="13"/>
  <c r="I26" i="13"/>
  <c r="F26" i="13"/>
  <c r="X25" i="13"/>
  <c r="U25" i="13"/>
  <c r="R25" i="13"/>
  <c r="O25" i="13"/>
  <c r="L25" i="13"/>
  <c r="I25" i="13"/>
  <c r="F25" i="13"/>
  <c r="X24" i="13"/>
  <c r="U24" i="13"/>
  <c r="R24" i="13"/>
  <c r="O24" i="13"/>
  <c r="L24" i="13"/>
  <c r="I24" i="13"/>
  <c r="F24" i="13"/>
  <c r="X23" i="13"/>
  <c r="U23" i="13"/>
  <c r="R23" i="13"/>
  <c r="O23" i="13"/>
  <c r="L23" i="13"/>
  <c r="I23" i="13"/>
  <c r="F23" i="13"/>
  <c r="Z23" i="13" s="1"/>
  <c r="AC23" i="13" s="1"/>
  <c r="AG23" i="13" s="1"/>
  <c r="X22" i="13"/>
  <c r="U22" i="13"/>
  <c r="R22" i="13"/>
  <c r="O22" i="13"/>
  <c r="L22" i="13"/>
  <c r="I22" i="13"/>
  <c r="F22" i="13"/>
  <c r="X21" i="13"/>
  <c r="U21" i="13"/>
  <c r="R21" i="13"/>
  <c r="O21" i="13"/>
  <c r="L21" i="13"/>
  <c r="I21" i="13"/>
  <c r="F21" i="13"/>
  <c r="X20" i="13"/>
  <c r="U20" i="13"/>
  <c r="R20" i="13"/>
  <c r="O20" i="13"/>
  <c r="L20" i="13"/>
  <c r="I20" i="13"/>
  <c r="F20" i="13"/>
  <c r="X19" i="13"/>
  <c r="U19" i="13"/>
  <c r="R19" i="13"/>
  <c r="O19" i="13"/>
  <c r="L19" i="13"/>
  <c r="I19" i="13"/>
  <c r="F19" i="13"/>
  <c r="X18" i="13"/>
  <c r="U18" i="13"/>
  <c r="R18" i="13"/>
  <c r="O18" i="13"/>
  <c r="L18" i="13"/>
  <c r="I18" i="13"/>
  <c r="F18" i="13"/>
  <c r="X17" i="13"/>
  <c r="U17" i="13"/>
  <c r="R17" i="13"/>
  <c r="O17" i="13"/>
  <c r="L17" i="13"/>
  <c r="I17" i="13"/>
  <c r="F17" i="13"/>
  <c r="X16" i="13"/>
  <c r="U16" i="13"/>
  <c r="R16" i="13"/>
  <c r="O16" i="13"/>
  <c r="L16" i="13"/>
  <c r="I16" i="13"/>
  <c r="F16" i="13"/>
  <c r="X15" i="13"/>
  <c r="U15" i="13"/>
  <c r="R15" i="13"/>
  <c r="O15" i="13"/>
  <c r="L15" i="13"/>
  <c r="I15" i="13"/>
  <c r="F15" i="13"/>
  <c r="X14" i="13"/>
  <c r="U14" i="13"/>
  <c r="R14" i="13"/>
  <c r="O14" i="13"/>
  <c r="L14" i="13"/>
  <c r="I14" i="13"/>
  <c r="F14" i="13"/>
  <c r="X13" i="13"/>
  <c r="U13" i="13"/>
  <c r="R13" i="13"/>
  <c r="O13" i="13"/>
  <c r="L13" i="13"/>
  <c r="I13" i="13"/>
  <c r="F13" i="13"/>
  <c r="X12" i="13"/>
  <c r="U12" i="13"/>
  <c r="R12" i="13"/>
  <c r="O12" i="13"/>
  <c r="L12" i="13"/>
  <c r="I12" i="13"/>
  <c r="F12" i="13"/>
  <c r="X11" i="13"/>
  <c r="U11" i="13"/>
  <c r="R11" i="13"/>
  <c r="O11" i="13"/>
  <c r="L11" i="13"/>
  <c r="I11" i="13"/>
  <c r="Z11" i="13" s="1"/>
  <c r="AC11" i="13" s="1"/>
  <c r="AG11" i="13" s="1"/>
  <c r="F11" i="13"/>
  <c r="X10" i="13"/>
  <c r="U10" i="13"/>
  <c r="R10" i="13"/>
  <c r="O10" i="13"/>
  <c r="L10" i="13"/>
  <c r="I10" i="13"/>
  <c r="F10" i="13"/>
  <c r="X9" i="13"/>
  <c r="U9" i="13"/>
  <c r="R9" i="13"/>
  <c r="O9" i="13"/>
  <c r="L9" i="13"/>
  <c r="I9" i="13"/>
  <c r="F9" i="13"/>
  <c r="X8" i="13"/>
  <c r="U8" i="13"/>
  <c r="R8" i="13"/>
  <c r="O8" i="13"/>
  <c r="L8" i="13"/>
  <c r="I8" i="13"/>
  <c r="F8" i="13"/>
  <c r="X7" i="13"/>
  <c r="U7" i="13"/>
  <c r="R7" i="13"/>
  <c r="O7" i="13"/>
  <c r="L7" i="13"/>
  <c r="I7" i="13"/>
  <c r="F7" i="13"/>
  <c r="Z7" i="13" s="1"/>
  <c r="AC7" i="13" s="1"/>
  <c r="AG7" i="13" s="1"/>
  <c r="X6" i="13"/>
  <c r="U6" i="13"/>
  <c r="R6" i="13"/>
  <c r="O6" i="13"/>
  <c r="L6" i="13"/>
  <c r="I6" i="13"/>
  <c r="F6" i="13"/>
  <c r="X5" i="13"/>
  <c r="U5" i="13"/>
  <c r="R5" i="13"/>
  <c r="O5" i="13"/>
  <c r="L5" i="13"/>
  <c r="I5" i="13"/>
  <c r="F5" i="13"/>
  <c r="X4" i="13"/>
  <c r="U4" i="13"/>
  <c r="R4" i="13"/>
  <c r="O4" i="13"/>
  <c r="L4" i="13"/>
  <c r="I4" i="13"/>
  <c r="F4" i="13"/>
  <c r="AD100" i="12"/>
  <c r="AB100" i="12"/>
  <c r="AA100" i="12"/>
  <c r="Y100" i="12"/>
  <c r="W100" i="12"/>
  <c r="V100" i="12"/>
  <c r="T100" i="12"/>
  <c r="S100" i="12"/>
  <c r="Q100" i="12"/>
  <c r="P100" i="12"/>
  <c r="N100" i="12"/>
  <c r="M100" i="12"/>
  <c r="K100" i="12"/>
  <c r="J100" i="12"/>
  <c r="H100" i="12"/>
  <c r="G100" i="12"/>
  <c r="E100" i="12"/>
  <c r="D100" i="12"/>
  <c r="X99" i="12"/>
  <c r="U99" i="12"/>
  <c r="R99" i="12"/>
  <c r="O99" i="12"/>
  <c r="L99" i="12"/>
  <c r="I99" i="12"/>
  <c r="F99" i="12"/>
  <c r="X98" i="12"/>
  <c r="U98" i="12"/>
  <c r="R98" i="12"/>
  <c r="O98" i="12"/>
  <c r="L98" i="12"/>
  <c r="I98" i="12"/>
  <c r="F98" i="12"/>
  <c r="X97" i="12"/>
  <c r="U97" i="12"/>
  <c r="R97" i="12"/>
  <c r="Z97" i="12" s="1"/>
  <c r="AC97" i="12" s="1"/>
  <c r="AG97" i="12" s="1"/>
  <c r="O97" i="12"/>
  <c r="L97" i="12"/>
  <c r="I97" i="12"/>
  <c r="F97" i="12"/>
  <c r="X96" i="12"/>
  <c r="U96" i="12"/>
  <c r="R96" i="12"/>
  <c r="O96" i="12"/>
  <c r="L96" i="12"/>
  <c r="I96" i="12"/>
  <c r="F96" i="12"/>
  <c r="X95" i="12"/>
  <c r="U95" i="12"/>
  <c r="R95" i="12"/>
  <c r="O95" i="12"/>
  <c r="L95" i="12"/>
  <c r="I95" i="12"/>
  <c r="F95" i="12"/>
  <c r="X94" i="12"/>
  <c r="U94" i="12"/>
  <c r="R94" i="12"/>
  <c r="O94" i="12"/>
  <c r="L94" i="12"/>
  <c r="I94" i="12"/>
  <c r="F94" i="12"/>
  <c r="X93" i="12"/>
  <c r="U93" i="12"/>
  <c r="R93" i="12"/>
  <c r="O93" i="12"/>
  <c r="L93" i="12"/>
  <c r="I93" i="12"/>
  <c r="F93" i="12"/>
  <c r="X92" i="12"/>
  <c r="U92" i="12"/>
  <c r="R92" i="12"/>
  <c r="O92" i="12"/>
  <c r="L92" i="12"/>
  <c r="I92" i="12"/>
  <c r="F92" i="12"/>
  <c r="X91" i="12"/>
  <c r="U91" i="12"/>
  <c r="R91" i="12"/>
  <c r="O91" i="12"/>
  <c r="L91" i="12"/>
  <c r="I91" i="12"/>
  <c r="F91" i="12"/>
  <c r="X90" i="12"/>
  <c r="U90" i="12"/>
  <c r="R90" i="12"/>
  <c r="O90" i="12"/>
  <c r="L90" i="12"/>
  <c r="I90" i="12"/>
  <c r="F90" i="12"/>
  <c r="X89" i="12"/>
  <c r="U89" i="12"/>
  <c r="R89" i="12"/>
  <c r="O89" i="12"/>
  <c r="L89" i="12"/>
  <c r="I89" i="12"/>
  <c r="F89" i="12"/>
  <c r="X88" i="12"/>
  <c r="U88" i="12"/>
  <c r="R88" i="12"/>
  <c r="O88" i="12"/>
  <c r="L88" i="12"/>
  <c r="I88" i="12"/>
  <c r="F88" i="12"/>
  <c r="X87" i="12"/>
  <c r="U87" i="12"/>
  <c r="R87" i="12"/>
  <c r="O87" i="12"/>
  <c r="L87" i="12"/>
  <c r="I87" i="12"/>
  <c r="F87" i="12"/>
  <c r="X86" i="12"/>
  <c r="U86" i="12"/>
  <c r="R86" i="12"/>
  <c r="O86" i="12"/>
  <c r="L86" i="12"/>
  <c r="I86" i="12"/>
  <c r="F86" i="12"/>
  <c r="X85" i="12"/>
  <c r="U85" i="12"/>
  <c r="R85" i="12"/>
  <c r="O85" i="12"/>
  <c r="L85" i="12"/>
  <c r="I85" i="12"/>
  <c r="F85" i="12"/>
  <c r="X84" i="12"/>
  <c r="U84" i="12"/>
  <c r="R84" i="12"/>
  <c r="O84" i="12"/>
  <c r="L84" i="12"/>
  <c r="I84" i="12"/>
  <c r="F84" i="12"/>
  <c r="X83" i="12"/>
  <c r="U83" i="12"/>
  <c r="R83" i="12"/>
  <c r="O83" i="12"/>
  <c r="L83" i="12"/>
  <c r="I83" i="12"/>
  <c r="F83" i="12"/>
  <c r="X82" i="12"/>
  <c r="U82" i="12"/>
  <c r="R82" i="12"/>
  <c r="O82" i="12"/>
  <c r="L82" i="12"/>
  <c r="I82" i="12"/>
  <c r="F82" i="12"/>
  <c r="X81" i="12"/>
  <c r="U81" i="12"/>
  <c r="R81" i="12"/>
  <c r="O81" i="12"/>
  <c r="L81" i="12"/>
  <c r="I81" i="12"/>
  <c r="F81" i="12"/>
  <c r="X80" i="12"/>
  <c r="U80" i="12"/>
  <c r="R80" i="12"/>
  <c r="O80" i="12"/>
  <c r="L80" i="12"/>
  <c r="I80" i="12"/>
  <c r="F80" i="12"/>
  <c r="X79" i="12"/>
  <c r="U79" i="12"/>
  <c r="R79" i="12"/>
  <c r="O79" i="12"/>
  <c r="L79" i="12"/>
  <c r="I79" i="12"/>
  <c r="F79" i="12"/>
  <c r="X78" i="12"/>
  <c r="U78" i="12"/>
  <c r="R78" i="12"/>
  <c r="O78" i="12"/>
  <c r="L78" i="12"/>
  <c r="I78" i="12"/>
  <c r="F78" i="12"/>
  <c r="X77" i="12"/>
  <c r="U77" i="12"/>
  <c r="R77" i="12"/>
  <c r="O77" i="12"/>
  <c r="L77" i="12"/>
  <c r="I77" i="12"/>
  <c r="F77" i="12"/>
  <c r="X76" i="12"/>
  <c r="U76" i="12"/>
  <c r="R76" i="12"/>
  <c r="O76" i="12"/>
  <c r="L76" i="12"/>
  <c r="I76" i="12"/>
  <c r="F76" i="12"/>
  <c r="X75" i="12"/>
  <c r="U75" i="12"/>
  <c r="R75" i="12"/>
  <c r="O75" i="12"/>
  <c r="L75" i="12"/>
  <c r="I75" i="12"/>
  <c r="F75" i="12"/>
  <c r="X74" i="12"/>
  <c r="U74" i="12"/>
  <c r="R74" i="12"/>
  <c r="O74" i="12"/>
  <c r="L74" i="12"/>
  <c r="I74" i="12"/>
  <c r="F74" i="12"/>
  <c r="X73" i="12"/>
  <c r="U73" i="12"/>
  <c r="R73" i="12"/>
  <c r="O73" i="12"/>
  <c r="L73" i="12"/>
  <c r="I73" i="12"/>
  <c r="F73" i="12"/>
  <c r="X72" i="12"/>
  <c r="U72" i="12"/>
  <c r="R72" i="12"/>
  <c r="O72" i="12"/>
  <c r="L72" i="12"/>
  <c r="I72" i="12"/>
  <c r="F72" i="12"/>
  <c r="X71" i="12"/>
  <c r="U71" i="12"/>
  <c r="R71" i="12"/>
  <c r="O71" i="12"/>
  <c r="L71" i="12"/>
  <c r="I71" i="12"/>
  <c r="F71" i="12"/>
  <c r="X70" i="12"/>
  <c r="U70" i="12"/>
  <c r="R70" i="12"/>
  <c r="O70" i="12"/>
  <c r="L70" i="12"/>
  <c r="I70" i="12"/>
  <c r="F70" i="12"/>
  <c r="X69" i="12"/>
  <c r="U69" i="12"/>
  <c r="R69" i="12"/>
  <c r="O69" i="12"/>
  <c r="L69" i="12"/>
  <c r="I69" i="12"/>
  <c r="F69" i="12"/>
  <c r="X68" i="12"/>
  <c r="U68" i="12"/>
  <c r="R68" i="12"/>
  <c r="O68" i="12"/>
  <c r="L68" i="12"/>
  <c r="I68" i="12"/>
  <c r="F68" i="12"/>
  <c r="X67" i="12"/>
  <c r="U67" i="12"/>
  <c r="R67" i="12"/>
  <c r="O67" i="12"/>
  <c r="L67" i="12"/>
  <c r="I67" i="12"/>
  <c r="F67" i="12"/>
  <c r="X66" i="12"/>
  <c r="U66" i="12"/>
  <c r="R66" i="12"/>
  <c r="O66" i="12"/>
  <c r="L66" i="12"/>
  <c r="I66" i="12"/>
  <c r="F66" i="12"/>
  <c r="X65" i="12"/>
  <c r="U65" i="12"/>
  <c r="R65" i="12"/>
  <c r="O65" i="12"/>
  <c r="L65" i="12"/>
  <c r="I65" i="12"/>
  <c r="F65" i="12"/>
  <c r="X64" i="12"/>
  <c r="U64" i="12"/>
  <c r="R64" i="12"/>
  <c r="O64" i="12"/>
  <c r="L64" i="12"/>
  <c r="I64" i="12"/>
  <c r="F64" i="12"/>
  <c r="X63" i="12"/>
  <c r="U63" i="12"/>
  <c r="R63" i="12"/>
  <c r="O63" i="12"/>
  <c r="L63" i="12"/>
  <c r="I63" i="12"/>
  <c r="F63" i="12"/>
  <c r="X62" i="12"/>
  <c r="U62" i="12"/>
  <c r="R62" i="12"/>
  <c r="O62" i="12"/>
  <c r="L62" i="12"/>
  <c r="I62" i="12"/>
  <c r="F62" i="12"/>
  <c r="X61" i="12"/>
  <c r="U61" i="12"/>
  <c r="R61" i="12"/>
  <c r="O61" i="12"/>
  <c r="L61" i="12"/>
  <c r="Z61" i="12" s="1"/>
  <c r="AC61" i="12" s="1"/>
  <c r="AG61" i="12" s="1"/>
  <c r="I61" i="12"/>
  <c r="F61" i="12"/>
  <c r="X60" i="12"/>
  <c r="U60" i="12"/>
  <c r="R60" i="12"/>
  <c r="O60" i="12"/>
  <c r="L60" i="12"/>
  <c r="I60" i="12"/>
  <c r="F60" i="12"/>
  <c r="X59" i="12"/>
  <c r="U59" i="12"/>
  <c r="R59" i="12"/>
  <c r="O59" i="12"/>
  <c r="L59" i="12"/>
  <c r="I59" i="12"/>
  <c r="F59" i="12"/>
  <c r="X58" i="12"/>
  <c r="U58" i="12"/>
  <c r="R58" i="12"/>
  <c r="O58" i="12"/>
  <c r="L58" i="12"/>
  <c r="I58" i="12"/>
  <c r="F58" i="12"/>
  <c r="X57" i="12"/>
  <c r="U57" i="12"/>
  <c r="R57" i="12"/>
  <c r="O57" i="12"/>
  <c r="L57" i="12"/>
  <c r="I57" i="12"/>
  <c r="F57" i="12"/>
  <c r="X56" i="12"/>
  <c r="U56" i="12"/>
  <c r="Z56" i="12" s="1"/>
  <c r="AC56" i="12" s="1"/>
  <c r="AG56" i="12" s="1"/>
  <c r="R56" i="12"/>
  <c r="O56" i="12"/>
  <c r="L56" i="12"/>
  <c r="I56" i="12"/>
  <c r="F56" i="12"/>
  <c r="X55" i="12"/>
  <c r="U55" i="12"/>
  <c r="R55" i="12"/>
  <c r="O55" i="12"/>
  <c r="L55" i="12"/>
  <c r="I55" i="12"/>
  <c r="F55" i="12"/>
  <c r="X54" i="12"/>
  <c r="U54" i="12"/>
  <c r="R54" i="12"/>
  <c r="O54" i="12"/>
  <c r="L54" i="12"/>
  <c r="I54" i="12"/>
  <c r="F54" i="12"/>
  <c r="X53" i="12"/>
  <c r="U53" i="12"/>
  <c r="R53" i="12"/>
  <c r="O53" i="12"/>
  <c r="L53" i="12"/>
  <c r="I53" i="12"/>
  <c r="F53" i="12"/>
  <c r="X52" i="12"/>
  <c r="U52" i="12"/>
  <c r="R52" i="12"/>
  <c r="O52" i="12"/>
  <c r="L52" i="12"/>
  <c r="I52" i="12"/>
  <c r="F52" i="12"/>
  <c r="X51" i="12"/>
  <c r="U51" i="12"/>
  <c r="R51" i="12"/>
  <c r="O51" i="12"/>
  <c r="L51" i="12"/>
  <c r="I51" i="12"/>
  <c r="F51" i="12"/>
  <c r="X50" i="12"/>
  <c r="U50" i="12"/>
  <c r="R50" i="12"/>
  <c r="O50" i="12"/>
  <c r="L50" i="12"/>
  <c r="I50" i="12"/>
  <c r="F50" i="12"/>
  <c r="X49" i="12"/>
  <c r="U49" i="12"/>
  <c r="R49" i="12"/>
  <c r="O49" i="12"/>
  <c r="L49" i="12"/>
  <c r="I49" i="12"/>
  <c r="F49" i="12"/>
  <c r="X48" i="12"/>
  <c r="U48" i="12"/>
  <c r="R48" i="12"/>
  <c r="O48" i="12"/>
  <c r="L48" i="12"/>
  <c r="I48" i="12"/>
  <c r="F48" i="12"/>
  <c r="X47" i="12"/>
  <c r="U47" i="12"/>
  <c r="R47" i="12"/>
  <c r="O47" i="12"/>
  <c r="L47" i="12"/>
  <c r="I47" i="12"/>
  <c r="F47" i="12"/>
  <c r="X46" i="12"/>
  <c r="U46" i="12"/>
  <c r="R46" i="12"/>
  <c r="O46" i="12"/>
  <c r="L46" i="12"/>
  <c r="I46" i="12"/>
  <c r="Z46" i="12" s="1"/>
  <c r="AC46" i="12" s="1"/>
  <c r="AG46" i="12" s="1"/>
  <c r="F46" i="12"/>
  <c r="X45" i="12"/>
  <c r="U45" i="12"/>
  <c r="R45" i="12"/>
  <c r="O45" i="12"/>
  <c r="L45" i="12"/>
  <c r="I45" i="12"/>
  <c r="F45" i="12"/>
  <c r="X44" i="12"/>
  <c r="U44" i="12"/>
  <c r="R44" i="12"/>
  <c r="O44" i="12"/>
  <c r="L44" i="12"/>
  <c r="I44" i="12"/>
  <c r="F44" i="12"/>
  <c r="X43" i="12"/>
  <c r="U43" i="12"/>
  <c r="R43" i="12"/>
  <c r="O43" i="12"/>
  <c r="L43" i="12"/>
  <c r="I43" i="12"/>
  <c r="F43" i="12"/>
  <c r="X42" i="12"/>
  <c r="U42" i="12"/>
  <c r="R42" i="12"/>
  <c r="O42" i="12"/>
  <c r="L42" i="12"/>
  <c r="I42" i="12"/>
  <c r="F42" i="12"/>
  <c r="Z42" i="12" s="1"/>
  <c r="AC42" i="12" s="1"/>
  <c r="AG42" i="12" s="1"/>
  <c r="X41" i="12"/>
  <c r="U41" i="12"/>
  <c r="R41" i="12"/>
  <c r="Z41" i="12" s="1"/>
  <c r="AC41" i="12" s="1"/>
  <c r="AG41" i="12" s="1"/>
  <c r="O41" i="12"/>
  <c r="L41" i="12"/>
  <c r="I41" i="12"/>
  <c r="F41" i="12"/>
  <c r="X40" i="12"/>
  <c r="U40" i="12"/>
  <c r="R40" i="12"/>
  <c r="O40" i="12"/>
  <c r="L40" i="12"/>
  <c r="I40" i="12"/>
  <c r="F40" i="12"/>
  <c r="X39" i="12"/>
  <c r="U39" i="12"/>
  <c r="R39" i="12"/>
  <c r="O39" i="12"/>
  <c r="L39" i="12"/>
  <c r="I39" i="12"/>
  <c r="F39" i="12"/>
  <c r="X38" i="12"/>
  <c r="U38" i="12"/>
  <c r="R38" i="12"/>
  <c r="O38" i="12"/>
  <c r="L38" i="12"/>
  <c r="I38" i="12"/>
  <c r="F38" i="12"/>
  <c r="X37" i="12"/>
  <c r="U37" i="12"/>
  <c r="R37" i="12"/>
  <c r="O37" i="12"/>
  <c r="L37" i="12"/>
  <c r="I37" i="12"/>
  <c r="F37" i="12"/>
  <c r="X36" i="12"/>
  <c r="U36" i="12"/>
  <c r="R36" i="12"/>
  <c r="O36" i="12"/>
  <c r="L36" i="12"/>
  <c r="I36" i="12"/>
  <c r="F36" i="12"/>
  <c r="Z36" i="12" s="1"/>
  <c r="AC36" i="12" s="1"/>
  <c r="AG36" i="12" s="1"/>
  <c r="X35" i="12"/>
  <c r="U35" i="12"/>
  <c r="R35" i="12"/>
  <c r="O35" i="12"/>
  <c r="L35" i="12"/>
  <c r="I35" i="12"/>
  <c r="F35" i="12"/>
  <c r="X34" i="12"/>
  <c r="U34" i="12"/>
  <c r="R34" i="12"/>
  <c r="O34" i="12"/>
  <c r="L34" i="12"/>
  <c r="I34" i="12"/>
  <c r="F34" i="12"/>
  <c r="X33" i="12"/>
  <c r="U33" i="12"/>
  <c r="R33" i="12"/>
  <c r="O33" i="12"/>
  <c r="L33" i="12"/>
  <c r="I33" i="12"/>
  <c r="F33" i="12"/>
  <c r="X32" i="12"/>
  <c r="U32" i="12"/>
  <c r="R32" i="12"/>
  <c r="O32" i="12"/>
  <c r="L32" i="12"/>
  <c r="I32" i="12"/>
  <c r="F32" i="12"/>
  <c r="X31" i="12"/>
  <c r="U31" i="12"/>
  <c r="R31" i="12"/>
  <c r="O31" i="12"/>
  <c r="L31" i="12"/>
  <c r="I31" i="12"/>
  <c r="F31" i="12"/>
  <c r="X30" i="12"/>
  <c r="U30" i="12"/>
  <c r="R30" i="12"/>
  <c r="O30" i="12"/>
  <c r="L30" i="12"/>
  <c r="I30" i="12"/>
  <c r="F30" i="12"/>
  <c r="X29" i="12"/>
  <c r="U29" i="12"/>
  <c r="R29" i="12"/>
  <c r="O29" i="12"/>
  <c r="L29" i="12"/>
  <c r="I29" i="12"/>
  <c r="F29" i="12"/>
  <c r="X28" i="12"/>
  <c r="U28" i="12"/>
  <c r="R28" i="12"/>
  <c r="O28" i="12"/>
  <c r="L28" i="12"/>
  <c r="I28" i="12"/>
  <c r="F28" i="12"/>
  <c r="X27" i="12"/>
  <c r="U27" i="12"/>
  <c r="R27" i="12"/>
  <c r="O27" i="12"/>
  <c r="L27" i="12"/>
  <c r="I27" i="12"/>
  <c r="F27" i="12"/>
  <c r="X26" i="12"/>
  <c r="U26" i="12"/>
  <c r="R26" i="12"/>
  <c r="O26" i="12"/>
  <c r="L26" i="12"/>
  <c r="I26" i="12"/>
  <c r="F26" i="12"/>
  <c r="X25" i="12"/>
  <c r="U25" i="12"/>
  <c r="R25" i="12"/>
  <c r="O25" i="12"/>
  <c r="L25" i="12"/>
  <c r="I25" i="12"/>
  <c r="F25" i="12"/>
  <c r="X24" i="12"/>
  <c r="U24" i="12"/>
  <c r="R24" i="12"/>
  <c r="O24" i="12"/>
  <c r="L24" i="12"/>
  <c r="I24" i="12"/>
  <c r="F24" i="12"/>
  <c r="X23" i="12"/>
  <c r="U23" i="12"/>
  <c r="R23" i="12"/>
  <c r="O23" i="12"/>
  <c r="L23" i="12"/>
  <c r="I23" i="12"/>
  <c r="F23" i="12"/>
  <c r="X22" i="12"/>
  <c r="U22" i="12"/>
  <c r="R22" i="12"/>
  <c r="O22" i="12"/>
  <c r="L22" i="12"/>
  <c r="I22" i="12"/>
  <c r="F22" i="12"/>
  <c r="X21" i="12"/>
  <c r="U21" i="12"/>
  <c r="R21" i="12"/>
  <c r="O21" i="12"/>
  <c r="L21" i="12"/>
  <c r="I21" i="12"/>
  <c r="F21" i="12"/>
  <c r="X20" i="12"/>
  <c r="U20" i="12"/>
  <c r="R20" i="12"/>
  <c r="O20" i="12"/>
  <c r="L20" i="12"/>
  <c r="I20" i="12"/>
  <c r="F20" i="12"/>
  <c r="X19" i="12"/>
  <c r="U19" i="12"/>
  <c r="R19" i="12"/>
  <c r="O19" i="12"/>
  <c r="L19" i="12"/>
  <c r="I19" i="12"/>
  <c r="F19" i="12"/>
  <c r="X18" i="12"/>
  <c r="U18" i="12"/>
  <c r="R18" i="12"/>
  <c r="O18" i="12"/>
  <c r="L18" i="12"/>
  <c r="I18" i="12"/>
  <c r="F18" i="12"/>
  <c r="X17" i="12"/>
  <c r="U17" i="12"/>
  <c r="R17" i="12"/>
  <c r="O17" i="12"/>
  <c r="L17" i="12"/>
  <c r="I17" i="12"/>
  <c r="F17" i="12"/>
  <c r="X16" i="12"/>
  <c r="U16" i="12"/>
  <c r="R16" i="12"/>
  <c r="Z16" i="12" s="1"/>
  <c r="AC16" i="12" s="1"/>
  <c r="AG16" i="12" s="1"/>
  <c r="O16" i="12"/>
  <c r="L16" i="12"/>
  <c r="I16" i="12"/>
  <c r="F16" i="12"/>
  <c r="X15" i="12"/>
  <c r="U15" i="12"/>
  <c r="R15" i="12"/>
  <c r="O15" i="12"/>
  <c r="L15" i="12"/>
  <c r="I15" i="12"/>
  <c r="F15" i="12"/>
  <c r="X14" i="12"/>
  <c r="U14" i="12"/>
  <c r="R14" i="12"/>
  <c r="O14" i="12"/>
  <c r="L14" i="12"/>
  <c r="I14" i="12"/>
  <c r="F14" i="12"/>
  <c r="X13" i="12"/>
  <c r="U13" i="12"/>
  <c r="R13" i="12"/>
  <c r="O13" i="12"/>
  <c r="L13" i="12"/>
  <c r="I13" i="12"/>
  <c r="F13" i="12"/>
  <c r="X12" i="12"/>
  <c r="U12" i="12"/>
  <c r="R12" i="12"/>
  <c r="O12" i="12"/>
  <c r="L12" i="12"/>
  <c r="I12" i="12"/>
  <c r="F12" i="12"/>
  <c r="Z12" i="12" s="1"/>
  <c r="AC12" i="12" s="1"/>
  <c r="AG12" i="12" s="1"/>
  <c r="X11" i="12"/>
  <c r="U11" i="12"/>
  <c r="R11" i="12"/>
  <c r="O11" i="12"/>
  <c r="L11" i="12"/>
  <c r="I11" i="12"/>
  <c r="F11" i="12"/>
  <c r="X10" i="12"/>
  <c r="U10" i="12"/>
  <c r="R10" i="12"/>
  <c r="O10" i="12"/>
  <c r="L10" i="12"/>
  <c r="I10" i="12"/>
  <c r="F10" i="12"/>
  <c r="X9" i="12"/>
  <c r="U9" i="12"/>
  <c r="R9" i="12"/>
  <c r="O9" i="12"/>
  <c r="L9" i="12"/>
  <c r="I9" i="12"/>
  <c r="F9" i="12"/>
  <c r="X8" i="12"/>
  <c r="U8" i="12"/>
  <c r="R8" i="12"/>
  <c r="O8" i="12"/>
  <c r="L8" i="12"/>
  <c r="I8" i="12"/>
  <c r="F8" i="12"/>
  <c r="X7" i="12"/>
  <c r="U7" i="12"/>
  <c r="R7" i="12"/>
  <c r="O7" i="12"/>
  <c r="L7" i="12"/>
  <c r="I7" i="12"/>
  <c r="F7" i="12"/>
  <c r="X6" i="12"/>
  <c r="U6" i="12"/>
  <c r="R6" i="12"/>
  <c r="O6" i="12"/>
  <c r="L6" i="12"/>
  <c r="I6" i="12"/>
  <c r="F6" i="12"/>
  <c r="X5" i="12"/>
  <c r="U5" i="12"/>
  <c r="R5" i="12"/>
  <c r="O5" i="12"/>
  <c r="L5" i="12"/>
  <c r="I5" i="12"/>
  <c r="F5" i="12"/>
  <c r="X4" i="12"/>
  <c r="U4" i="12"/>
  <c r="R4" i="12"/>
  <c r="O4" i="12"/>
  <c r="L4" i="12"/>
  <c r="I4" i="12"/>
  <c r="F4" i="12"/>
  <c r="AD100" i="11"/>
  <c r="AB100" i="11"/>
  <c r="AA100" i="11"/>
  <c r="Y100" i="11"/>
  <c r="W100" i="11"/>
  <c r="V100" i="11"/>
  <c r="T100" i="11"/>
  <c r="S100" i="11"/>
  <c r="Q100" i="11"/>
  <c r="P100" i="11"/>
  <c r="N100" i="11"/>
  <c r="M100" i="11"/>
  <c r="K100" i="11"/>
  <c r="J100" i="11"/>
  <c r="H100" i="11"/>
  <c r="G100" i="11"/>
  <c r="E100" i="11"/>
  <c r="D100" i="11"/>
  <c r="X99" i="11"/>
  <c r="U99" i="11"/>
  <c r="R99" i="11"/>
  <c r="O99" i="11"/>
  <c r="L99" i="11"/>
  <c r="I99" i="11"/>
  <c r="F99" i="11"/>
  <c r="X98" i="11"/>
  <c r="U98" i="11"/>
  <c r="R98" i="11"/>
  <c r="O98" i="11"/>
  <c r="L98" i="11"/>
  <c r="I98" i="11"/>
  <c r="F98" i="11"/>
  <c r="X97" i="11"/>
  <c r="U97" i="11"/>
  <c r="R97" i="11"/>
  <c r="O97" i="11"/>
  <c r="L97" i="11"/>
  <c r="I97" i="11"/>
  <c r="F97" i="11"/>
  <c r="X96" i="11"/>
  <c r="U96" i="11"/>
  <c r="R96" i="11"/>
  <c r="O96" i="11"/>
  <c r="L96" i="11"/>
  <c r="I96" i="11"/>
  <c r="F96" i="11"/>
  <c r="X95" i="11"/>
  <c r="U95" i="11"/>
  <c r="R95" i="11"/>
  <c r="O95" i="11"/>
  <c r="L95" i="11"/>
  <c r="I95" i="11"/>
  <c r="F95" i="11"/>
  <c r="X94" i="11"/>
  <c r="U94" i="11"/>
  <c r="R94" i="11"/>
  <c r="O94" i="11"/>
  <c r="L94" i="11"/>
  <c r="I94" i="11"/>
  <c r="F94" i="11"/>
  <c r="X93" i="11"/>
  <c r="U93" i="11"/>
  <c r="R93" i="11"/>
  <c r="O93" i="11"/>
  <c r="L93" i="11"/>
  <c r="I93" i="11"/>
  <c r="F93" i="11"/>
  <c r="X92" i="11"/>
  <c r="U92" i="11"/>
  <c r="R92" i="11"/>
  <c r="O92" i="11"/>
  <c r="L92" i="11"/>
  <c r="I92" i="11"/>
  <c r="F92" i="11"/>
  <c r="X91" i="11"/>
  <c r="U91" i="11"/>
  <c r="R91" i="11"/>
  <c r="O91" i="11"/>
  <c r="L91" i="11"/>
  <c r="I91" i="11"/>
  <c r="F91" i="11"/>
  <c r="X90" i="11"/>
  <c r="U90" i="11"/>
  <c r="R90" i="11"/>
  <c r="O90" i="11"/>
  <c r="L90" i="11"/>
  <c r="I90" i="11"/>
  <c r="F90" i="11"/>
  <c r="X89" i="11"/>
  <c r="U89" i="11"/>
  <c r="R89" i="11"/>
  <c r="O89" i="11"/>
  <c r="L89" i="11"/>
  <c r="I89" i="11"/>
  <c r="F89" i="11"/>
  <c r="X88" i="11"/>
  <c r="U88" i="11"/>
  <c r="R88" i="11"/>
  <c r="O88" i="11"/>
  <c r="L88" i="11"/>
  <c r="I88" i="11"/>
  <c r="F88" i="11"/>
  <c r="X87" i="11"/>
  <c r="U87" i="11"/>
  <c r="R87" i="11"/>
  <c r="O87" i="11"/>
  <c r="L87" i="11"/>
  <c r="I87" i="11"/>
  <c r="F87" i="11"/>
  <c r="X86" i="11"/>
  <c r="U86" i="11"/>
  <c r="R86" i="11"/>
  <c r="O86" i="11"/>
  <c r="L86" i="11"/>
  <c r="I86" i="11"/>
  <c r="F86" i="11"/>
  <c r="X85" i="11"/>
  <c r="U85" i="11"/>
  <c r="R85" i="11"/>
  <c r="O85" i="11"/>
  <c r="L85" i="11"/>
  <c r="I85" i="11"/>
  <c r="F85" i="11"/>
  <c r="X84" i="11"/>
  <c r="U84" i="11"/>
  <c r="R84" i="11"/>
  <c r="O84" i="11"/>
  <c r="L84" i="11"/>
  <c r="I84" i="11"/>
  <c r="F84" i="11"/>
  <c r="X83" i="11"/>
  <c r="U83" i="11"/>
  <c r="R83" i="11"/>
  <c r="O83" i="11"/>
  <c r="L83" i="11"/>
  <c r="I83" i="11"/>
  <c r="F83" i="11"/>
  <c r="X82" i="11"/>
  <c r="U82" i="11"/>
  <c r="R82" i="11"/>
  <c r="O82" i="11"/>
  <c r="L82" i="11"/>
  <c r="I82" i="11"/>
  <c r="F82" i="11"/>
  <c r="X81" i="11"/>
  <c r="U81" i="11"/>
  <c r="R81" i="11"/>
  <c r="O81" i="11"/>
  <c r="L81" i="11"/>
  <c r="I81" i="11"/>
  <c r="F81" i="11"/>
  <c r="X80" i="11"/>
  <c r="U80" i="11"/>
  <c r="R80" i="11"/>
  <c r="O80" i="11"/>
  <c r="L80" i="11"/>
  <c r="I80" i="11"/>
  <c r="F80" i="11"/>
  <c r="X79" i="11"/>
  <c r="U79" i="11"/>
  <c r="R79" i="11"/>
  <c r="O79" i="11"/>
  <c r="L79" i="11"/>
  <c r="I79" i="11"/>
  <c r="F79" i="11"/>
  <c r="X78" i="11"/>
  <c r="U78" i="11"/>
  <c r="R78" i="11"/>
  <c r="O78" i="11"/>
  <c r="L78" i="11"/>
  <c r="I78" i="11"/>
  <c r="F78" i="11"/>
  <c r="X77" i="11"/>
  <c r="U77" i="11"/>
  <c r="R77" i="11"/>
  <c r="O77" i="11"/>
  <c r="L77" i="11"/>
  <c r="I77" i="11"/>
  <c r="F77" i="11"/>
  <c r="X76" i="11"/>
  <c r="U76" i="11"/>
  <c r="R76" i="11"/>
  <c r="O76" i="11"/>
  <c r="L76" i="11"/>
  <c r="I76" i="11"/>
  <c r="F76" i="11"/>
  <c r="X75" i="11"/>
  <c r="U75" i="11"/>
  <c r="R75" i="11"/>
  <c r="O75" i="11"/>
  <c r="L75" i="11"/>
  <c r="I75" i="11"/>
  <c r="F75" i="11"/>
  <c r="X74" i="11"/>
  <c r="U74" i="11"/>
  <c r="R74" i="11"/>
  <c r="O74" i="11"/>
  <c r="L74" i="11"/>
  <c r="I74" i="11"/>
  <c r="F74" i="11"/>
  <c r="Z74" i="11" s="1"/>
  <c r="AC74" i="11" s="1"/>
  <c r="AG74" i="11" s="1"/>
  <c r="X73" i="11"/>
  <c r="U73" i="11"/>
  <c r="R73" i="11"/>
  <c r="O73" i="11"/>
  <c r="L73" i="11"/>
  <c r="I73" i="11"/>
  <c r="F73" i="11"/>
  <c r="X72" i="11"/>
  <c r="U72" i="11"/>
  <c r="R72" i="11"/>
  <c r="O72" i="11"/>
  <c r="L72" i="11"/>
  <c r="I72" i="11"/>
  <c r="F72" i="11"/>
  <c r="X71" i="11"/>
  <c r="U71" i="11"/>
  <c r="R71" i="11"/>
  <c r="O71" i="11"/>
  <c r="L71" i="11"/>
  <c r="I71" i="11"/>
  <c r="F71" i="11"/>
  <c r="X70" i="11"/>
  <c r="U70" i="11"/>
  <c r="R70" i="11"/>
  <c r="O70" i="11"/>
  <c r="L70" i="11"/>
  <c r="I70" i="11"/>
  <c r="F70" i="11"/>
  <c r="X69" i="11"/>
  <c r="U69" i="11"/>
  <c r="R69" i="11"/>
  <c r="O69" i="11"/>
  <c r="L69" i="11"/>
  <c r="I69" i="11"/>
  <c r="F69" i="11"/>
  <c r="X68" i="11"/>
  <c r="U68" i="11"/>
  <c r="R68" i="11"/>
  <c r="O68" i="11"/>
  <c r="L68" i="11"/>
  <c r="I68" i="11"/>
  <c r="F68" i="11"/>
  <c r="X67" i="11"/>
  <c r="U67" i="11"/>
  <c r="R67" i="11"/>
  <c r="O67" i="11"/>
  <c r="L67" i="11"/>
  <c r="I67" i="11"/>
  <c r="F67" i="11"/>
  <c r="X66" i="11"/>
  <c r="U66" i="11"/>
  <c r="R66" i="11"/>
  <c r="O66" i="11"/>
  <c r="L66" i="11"/>
  <c r="I66" i="11"/>
  <c r="F66" i="11"/>
  <c r="X65" i="11"/>
  <c r="U65" i="11"/>
  <c r="R65" i="11"/>
  <c r="O65" i="11"/>
  <c r="L65" i="11"/>
  <c r="I65" i="11"/>
  <c r="F65" i="11"/>
  <c r="X64" i="11"/>
  <c r="U64" i="11"/>
  <c r="R64" i="11"/>
  <c r="O64" i="11"/>
  <c r="L64" i="11"/>
  <c r="I64" i="11"/>
  <c r="F64" i="11"/>
  <c r="X63" i="11"/>
  <c r="U63" i="11"/>
  <c r="R63" i="11"/>
  <c r="O63" i="11"/>
  <c r="L63" i="11"/>
  <c r="I63" i="11"/>
  <c r="F63" i="11"/>
  <c r="X62" i="11"/>
  <c r="U62" i="11"/>
  <c r="R62" i="11"/>
  <c r="O62" i="11"/>
  <c r="L62" i="11"/>
  <c r="I62" i="11"/>
  <c r="F62" i="11"/>
  <c r="X61" i="11"/>
  <c r="U61" i="11"/>
  <c r="R61" i="11"/>
  <c r="O61" i="11"/>
  <c r="L61" i="11"/>
  <c r="I61" i="11"/>
  <c r="F61" i="11"/>
  <c r="X60" i="11"/>
  <c r="U60" i="11"/>
  <c r="R60" i="11"/>
  <c r="O60" i="11"/>
  <c r="L60" i="11"/>
  <c r="I60" i="11"/>
  <c r="F60" i="11"/>
  <c r="X59" i="11"/>
  <c r="U59" i="11"/>
  <c r="R59" i="11"/>
  <c r="O59" i="11"/>
  <c r="L59" i="11"/>
  <c r="I59" i="11"/>
  <c r="F59" i="11"/>
  <c r="Z59" i="11" s="1"/>
  <c r="AC59" i="11" s="1"/>
  <c r="AG59" i="11" s="1"/>
  <c r="X58" i="11"/>
  <c r="U58" i="11"/>
  <c r="R58" i="11"/>
  <c r="O58" i="11"/>
  <c r="L58" i="11"/>
  <c r="I58" i="11"/>
  <c r="F58" i="11"/>
  <c r="X57" i="11"/>
  <c r="U57" i="11"/>
  <c r="R57" i="11"/>
  <c r="O57" i="11"/>
  <c r="L57" i="11"/>
  <c r="I57" i="11"/>
  <c r="F57" i="11"/>
  <c r="X56" i="11"/>
  <c r="U56" i="11"/>
  <c r="R56" i="11"/>
  <c r="O56" i="11"/>
  <c r="L56" i="11"/>
  <c r="I56" i="11"/>
  <c r="F56" i="11"/>
  <c r="X55" i="11"/>
  <c r="U55" i="11"/>
  <c r="R55" i="11"/>
  <c r="O55" i="11"/>
  <c r="L55" i="11"/>
  <c r="I55" i="11"/>
  <c r="F55" i="11"/>
  <c r="X54" i="11"/>
  <c r="U54" i="11"/>
  <c r="R54" i="11"/>
  <c r="O54" i="11"/>
  <c r="L54" i="11"/>
  <c r="I54" i="11"/>
  <c r="F54" i="11"/>
  <c r="X53" i="11"/>
  <c r="U53" i="11"/>
  <c r="R53" i="11"/>
  <c r="O53" i="11"/>
  <c r="L53" i="11"/>
  <c r="I53" i="11"/>
  <c r="F53" i="11"/>
  <c r="X52" i="11"/>
  <c r="U52" i="11"/>
  <c r="R52" i="11"/>
  <c r="O52" i="11"/>
  <c r="L52" i="11"/>
  <c r="I52" i="11"/>
  <c r="F52" i="11"/>
  <c r="X51" i="11"/>
  <c r="U51" i="11"/>
  <c r="R51" i="11"/>
  <c r="O51" i="11"/>
  <c r="L51" i="11"/>
  <c r="I51" i="11"/>
  <c r="F51" i="11"/>
  <c r="X50" i="11"/>
  <c r="U50" i="11"/>
  <c r="R50" i="11"/>
  <c r="O50" i="11"/>
  <c r="L50" i="11"/>
  <c r="I50" i="11"/>
  <c r="F50" i="11"/>
  <c r="X49" i="11"/>
  <c r="U49" i="11"/>
  <c r="R49" i="11"/>
  <c r="O49" i="11"/>
  <c r="L49" i="11"/>
  <c r="I49" i="11"/>
  <c r="F49" i="11"/>
  <c r="X48" i="11"/>
  <c r="U48" i="11"/>
  <c r="R48" i="11"/>
  <c r="O48" i="11"/>
  <c r="L48" i="11"/>
  <c r="I48" i="11"/>
  <c r="F48" i="11"/>
  <c r="X47" i="11"/>
  <c r="U47" i="11"/>
  <c r="R47" i="11"/>
  <c r="O47" i="11"/>
  <c r="L47" i="11"/>
  <c r="I47" i="11"/>
  <c r="F47" i="11"/>
  <c r="X46" i="11"/>
  <c r="U46" i="11"/>
  <c r="R46" i="11"/>
  <c r="O46" i="11"/>
  <c r="L46" i="11"/>
  <c r="I46" i="11"/>
  <c r="F46" i="11"/>
  <c r="X45" i="11"/>
  <c r="U45" i="11"/>
  <c r="R45" i="11"/>
  <c r="O45" i="11"/>
  <c r="L45" i="11"/>
  <c r="I45" i="11"/>
  <c r="F45" i="11"/>
  <c r="X44" i="11"/>
  <c r="U44" i="11"/>
  <c r="R44" i="11"/>
  <c r="O44" i="11"/>
  <c r="L44" i="11"/>
  <c r="I44" i="11"/>
  <c r="F44" i="11"/>
  <c r="X43" i="11"/>
  <c r="U43" i="11"/>
  <c r="R43" i="11"/>
  <c r="O43" i="11"/>
  <c r="L43" i="11"/>
  <c r="I43" i="11"/>
  <c r="F43" i="11"/>
  <c r="X42" i="11"/>
  <c r="U42" i="11"/>
  <c r="R42" i="11"/>
  <c r="O42" i="11"/>
  <c r="L42" i="11"/>
  <c r="I42" i="11"/>
  <c r="F42" i="11"/>
  <c r="X41" i="11"/>
  <c r="U41" i="11"/>
  <c r="R41" i="11"/>
  <c r="O41" i="11"/>
  <c r="L41" i="11"/>
  <c r="I41" i="11"/>
  <c r="F41" i="11"/>
  <c r="X40" i="11"/>
  <c r="U40" i="11"/>
  <c r="R40" i="11"/>
  <c r="O40" i="11"/>
  <c r="L40" i="11"/>
  <c r="I40" i="11"/>
  <c r="F40" i="11"/>
  <c r="X39" i="11"/>
  <c r="U39" i="11"/>
  <c r="R39" i="11"/>
  <c r="O39" i="11"/>
  <c r="L39" i="11"/>
  <c r="I39" i="11"/>
  <c r="F39" i="11"/>
  <c r="X38" i="11"/>
  <c r="U38" i="11"/>
  <c r="R38" i="11"/>
  <c r="O38" i="11"/>
  <c r="L38" i="11"/>
  <c r="I38" i="11"/>
  <c r="F38" i="11"/>
  <c r="X37" i="11"/>
  <c r="U37" i="11"/>
  <c r="R37" i="11"/>
  <c r="O37" i="11"/>
  <c r="L37" i="11"/>
  <c r="I37" i="11"/>
  <c r="F37" i="11"/>
  <c r="X36" i="11"/>
  <c r="U36" i="11"/>
  <c r="R36" i="11"/>
  <c r="O36" i="11"/>
  <c r="L36" i="11"/>
  <c r="I36" i="11"/>
  <c r="F36" i="11"/>
  <c r="X35" i="11"/>
  <c r="U35" i="11"/>
  <c r="R35" i="11"/>
  <c r="O35" i="11"/>
  <c r="L35" i="11"/>
  <c r="I35" i="11"/>
  <c r="F35" i="11"/>
  <c r="X34" i="11"/>
  <c r="U34" i="11"/>
  <c r="R34" i="11"/>
  <c r="O34" i="11"/>
  <c r="L34" i="11"/>
  <c r="I34" i="11"/>
  <c r="F34" i="11"/>
  <c r="X33" i="11"/>
  <c r="U33" i="11"/>
  <c r="R33" i="11"/>
  <c r="O33" i="11"/>
  <c r="L33" i="11"/>
  <c r="I33" i="11"/>
  <c r="F33" i="11"/>
  <c r="X32" i="11"/>
  <c r="U32" i="11"/>
  <c r="R32" i="11"/>
  <c r="O32" i="11"/>
  <c r="L32" i="11"/>
  <c r="I32" i="11"/>
  <c r="F32" i="11"/>
  <c r="X31" i="11"/>
  <c r="U31" i="11"/>
  <c r="R31" i="11"/>
  <c r="O31" i="11"/>
  <c r="L31" i="11"/>
  <c r="I31" i="11"/>
  <c r="F31" i="11"/>
  <c r="X30" i="11"/>
  <c r="U30" i="11"/>
  <c r="R30" i="11"/>
  <c r="O30" i="11"/>
  <c r="L30" i="11"/>
  <c r="I30" i="11"/>
  <c r="F30" i="11"/>
  <c r="X29" i="11"/>
  <c r="U29" i="11"/>
  <c r="R29" i="11"/>
  <c r="O29" i="11"/>
  <c r="L29" i="11"/>
  <c r="I29" i="11"/>
  <c r="F29" i="11"/>
  <c r="X28" i="11"/>
  <c r="U28" i="11"/>
  <c r="R28" i="11"/>
  <c r="O28" i="11"/>
  <c r="L28" i="11"/>
  <c r="I28" i="11"/>
  <c r="F28" i="11"/>
  <c r="Z27" i="11"/>
  <c r="AC27" i="11" s="1"/>
  <c r="AG27" i="11" s="1"/>
  <c r="X27" i="11"/>
  <c r="U27" i="11"/>
  <c r="R27" i="11"/>
  <c r="O27" i="11"/>
  <c r="L27" i="11"/>
  <c r="I27" i="11"/>
  <c r="F27" i="11"/>
  <c r="X26" i="11"/>
  <c r="U26" i="11"/>
  <c r="R26" i="11"/>
  <c r="O26" i="11"/>
  <c r="L26" i="11"/>
  <c r="I26" i="11"/>
  <c r="F26" i="11"/>
  <c r="X25" i="11"/>
  <c r="U25" i="11"/>
  <c r="R25" i="11"/>
  <c r="O25" i="11"/>
  <c r="L25" i="11"/>
  <c r="I25" i="11"/>
  <c r="F25" i="11"/>
  <c r="X24" i="11"/>
  <c r="U24" i="11"/>
  <c r="R24" i="11"/>
  <c r="O24" i="11"/>
  <c r="L24" i="11"/>
  <c r="I24" i="11"/>
  <c r="F24" i="11"/>
  <c r="X23" i="11"/>
  <c r="U23" i="11"/>
  <c r="R23" i="11"/>
  <c r="O23" i="11"/>
  <c r="L23" i="11"/>
  <c r="I23" i="11"/>
  <c r="F23" i="11"/>
  <c r="X22" i="11"/>
  <c r="U22" i="11"/>
  <c r="R22" i="11"/>
  <c r="O22" i="11"/>
  <c r="L22" i="11"/>
  <c r="I22" i="11"/>
  <c r="F22" i="11"/>
  <c r="X21" i="11"/>
  <c r="U21" i="11"/>
  <c r="R21" i="11"/>
  <c r="O21" i="11"/>
  <c r="L21" i="11"/>
  <c r="I21" i="11"/>
  <c r="F21" i="11"/>
  <c r="X20" i="11"/>
  <c r="U20" i="11"/>
  <c r="R20" i="11"/>
  <c r="O20" i="11"/>
  <c r="L20" i="11"/>
  <c r="I20" i="11"/>
  <c r="F20" i="11"/>
  <c r="Z20" i="11" s="1"/>
  <c r="AC20" i="11" s="1"/>
  <c r="AG20" i="11" s="1"/>
  <c r="X19" i="11"/>
  <c r="U19" i="11"/>
  <c r="R19" i="11"/>
  <c r="O19" i="11"/>
  <c r="L19" i="11"/>
  <c r="I19" i="11"/>
  <c r="F19" i="11"/>
  <c r="X18" i="11"/>
  <c r="U18" i="11"/>
  <c r="R18" i="11"/>
  <c r="O18" i="11"/>
  <c r="L18" i="11"/>
  <c r="I18" i="11"/>
  <c r="F18" i="11"/>
  <c r="X17" i="11"/>
  <c r="U17" i="11"/>
  <c r="R17" i="11"/>
  <c r="O17" i="11"/>
  <c r="L17" i="11"/>
  <c r="I17" i="11"/>
  <c r="F17" i="11"/>
  <c r="X16" i="11"/>
  <c r="U16" i="11"/>
  <c r="R16" i="11"/>
  <c r="O16" i="11"/>
  <c r="L16" i="11"/>
  <c r="I16" i="11"/>
  <c r="F16" i="11"/>
  <c r="X15" i="11"/>
  <c r="U15" i="11"/>
  <c r="R15" i="11"/>
  <c r="O15" i="11"/>
  <c r="L15" i="11"/>
  <c r="I15" i="11"/>
  <c r="F15" i="11"/>
  <c r="Z15" i="11" s="1"/>
  <c r="AC15" i="11" s="1"/>
  <c r="AG15" i="11" s="1"/>
  <c r="X14" i="11"/>
  <c r="U14" i="11"/>
  <c r="R14" i="11"/>
  <c r="O14" i="11"/>
  <c r="L14" i="11"/>
  <c r="Z14" i="11" s="1"/>
  <c r="AC14" i="11" s="1"/>
  <c r="AG14" i="11" s="1"/>
  <c r="I14" i="11"/>
  <c r="F14" i="11"/>
  <c r="X13" i="11"/>
  <c r="U13" i="11"/>
  <c r="R13" i="11"/>
  <c r="O13" i="11"/>
  <c r="L13" i="11"/>
  <c r="I13" i="11"/>
  <c r="F13" i="11"/>
  <c r="X12" i="11"/>
  <c r="U12" i="11"/>
  <c r="R12" i="11"/>
  <c r="O12" i="11"/>
  <c r="L12" i="11"/>
  <c r="I12" i="11"/>
  <c r="F12" i="11"/>
  <c r="X11" i="11"/>
  <c r="U11" i="11"/>
  <c r="R11" i="11"/>
  <c r="O11" i="11"/>
  <c r="L11" i="11"/>
  <c r="I11" i="11"/>
  <c r="F11" i="11"/>
  <c r="X10" i="11"/>
  <c r="U10" i="11"/>
  <c r="R10" i="11"/>
  <c r="O10" i="11"/>
  <c r="L10" i="11"/>
  <c r="I10" i="11"/>
  <c r="F10" i="11"/>
  <c r="X9" i="11"/>
  <c r="U9" i="11"/>
  <c r="R9" i="11"/>
  <c r="O9" i="11"/>
  <c r="L9" i="11"/>
  <c r="I9" i="11"/>
  <c r="F9" i="11"/>
  <c r="X8" i="11"/>
  <c r="U8" i="11"/>
  <c r="R8" i="11"/>
  <c r="O8" i="11"/>
  <c r="L8" i="11"/>
  <c r="I8" i="11"/>
  <c r="F8" i="11"/>
  <c r="X7" i="11"/>
  <c r="U7" i="11"/>
  <c r="R7" i="11"/>
  <c r="O7" i="11"/>
  <c r="L7" i="11"/>
  <c r="I7" i="11"/>
  <c r="F7" i="11"/>
  <c r="X6" i="11"/>
  <c r="U6" i="11"/>
  <c r="R6" i="11"/>
  <c r="O6" i="11"/>
  <c r="L6" i="11"/>
  <c r="Z6" i="11" s="1"/>
  <c r="AC6" i="11" s="1"/>
  <c r="AG6" i="11" s="1"/>
  <c r="I6" i="11"/>
  <c r="F6" i="11"/>
  <c r="X5" i="11"/>
  <c r="U5" i="11"/>
  <c r="R5" i="11"/>
  <c r="O5" i="11"/>
  <c r="L5" i="11"/>
  <c r="I5" i="11"/>
  <c r="F5" i="11"/>
  <c r="X4" i="11"/>
  <c r="U4" i="11"/>
  <c r="R4" i="11"/>
  <c r="O4" i="11"/>
  <c r="L4" i="11"/>
  <c r="I4" i="11"/>
  <c r="F4" i="11"/>
  <c r="Z75" i="18" l="1"/>
  <c r="AC75" i="18" s="1"/>
  <c r="AG75" i="18" s="1"/>
  <c r="L82" i="19"/>
  <c r="Z96" i="18"/>
  <c r="AC96" i="18" s="1"/>
  <c r="AG96" i="18" s="1"/>
  <c r="O79" i="19"/>
  <c r="I78" i="19"/>
  <c r="Z73" i="18"/>
  <c r="AC73" i="18" s="1"/>
  <c r="AG73" i="18" s="1"/>
  <c r="I74" i="19"/>
  <c r="F65" i="19"/>
  <c r="Z40" i="18"/>
  <c r="AC40" i="18" s="1"/>
  <c r="AG40" i="18" s="1"/>
  <c r="Z27" i="18"/>
  <c r="AC27" i="18" s="1"/>
  <c r="AG27" i="18" s="1"/>
  <c r="Z37" i="18"/>
  <c r="AC37" i="18" s="1"/>
  <c r="AG37" i="18" s="1"/>
  <c r="Z35" i="18"/>
  <c r="AC35" i="18" s="1"/>
  <c r="AG35" i="18" s="1"/>
  <c r="Z6" i="18"/>
  <c r="AC6" i="18" s="1"/>
  <c r="AG6" i="18" s="1"/>
  <c r="Z4" i="18"/>
  <c r="Z14" i="18"/>
  <c r="AC14" i="18" s="1"/>
  <c r="AG14" i="18" s="1"/>
  <c r="R6" i="19"/>
  <c r="I6" i="19"/>
  <c r="F8" i="19"/>
  <c r="Z24" i="17"/>
  <c r="AC24" i="17" s="1"/>
  <c r="AG24" i="17" s="1"/>
  <c r="Z28" i="17"/>
  <c r="AC28" i="17" s="1"/>
  <c r="AG28" i="17" s="1"/>
  <c r="I66" i="19"/>
  <c r="I90" i="19"/>
  <c r="I82" i="19"/>
  <c r="Z99" i="17"/>
  <c r="AC99" i="17" s="1"/>
  <c r="AG99" i="17" s="1"/>
  <c r="F88" i="19"/>
  <c r="Z88" i="17"/>
  <c r="AC88" i="17" s="1"/>
  <c r="AG88" i="17" s="1"/>
  <c r="O82" i="19"/>
  <c r="Z83" i="17"/>
  <c r="AC83" i="17" s="1"/>
  <c r="AG83" i="17" s="1"/>
  <c r="Z89" i="17"/>
  <c r="AC89" i="17" s="1"/>
  <c r="AG89" i="17" s="1"/>
  <c r="Z57" i="17"/>
  <c r="AC57" i="17" s="1"/>
  <c r="AG57" i="17" s="1"/>
  <c r="Z48" i="17"/>
  <c r="AC48" i="17" s="1"/>
  <c r="AG48" i="17" s="1"/>
  <c r="Z15" i="12"/>
  <c r="AC15" i="12" s="1"/>
  <c r="AG15" i="12" s="1"/>
  <c r="Z86" i="14"/>
  <c r="AC86" i="14" s="1"/>
  <c r="AG86" i="14" s="1"/>
  <c r="Z83" i="13"/>
  <c r="AC83" i="13" s="1"/>
  <c r="AG83" i="13" s="1"/>
  <c r="Z41" i="11"/>
  <c r="AC41" i="11" s="1"/>
  <c r="AG41" i="11" s="1"/>
  <c r="Z6" i="12"/>
  <c r="AC6" i="12" s="1"/>
  <c r="AG6" i="12" s="1"/>
  <c r="Z19" i="12"/>
  <c r="AC19" i="12" s="1"/>
  <c r="AG19" i="12" s="1"/>
  <c r="Z37" i="13"/>
  <c r="AC37" i="13" s="1"/>
  <c r="AG37" i="13" s="1"/>
  <c r="Z12" i="14"/>
  <c r="AC12" i="14" s="1"/>
  <c r="AG12" i="14" s="1"/>
  <c r="Z16" i="14"/>
  <c r="AC16" i="14" s="1"/>
  <c r="AG16" i="14" s="1"/>
  <c r="Z48" i="14"/>
  <c r="AC48" i="14" s="1"/>
  <c r="AG48" i="14" s="1"/>
  <c r="Z87" i="14"/>
  <c r="AC87" i="14" s="1"/>
  <c r="AG87" i="14" s="1"/>
  <c r="Z9" i="15"/>
  <c r="AC9" i="15" s="1"/>
  <c r="AG9" i="15" s="1"/>
  <c r="Z41" i="15"/>
  <c r="AC41" i="15" s="1"/>
  <c r="AG41" i="15" s="1"/>
  <c r="Z73" i="16"/>
  <c r="AC73" i="16" s="1"/>
  <c r="AG73" i="16" s="1"/>
  <c r="Z22" i="17"/>
  <c r="AC22" i="17" s="1"/>
  <c r="AG22" i="17" s="1"/>
  <c r="Z74" i="17"/>
  <c r="AC74" i="17" s="1"/>
  <c r="AG74" i="17" s="1"/>
  <c r="Z80" i="17"/>
  <c r="AC80" i="17" s="1"/>
  <c r="AG80" i="17" s="1"/>
  <c r="Z85" i="17"/>
  <c r="AC85" i="17" s="1"/>
  <c r="AG85" i="17" s="1"/>
  <c r="Z91" i="17"/>
  <c r="AC91" i="17" s="1"/>
  <c r="AG91" i="17" s="1"/>
  <c r="Z25" i="18"/>
  <c r="AC25" i="18" s="1"/>
  <c r="AG25" i="18" s="1"/>
  <c r="Z49" i="18"/>
  <c r="AC49" i="18" s="1"/>
  <c r="AG49" i="18" s="1"/>
  <c r="Z64" i="18"/>
  <c r="AC64" i="18" s="1"/>
  <c r="AG64" i="18" s="1"/>
  <c r="O48" i="19"/>
  <c r="Z18" i="11"/>
  <c r="AC18" i="11" s="1"/>
  <c r="AG18" i="11" s="1"/>
  <c r="Z73" i="14"/>
  <c r="AC73" i="14" s="1"/>
  <c r="AG73" i="14" s="1"/>
  <c r="Z14" i="13"/>
  <c r="AC14" i="13" s="1"/>
  <c r="AG14" i="13" s="1"/>
  <c r="Z20" i="12"/>
  <c r="AC20" i="12" s="1"/>
  <c r="AG20" i="12" s="1"/>
  <c r="Z54" i="12"/>
  <c r="AC54" i="12" s="1"/>
  <c r="AG54" i="12" s="1"/>
  <c r="Z16" i="13"/>
  <c r="AC16" i="13" s="1"/>
  <c r="AG16" i="13" s="1"/>
  <c r="Z30" i="14"/>
  <c r="AC30" i="14" s="1"/>
  <c r="AG30" i="14" s="1"/>
  <c r="Z60" i="14"/>
  <c r="AC60" i="14" s="1"/>
  <c r="AG60" i="14" s="1"/>
  <c r="Z64" i="14"/>
  <c r="AC64" i="14" s="1"/>
  <c r="AG64" i="14" s="1"/>
  <c r="Z78" i="14"/>
  <c r="AC78" i="14" s="1"/>
  <c r="AG78" i="14" s="1"/>
  <c r="Z94" i="14"/>
  <c r="AC94" i="14" s="1"/>
  <c r="AG94" i="14" s="1"/>
  <c r="Z19" i="17"/>
  <c r="AC19" i="17" s="1"/>
  <c r="AG19" i="17" s="1"/>
  <c r="Z31" i="17"/>
  <c r="AC31" i="17" s="1"/>
  <c r="AG31" i="17" s="1"/>
  <c r="Z49" i="17"/>
  <c r="AC49" i="17" s="1"/>
  <c r="AG49" i="17" s="1"/>
  <c r="Z65" i="17"/>
  <c r="AC65" i="17" s="1"/>
  <c r="AG65" i="17" s="1"/>
  <c r="Z81" i="17"/>
  <c r="AC81" i="17" s="1"/>
  <c r="AG81" i="17" s="1"/>
  <c r="Z92" i="17"/>
  <c r="AC92" i="17" s="1"/>
  <c r="AG92" i="17" s="1"/>
  <c r="Z34" i="18"/>
  <c r="AC34" i="18" s="1"/>
  <c r="AG34" i="18" s="1"/>
  <c r="Z36" i="18"/>
  <c r="AC36" i="18" s="1"/>
  <c r="AG36" i="18" s="1"/>
  <c r="Z38" i="18"/>
  <c r="AC38" i="18" s="1"/>
  <c r="AG38" i="18" s="1"/>
  <c r="O15" i="19"/>
  <c r="Z62" i="15"/>
  <c r="AC62" i="15" s="1"/>
  <c r="AG62" i="15" s="1"/>
  <c r="Z78" i="15"/>
  <c r="AC78" i="15" s="1"/>
  <c r="AG78" i="15" s="1"/>
  <c r="O100" i="17"/>
  <c r="Z8" i="17"/>
  <c r="AC8" i="17" s="1"/>
  <c r="AG8" i="17" s="1"/>
  <c r="Z20" i="17"/>
  <c r="AC20" i="17" s="1"/>
  <c r="AG20" i="17" s="1"/>
  <c r="Z96" i="17"/>
  <c r="AC96" i="17" s="1"/>
  <c r="AG96" i="17" s="1"/>
  <c r="Z23" i="18"/>
  <c r="AC23" i="18" s="1"/>
  <c r="AG23" i="18" s="1"/>
  <c r="Z81" i="18"/>
  <c r="AC81" i="18" s="1"/>
  <c r="AG81" i="18" s="1"/>
  <c r="Z29" i="12"/>
  <c r="AC29" i="12" s="1"/>
  <c r="AG29" i="12" s="1"/>
  <c r="Z17" i="13"/>
  <c r="AC17" i="13" s="1"/>
  <c r="AG17" i="13" s="1"/>
  <c r="Z10" i="14"/>
  <c r="AC10" i="14" s="1"/>
  <c r="AG10" i="14" s="1"/>
  <c r="Z7" i="15"/>
  <c r="AC7" i="15" s="1"/>
  <c r="AG7" i="15" s="1"/>
  <c r="Z23" i="15"/>
  <c r="AC23" i="15" s="1"/>
  <c r="AG23" i="15" s="1"/>
  <c r="Z91" i="11"/>
  <c r="AC91" i="11" s="1"/>
  <c r="AG91" i="11" s="1"/>
  <c r="Z11" i="12"/>
  <c r="AC11" i="12" s="1"/>
  <c r="AG11" i="12" s="1"/>
  <c r="Z18" i="12"/>
  <c r="AC18" i="12" s="1"/>
  <c r="AG18" i="12" s="1"/>
  <c r="Z70" i="12"/>
  <c r="AC70" i="12" s="1"/>
  <c r="AG70" i="12" s="1"/>
  <c r="Z33" i="14"/>
  <c r="AC33" i="14" s="1"/>
  <c r="AG33" i="14" s="1"/>
  <c r="Z69" i="14"/>
  <c r="AC69" i="14" s="1"/>
  <c r="AG69" i="14" s="1"/>
  <c r="Z76" i="14"/>
  <c r="AC76" i="14" s="1"/>
  <c r="AG76" i="14" s="1"/>
  <c r="Z92" i="14"/>
  <c r="AC92" i="14" s="1"/>
  <c r="AG92" i="14" s="1"/>
  <c r="Z14" i="15"/>
  <c r="AC14" i="15" s="1"/>
  <c r="AG14" i="15" s="1"/>
  <c r="Z30" i="15"/>
  <c r="AC30" i="15" s="1"/>
  <c r="AG30" i="15" s="1"/>
  <c r="Z46" i="15"/>
  <c r="AC46" i="15" s="1"/>
  <c r="AG46" i="15" s="1"/>
  <c r="Z59" i="15"/>
  <c r="AC59" i="15" s="1"/>
  <c r="AG59" i="15" s="1"/>
  <c r="Z94" i="16"/>
  <c r="AC94" i="16" s="1"/>
  <c r="AG94" i="16" s="1"/>
  <c r="Z38" i="17"/>
  <c r="AC38" i="17" s="1"/>
  <c r="AG38" i="17" s="1"/>
  <c r="Z79" i="17"/>
  <c r="AC79" i="17" s="1"/>
  <c r="AG79" i="17" s="1"/>
  <c r="R93" i="19"/>
  <c r="R13" i="19"/>
  <c r="Z92" i="15"/>
  <c r="AC92" i="15" s="1"/>
  <c r="AG92" i="15" s="1"/>
  <c r="R100" i="17"/>
  <c r="Z5" i="18"/>
  <c r="AC5" i="18" s="1"/>
  <c r="AG5" i="18" s="1"/>
  <c r="Z12" i="18"/>
  <c r="AC12" i="18" s="1"/>
  <c r="AG12" i="18" s="1"/>
  <c r="Z28" i="11"/>
  <c r="AC28" i="11" s="1"/>
  <c r="AG28" i="11" s="1"/>
  <c r="Z30" i="11"/>
  <c r="AC30" i="11" s="1"/>
  <c r="AG30" i="11" s="1"/>
  <c r="Z44" i="11"/>
  <c r="AC44" i="11" s="1"/>
  <c r="AG44" i="11" s="1"/>
  <c r="Z48" i="11"/>
  <c r="AC48" i="11" s="1"/>
  <c r="AG48" i="11" s="1"/>
  <c r="Z88" i="12"/>
  <c r="AC88" i="12" s="1"/>
  <c r="AG88" i="12" s="1"/>
  <c r="Z6" i="14"/>
  <c r="AC6" i="14" s="1"/>
  <c r="AG6" i="14" s="1"/>
  <c r="Z31" i="14"/>
  <c r="AC31" i="14" s="1"/>
  <c r="AG31" i="14" s="1"/>
  <c r="Z65" i="14"/>
  <c r="AC65" i="14" s="1"/>
  <c r="AG65" i="14" s="1"/>
  <c r="Z74" i="14"/>
  <c r="AC74" i="14" s="1"/>
  <c r="AG74" i="14" s="1"/>
  <c r="Z48" i="16"/>
  <c r="AC48" i="16" s="1"/>
  <c r="AG48" i="16" s="1"/>
  <c r="Z29" i="17"/>
  <c r="AC29" i="17" s="1"/>
  <c r="AG29" i="17" s="1"/>
  <c r="Z36" i="17"/>
  <c r="AC36" i="17" s="1"/>
  <c r="AG36" i="17" s="1"/>
  <c r="Z51" i="17"/>
  <c r="AC51" i="17" s="1"/>
  <c r="AG51" i="17" s="1"/>
  <c r="Z67" i="17"/>
  <c r="AC67" i="17" s="1"/>
  <c r="AG67" i="17" s="1"/>
  <c r="Z86" i="17"/>
  <c r="AC86" i="17" s="1"/>
  <c r="AG86" i="17" s="1"/>
  <c r="Z97" i="17"/>
  <c r="AC97" i="17" s="1"/>
  <c r="AG97" i="17" s="1"/>
  <c r="R100" i="18"/>
  <c r="Z28" i="18"/>
  <c r="AC28" i="18" s="1"/>
  <c r="AG28" i="18" s="1"/>
  <c r="Z30" i="18"/>
  <c r="AC30" i="18" s="1"/>
  <c r="AG30" i="18" s="1"/>
  <c r="Z52" i="18"/>
  <c r="AC52" i="18" s="1"/>
  <c r="AG52" i="18" s="1"/>
  <c r="Z54" i="18"/>
  <c r="AC54" i="18" s="1"/>
  <c r="AG54" i="18" s="1"/>
  <c r="Z56" i="18"/>
  <c r="AC56" i="18" s="1"/>
  <c r="AG56" i="18" s="1"/>
  <c r="Z67" i="18"/>
  <c r="AC67" i="18" s="1"/>
  <c r="AG67" i="18" s="1"/>
  <c r="I56" i="19"/>
  <c r="I48" i="19"/>
  <c r="I16" i="19"/>
  <c r="L79" i="19"/>
  <c r="L55" i="19"/>
  <c r="L47" i="19"/>
  <c r="O86" i="19"/>
  <c r="O78" i="19"/>
  <c r="O62" i="19"/>
  <c r="O54" i="19"/>
  <c r="O45" i="19"/>
  <c r="O37" i="19"/>
  <c r="O29" i="19"/>
  <c r="O21" i="19"/>
  <c r="O13" i="19"/>
  <c r="Z72" i="12"/>
  <c r="AC72" i="12" s="1"/>
  <c r="AG72" i="12" s="1"/>
  <c r="Z90" i="15"/>
  <c r="AC90" i="15" s="1"/>
  <c r="AG90" i="15" s="1"/>
  <c r="Z52" i="17"/>
  <c r="AC52" i="17" s="1"/>
  <c r="AG52" i="17" s="1"/>
  <c r="Z68" i="17"/>
  <c r="AC68" i="17" s="1"/>
  <c r="AG68" i="17" s="1"/>
  <c r="Z72" i="17"/>
  <c r="AC72" i="17" s="1"/>
  <c r="AG72" i="17" s="1"/>
  <c r="Z68" i="18"/>
  <c r="AC68" i="18" s="1"/>
  <c r="AG68" i="18" s="1"/>
  <c r="Z70" i="18"/>
  <c r="AC70" i="18" s="1"/>
  <c r="AG70" i="18" s="1"/>
  <c r="Z83" i="18"/>
  <c r="AC83" i="18" s="1"/>
  <c r="AG83" i="18" s="1"/>
  <c r="F10" i="19"/>
  <c r="Z97" i="18"/>
  <c r="AC97" i="18" s="1"/>
  <c r="AG97" i="18" s="1"/>
  <c r="Z60" i="11"/>
  <c r="AC60" i="11" s="1"/>
  <c r="AG60" i="11" s="1"/>
  <c r="Z19" i="14"/>
  <c r="AC19" i="14" s="1"/>
  <c r="AG19" i="14" s="1"/>
  <c r="Z38" i="14"/>
  <c r="AC38" i="14" s="1"/>
  <c r="AG38" i="14" s="1"/>
  <c r="Z47" i="14"/>
  <c r="AC47" i="14" s="1"/>
  <c r="AG47" i="14" s="1"/>
  <c r="Z81" i="14"/>
  <c r="AC81" i="14" s="1"/>
  <c r="AG81" i="14" s="1"/>
  <c r="Z5" i="16"/>
  <c r="AC5" i="16" s="1"/>
  <c r="AG5" i="16" s="1"/>
  <c r="Z34" i="17"/>
  <c r="AC34" i="17" s="1"/>
  <c r="AG34" i="17" s="1"/>
  <c r="Z45" i="17"/>
  <c r="AC45" i="17" s="1"/>
  <c r="AG45" i="17" s="1"/>
  <c r="Z56" i="17"/>
  <c r="AC56" i="17" s="1"/>
  <c r="AG56" i="17" s="1"/>
  <c r="Z78" i="11"/>
  <c r="AC78" i="11" s="1"/>
  <c r="AG78" i="11" s="1"/>
  <c r="Z51" i="14"/>
  <c r="AC51" i="14" s="1"/>
  <c r="AG51" i="14" s="1"/>
  <c r="Z90" i="16"/>
  <c r="AC90" i="16" s="1"/>
  <c r="AG90" i="16" s="1"/>
  <c r="Z14" i="17"/>
  <c r="AC14" i="17" s="1"/>
  <c r="AG14" i="17" s="1"/>
  <c r="Z25" i="17"/>
  <c r="AC25" i="17" s="1"/>
  <c r="AG25" i="17" s="1"/>
  <c r="Z40" i="17"/>
  <c r="AC40" i="17" s="1"/>
  <c r="AG40" i="17" s="1"/>
  <c r="Z84" i="17"/>
  <c r="AC84" i="17" s="1"/>
  <c r="AG84" i="17" s="1"/>
  <c r="Z77" i="18"/>
  <c r="AC77" i="18" s="1"/>
  <c r="AG77" i="18" s="1"/>
  <c r="Z84" i="18"/>
  <c r="AC84" i="18" s="1"/>
  <c r="AG84" i="18" s="1"/>
  <c r="Z86" i="18"/>
  <c r="AC86" i="18" s="1"/>
  <c r="AG86" i="18" s="1"/>
  <c r="Z88" i="18"/>
  <c r="AC88" i="18" s="1"/>
  <c r="AG88" i="18" s="1"/>
  <c r="Z93" i="18"/>
  <c r="AC93" i="18" s="1"/>
  <c r="AG93" i="18" s="1"/>
  <c r="F50" i="19"/>
  <c r="Z12" i="11"/>
  <c r="AC12" i="11" s="1"/>
  <c r="AG12" i="11" s="1"/>
  <c r="Z87" i="11"/>
  <c r="AC87" i="11" s="1"/>
  <c r="AG87" i="11" s="1"/>
  <c r="Z15" i="13"/>
  <c r="AC15" i="13" s="1"/>
  <c r="AG15" i="13" s="1"/>
  <c r="Z60" i="15"/>
  <c r="AC60" i="15" s="1"/>
  <c r="AG60" i="15" s="1"/>
  <c r="Z9" i="17"/>
  <c r="AC9" i="17" s="1"/>
  <c r="AG9" i="17" s="1"/>
  <c r="Z54" i="17"/>
  <c r="AC54" i="17" s="1"/>
  <c r="AG54" i="17" s="1"/>
  <c r="Z70" i="17"/>
  <c r="AC70" i="17" s="1"/>
  <c r="AG70" i="17" s="1"/>
  <c r="Z62" i="11"/>
  <c r="AC62" i="11" s="1"/>
  <c r="AG62" i="11" s="1"/>
  <c r="Z91" i="12"/>
  <c r="AC91" i="12" s="1"/>
  <c r="AG91" i="12" s="1"/>
  <c r="Z22" i="14"/>
  <c r="AC22" i="14" s="1"/>
  <c r="AG22" i="14" s="1"/>
  <c r="Z58" i="15"/>
  <c r="AC58" i="15" s="1"/>
  <c r="AG58" i="15" s="1"/>
  <c r="Z19" i="16"/>
  <c r="AC19" i="16" s="1"/>
  <c r="AG19" i="16" s="1"/>
  <c r="Z19" i="18"/>
  <c r="AC19" i="18" s="1"/>
  <c r="AG19" i="18" s="1"/>
  <c r="Z41" i="18"/>
  <c r="AC41" i="18" s="1"/>
  <c r="AG41" i="18" s="1"/>
  <c r="Z72" i="18"/>
  <c r="AC72" i="18" s="1"/>
  <c r="AG72" i="18" s="1"/>
  <c r="Z17" i="11"/>
  <c r="AC17" i="11" s="1"/>
  <c r="AG17" i="11" s="1"/>
  <c r="Z42" i="11"/>
  <c r="AC42" i="11" s="1"/>
  <c r="AG42" i="11" s="1"/>
  <c r="Z58" i="11"/>
  <c r="AC58" i="11" s="1"/>
  <c r="AG58" i="11" s="1"/>
  <c r="Z76" i="11"/>
  <c r="AC76" i="11" s="1"/>
  <c r="AG76" i="11" s="1"/>
  <c r="Z39" i="12"/>
  <c r="AC39" i="12" s="1"/>
  <c r="AG39" i="12" s="1"/>
  <c r="Z98" i="12"/>
  <c r="AC98" i="12" s="1"/>
  <c r="AG98" i="12" s="1"/>
  <c r="Z20" i="13"/>
  <c r="AC20" i="13" s="1"/>
  <c r="AG20" i="13" s="1"/>
  <c r="Z52" i="13"/>
  <c r="AC52" i="13" s="1"/>
  <c r="AG52" i="13" s="1"/>
  <c r="Z4" i="14"/>
  <c r="Z81" i="15"/>
  <c r="AC81" i="15" s="1"/>
  <c r="AG81" i="15" s="1"/>
  <c r="Z97" i="15"/>
  <c r="AC97" i="15" s="1"/>
  <c r="AG97" i="15" s="1"/>
  <c r="Z33" i="11"/>
  <c r="AC33" i="11" s="1"/>
  <c r="AG33" i="11" s="1"/>
  <c r="Z49" i="11"/>
  <c r="AC49" i="11" s="1"/>
  <c r="AG49" i="11" s="1"/>
  <c r="Z14" i="12"/>
  <c r="AC14" i="12" s="1"/>
  <c r="AG14" i="12" s="1"/>
  <c r="Z25" i="12"/>
  <c r="AC25" i="12" s="1"/>
  <c r="AG25" i="12" s="1"/>
  <c r="Z55" i="12"/>
  <c r="AC55" i="12" s="1"/>
  <c r="AG55" i="12" s="1"/>
  <c r="Z24" i="13"/>
  <c r="AC24" i="13" s="1"/>
  <c r="AG24" i="13" s="1"/>
  <c r="Z20" i="14"/>
  <c r="AC20" i="14" s="1"/>
  <c r="AG20" i="14" s="1"/>
  <c r="Z45" i="14"/>
  <c r="AC45" i="14" s="1"/>
  <c r="AG45" i="14" s="1"/>
  <c r="Z56" i="14"/>
  <c r="AC56" i="14" s="1"/>
  <c r="AG56" i="14" s="1"/>
  <c r="Z79" i="14"/>
  <c r="AC79" i="14" s="1"/>
  <c r="AG79" i="14" s="1"/>
  <c r="Z81" i="16"/>
  <c r="AC81" i="16" s="1"/>
  <c r="AG81" i="16" s="1"/>
  <c r="Z83" i="16"/>
  <c r="AC83" i="16" s="1"/>
  <c r="AG83" i="16" s="1"/>
  <c r="Z5" i="17"/>
  <c r="AC5" i="17" s="1"/>
  <c r="AG5" i="17" s="1"/>
  <c r="Z11" i="17"/>
  <c r="AC11" i="17" s="1"/>
  <c r="AG11" i="17" s="1"/>
  <c r="Z41" i="17"/>
  <c r="AC41" i="17" s="1"/>
  <c r="AG41" i="17" s="1"/>
  <c r="Z50" i="17"/>
  <c r="AC50" i="17" s="1"/>
  <c r="AG50" i="17" s="1"/>
  <c r="Z66" i="17"/>
  <c r="AC66" i="17" s="1"/>
  <c r="AG66" i="17" s="1"/>
  <c r="Z17" i="18"/>
  <c r="AC17" i="18" s="1"/>
  <c r="AG17" i="18" s="1"/>
  <c r="Z39" i="18"/>
  <c r="AC39" i="18" s="1"/>
  <c r="AG39" i="18" s="1"/>
  <c r="Z57" i="18"/>
  <c r="AC57" i="18" s="1"/>
  <c r="AG57" i="18" s="1"/>
  <c r="Z66" i="18"/>
  <c r="AC66" i="18" s="1"/>
  <c r="AG66" i="18" s="1"/>
  <c r="F49" i="19"/>
  <c r="Z47" i="11"/>
  <c r="AC47" i="11" s="1"/>
  <c r="AG47" i="11" s="1"/>
  <c r="Z32" i="12"/>
  <c r="AC32" i="12" s="1"/>
  <c r="AG32" i="12" s="1"/>
  <c r="Z35" i="12"/>
  <c r="AC35" i="12" s="1"/>
  <c r="AG35" i="12" s="1"/>
  <c r="Z62" i="12"/>
  <c r="AC62" i="12" s="1"/>
  <c r="AG62" i="12" s="1"/>
  <c r="Z71" i="12"/>
  <c r="AC71" i="12" s="1"/>
  <c r="AG71" i="12" s="1"/>
  <c r="Z87" i="12"/>
  <c r="AC87" i="12" s="1"/>
  <c r="AG87" i="12" s="1"/>
  <c r="Z9" i="13"/>
  <c r="AC9" i="13" s="1"/>
  <c r="AG9" i="13" s="1"/>
  <c r="Z9" i="14"/>
  <c r="AC9" i="14" s="1"/>
  <c r="AG9" i="14" s="1"/>
  <c r="Z54" i="14"/>
  <c r="AC54" i="14" s="1"/>
  <c r="AG54" i="14" s="1"/>
  <c r="Z15" i="15"/>
  <c r="AC15" i="15" s="1"/>
  <c r="AG15" i="15" s="1"/>
  <c r="Z54" i="15"/>
  <c r="AC54" i="15" s="1"/>
  <c r="AG54" i="15" s="1"/>
  <c r="Z70" i="15"/>
  <c r="AC70" i="15" s="1"/>
  <c r="AG70" i="15" s="1"/>
  <c r="Z42" i="16"/>
  <c r="AC42" i="16" s="1"/>
  <c r="AG42" i="16" s="1"/>
  <c r="Z30" i="17"/>
  <c r="AC30" i="17" s="1"/>
  <c r="AG30" i="17" s="1"/>
  <c r="Z39" i="17"/>
  <c r="AC39" i="17" s="1"/>
  <c r="AG39" i="17" s="1"/>
  <c r="Z93" i="17"/>
  <c r="AC93" i="17" s="1"/>
  <c r="AG93" i="17" s="1"/>
  <c r="Z33" i="18"/>
  <c r="AC33" i="18" s="1"/>
  <c r="AG33" i="18" s="1"/>
  <c r="Z43" i="18"/>
  <c r="AC43" i="18" s="1"/>
  <c r="AG43" i="18" s="1"/>
  <c r="Z55" i="18"/>
  <c r="AC55" i="18" s="1"/>
  <c r="AG55" i="18" s="1"/>
  <c r="Z89" i="18"/>
  <c r="AC89" i="18" s="1"/>
  <c r="AG89" i="18" s="1"/>
  <c r="F56" i="19"/>
  <c r="Z51" i="12"/>
  <c r="AC51" i="12" s="1"/>
  <c r="AG51" i="12" s="1"/>
  <c r="Z53" i="12"/>
  <c r="AC53" i="12" s="1"/>
  <c r="AG53" i="12" s="1"/>
  <c r="Z41" i="14"/>
  <c r="AC41" i="14" s="1"/>
  <c r="AG41" i="14" s="1"/>
  <c r="Z50" i="14"/>
  <c r="AC50" i="14" s="1"/>
  <c r="AG50" i="14" s="1"/>
  <c r="Z86" i="16"/>
  <c r="AC86" i="16" s="1"/>
  <c r="AG86" i="16" s="1"/>
  <c r="Z27" i="17"/>
  <c r="AC27" i="17" s="1"/>
  <c r="AG27" i="17" s="1"/>
  <c r="Z46" i="17"/>
  <c r="AC46" i="17" s="1"/>
  <c r="AG46" i="17" s="1"/>
  <c r="Z44" i="18"/>
  <c r="AC44" i="18" s="1"/>
  <c r="AG44" i="18" s="1"/>
  <c r="Z46" i="18"/>
  <c r="AC46" i="18" s="1"/>
  <c r="AG46" i="18" s="1"/>
  <c r="Z71" i="18"/>
  <c r="AC71" i="18" s="1"/>
  <c r="AG71" i="18" s="1"/>
  <c r="Z98" i="18"/>
  <c r="AC98" i="18" s="1"/>
  <c r="AG98" i="18" s="1"/>
  <c r="F72" i="19"/>
  <c r="Z16" i="17"/>
  <c r="AC16" i="17" s="1"/>
  <c r="AG16" i="17" s="1"/>
  <c r="Z32" i="17"/>
  <c r="AC32" i="17" s="1"/>
  <c r="AG32" i="17" s="1"/>
  <c r="Z43" i="17"/>
  <c r="AC43" i="17" s="1"/>
  <c r="AG43" i="17" s="1"/>
  <c r="Z8" i="18"/>
  <c r="AC8" i="18" s="1"/>
  <c r="AG8" i="18" s="1"/>
  <c r="F15" i="19"/>
  <c r="Z19" i="15"/>
  <c r="AC19" i="15" s="1"/>
  <c r="AG19" i="15" s="1"/>
  <c r="Z56" i="15"/>
  <c r="AC56" i="15" s="1"/>
  <c r="AG56" i="15" s="1"/>
  <c r="Z54" i="11"/>
  <c r="AC54" i="11" s="1"/>
  <c r="AG54" i="11" s="1"/>
  <c r="Z56" i="11"/>
  <c r="AC56" i="11" s="1"/>
  <c r="AG56" i="11" s="1"/>
  <c r="Z67" i="12"/>
  <c r="AC67" i="12" s="1"/>
  <c r="AG67" i="12" s="1"/>
  <c r="Z76" i="13"/>
  <c r="AC76" i="13" s="1"/>
  <c r="AG76" i="13" s="1"/>
  <c r="Z78" i="13"/>
  <c r="AC78" i="13" s="1"/>
  <c r="AG78" i="13" s="1"/>
  <c r="Z92" i="13"/>
  <c r="AC92" i="13" s="1"/>
  <c r="AG92" i="13" s="1"/>
  <c r="Z66" i="14"/>
  <c r="AC66" i="14" s="1"/>
  <c r="AG66" i="14" s="1"/>
  <c r="Z20" i="15"/>
  <c r="AC20" i="15" s="1"/>
  <c r="AG20" i="15" s="1"/>
  <c r="Z36" i="15"/>
  <c r="AC36" i="15" s="1"/>
  <c r="AG36" i="15" s="1"/>
  <c r="Z40" i="15"/>
  <c r="AC40" i="15" s="1"/>
  <c r="AG40" i="15" s="1"/>
  <c r="Z6" i="17"/>
  <c r="AC6" i="17" s="1"/>
  <c r="AG6" i="17" s="1"/>
  <c r="Z17" i="17"/>
  <c r="AC17" i="17" s="1"/>
  <c r="AG17" i="17" s="1"/>
  <c r="Z44" i="17"/>
  <c r="AC44" i="17" s="1"/>
  <c r="AG44" i="17" s="1"/>
  <c r="Z59" i="17"/>
  <c r="AC59" i="17" s="1"/>
  <c r="AG59" i="17" s="1"/>
  <c r="Z75" i="17"/>
  <c r="AC75" i="17" s="1"/>
  <c r="AG75" i="17" s="1"/>
  <c r="I100" i="18"/>
  <c r="Z11" i="18"/>
  <c r="AC11" i="18" s="1"/>
  <c r="AG11" i="18" s="1"/>
  <c r="Z20" i="18"/>
  <c r="AC20" i="18" s="1"/>
  <c r="AG20" i="18" s="1"/>
  <c r="Z22" i="18"/>
  <c r="AC22" i="18" s="1"/>
  <c r="AG22" i="18" s="1"/>
  <c r="Z24" i="18"/>
  <c r="AC24" i="18" s="1"/>
  <c r="AG24" i="18" s="1"/>
  <c r="Z29" i="18"/>
  <c r="AC29" i="18" s="1"/>
  <c r="AG29" i="18" s="1"/>
  <c r="L83" i="19"/>
  <c r="L75" i="19"/>
  <c r="L67" i="19"/>
  <c r="L59" i="19"/>
  <c r="L51" i="19"/>
  <c r="L43" i="19"/>
  <c r="L35" i="19"/>
  <c r="L27" i="19"/>
  <c r="L11" i="19"/>
  <c r="O66" i="19"/>
  <c r="O58" i="19"/>
  <c r="F87" i="19"/>
  <c r="F55" i="19"/>
  <c r="F39" i="19"/>
  <c r="F31" i="19"/>
  <c r="F7" i="19"/>
  <c r="Z45" i="15"/>
  <c r="AC45" i="15" s="1"/>
  <c r="AG45" i="15" s="1"/>
  <c r="Z60" i="17"/>
  <c r="AC60" i="17" s="1"/>
  <c r="AG60" i="17" s="1"/>
  <c r="Z64" i="17"/>
  <c r="AC64" i="17" s="1"/>
  <c r="AG64" i="17" s="1"/>
  <c r="Z76" i="17"/>
  <c r="AC76" i="17" s="1"/>
  <c r="AG76" i="17" s="1"/>
  <c r="Z87" i="17"/>
  <c r="AC87" i="17" s="1"/>
  <c r="AG87" i="17" s="1"/>
  <c r="Z60" i="18"/>
  <c r="AC60" i="18" s="1"/>
  <c r="AG60" i="18" s="1"/>
  <c r="Z62" i="18"/>
  <c r="AC62" i="18" s="1"/>
  <c r="AG62" i="18" s="1"/>
  <c r="Z91" i="18"/>
  <c r="AC91" i="18" s="1"/>
  <c r="AG91" i="18" s="1"/>
  <c r="R32" i="19"/>
  <c r="Z83" i="11"/>
  <c r="AC83" i="11" s="1"/>
  <c r="AG83" i="11" s="1"/>
  <c r="Z99" i="11"/>
  <c r="AC99" i="11" s="1"/>
  <c r="AG99" i="11" s="1"/>
  <c r="Z60" i="13"/>
  <c r="AC60" i="13" s="1"/>
  <c r="AG60" i="13" s="1"/>
  <c r="Z11" i="14"/>
  <c r="AC11" i="14" s="1"/>
  <c r="AG11" i="14" s="1"/>
  <c r="Z82" i="15"/>
  <c r="AC82" i="15" s="1"/>
  <c r="AG82" i="15" s="1"/>
  <c r="Z43" i="16"/>
  <c r="AC43" i="16" s="1"/>
  <c r="AG43" i="16" s="1"/>
  <c r="Z50" i="11"/>
  <c r="AC50" i="11" s="1"/>
  <c r="AG50" i="11" s="1"/>
  <c r="Z61" i="11"/>
  <c r="AC61" i="11" s="1"/>
  <c r="AG61" i="11" s="1"/>
  <c r="Z14" i="14"/>
  <c r="AC14" i="14" s="1"/>
  <c r="AG14" i="14" s="1"/>
  <c r="Z34" i="15"/>
  <c r="AC34" i="15" s="1"/>
  <c r="AG34" i="15" s="1"/>
  <c r="Z50" i="15"/>
  <c r="AC50" i="15" s="1"/>
  <c r="AG50" i="15" s="1"/>
  <c r="Z15" i="17"/>
  <c r="AC15" i="17" s="1"/>
  <c r="AG15" i="17" s="1"/>
  <c r="Z33" i="17"/>
  <c r="AC33" i="17" s="1"/>
  <c r="AG33" i="17" s="1"/>
  <c r="Z42" i="17"/>
  <c r="AC42" i="17" s="1"/>
  <c r="AG42" i="17" s="1"/>
  <c r="Z53" i="17"/>
  <c r="AC53" i="17" s="1"/>
  <c r="AG53" i="17" s="1"/>
  <c r="Z94" i="17"/>
  <c r="AC94" i="17" s="1"/>
  <c r="AG94" i="17" s="1"/>
  <c r="Z9" i="18"/>
  <c r="AC9" i="18" s="1"/>
  <c r="AG9" i="18" s="1"/>
  <c r="Z18" i="18"/>
  <c r="AC18" i="18" s="1"/>
  <c r="AG18" i="18" s="1"/>
  <c r="Z76" i="18"/>
  <c r="AC76" i="18" s="1"/>
  <c r="AG76" i="18" s="1"/>
  <c r="Z78" i="18"/>
  <c r="AC78" i="18" s="1"/>
  <c r="AG78" i="18" s="1"/>
  <c r="Z80" i="18"/>
  <c r="AC80" i="18" s="1"/>
  <c r="AG80" i="18" s="1"/>
  <c r="Z92" i="18"/>
  <c r="AC92" i="18" s="1"/>
  <c r="AG92" i="18" s="1"/>
  <c r="Z94" i="18"/>
  <c r="AC94" i="18" s="1"/>
  <c r="AG94" i="18" s="1"/>
  <c r="O24" i="19"/>
  <c r="Z16" i="16"/>
  <c r="AC16" i="16" s="1"/>
  <c r="AG16" i="16" s="1"/>
  <c r="Z54" i="16"/>
  <c r="AC54" i="16" s="1"/>
  <c r="AG54" i="16" s="1"/>
  <c r="Z58" i="16"/>
  <c r="AC58" i="16" s="1"/>
  <c r="AG58" i="16" s="1"/>
  <c r="Z62" i="16"/>
  <c r="AC62" i="16" s="1"/>
  <c r="AG62" i="16" s="1"/>
  <c r="Z66" i="16"/>
  <c r="AC66" i="16" s="1"/>
  <c r="AG66" i="16" s="1"/>
  <c r="I83" i="19"/>
  <c r="I67" i="19"/>
  <c r="I65" i="19"/>
  <c r="I63" i="19"/>
  <c r="I57" i="19"/>
  <c r="I55" i="19"/>
  <c r="I51" i="19"/>
  <c r="I49" i="19"/>
  <c r="Z49" i="19" s="1"/>
  <c r="I47" i="19"/>
  <c r="Z47" i="19" s="1"/>
  <c r="I43" i="19"/>
  <c r="I41" i="19"/>
  <c r="Z41" i="19" s="1"/>
  <c r="I35" i="19"/>
  <c r="I31" i="19"/>
  <c r="I27" i="19"/>
  <c r="I25" i="19"/>
  <c r="I19" i="19"/>
  <c r="I17" i="19"/>
  <c r="Z17" i="19" s="1"/>
  <c r="I15" i="19"/>
  <c r="Z15" i="19" s="1"/>
  <c r="I9" i="19"/>
  <c r="Z9" i="19" s="1"/>
  <c r="L66" i="19"/>
  <c r="L64" i="19"/>
  <c r="L48" i="19"/>
  <c r="L34" i="19"/>
  <c r="L26" i="19"/>
  <c r="L16" i="19"/>
  <c r="O89" i="19"/>
  <c r="O81" i="19"/>
  <c r="O65" i="19"/>
  <c r="O63" i="19"/>
  <c r="O57" i="19"/>
  <c r="O55" i="19"/>
  <c r="O22" i="19"/>
  <c r="O6" i="19"/>
  <c r="R83" i="19"/>
  <c r="R75" i="19"/>
  <c r="R65" i="19"/>
  <c r="R59" i="19"/>
  <c r="R51" i="19"/>
  <c r="R21" i="19"/>
  <c r="R19" i="19"/>
  <c r="R11" i="19"/>
  <c r="F78" i="19"/>
  <c r="Z98" i="16"/>
  <c r="AC98" i="16" s="1"/>
  <c r="AG98" i="16" s="1"/>
  <c r="I22" i="19"/>
  <c r="L45" i="19"/>
  <c r="L13" i="19"/>
  <c r="R5" i="19"/>
  <c r="Z34" i="16"/>
  <c r="AC34" i="16" s="1"/>
  <c r="AG34" i="16" s="1"/>
  <c r="I4" i="19"/>
  <c r="Z50" i="19"/>
  <c r="Z75" i="16"/>
  <c r="AC75" i="16" s="1"/>
  <c r="AG75" i="16" s="1"/>
  <c r="Z17" i="16"/>
  <c r="AC17" i="16" s="1"/>
  <c r="AG17" i="16" s="1"/>
  <c r="Z25" i="16"/>
  <c r="AC25" i="16" s="1"/>
  <c r="AG25" i="16" s="1"/>
  <c r="Z46" i="16"/>
  <c r="AC46" i="16" s="1"/>
  <c r="AG46" i="16" s="1"/>
  <c r="Z50" i="16"/>
  <c r="AC50" i="16" s="1"/>
  <c r="AG50" i="16" s="1"/>
  <c r="Z69" i="16"/>
  <c r="AC69" i="16" s="1"/>
  <c r="AG69" i="16" s="1"/>
  <c r="Z74" i="16"/>
  <c r="AC74" i="16" s="1"/>
  <c r="AG74" i="16" s="1"/>
  <c r="O4" i="19"/>
  <c r="O47" i="19"/>
  <c r="O25" i="19"/>
  <c r="O5" i="19"/>
  <c r="R96" i="19"/>
  <c r="R88" i="19"/>
  <c r="R86" i="19"/>
  <c r="R80" i="19"/>
  <c r="R78" i="19"/>
  <c r="R66" i="19"/>
  <c r="R64" i="19"/>
  <c r="R62" i="19"/>
  <c r="R58" i="19"/>
  <c r="R56" i="19"/>
  <c r="R42" i="19"/>
  <c r="Z42" i="19" s="1"/>
  <c r="R40" i="19"/>
  <c r="R26" i="19"/>
  <c r="R14" i="19"/>
  <c r="Z14" i="19" s="1"/>
  <c r="R10" i="19"/>
  <c r="Z10" i="19" s="1"/>
  <c r="Z89" i="16"/>
  <c r="AC89" i="16" s="1"/>
  <c r="AG89" i="16" s="1"/>
  <c r="Z91" i="16"/>
  <c r="AC91" i="16" s="1"/>
  <c r="AG91" i="16" s="1"/>
  <c r="Z97" i="16"/>
  <c r="AC97" i="16" s="1"/>
  <c r="AG97" i="16" s="1"/>
  <c r="I98" i="19"/>
  <c r="R97" i="19"/>
  <c r="R89" i="19"/>
  <c r="Z84" i="16"/>
  <c r="AC84" i="16" s="1"/>
  <c r="AG84" i="16" s="1"/>
  <c r="Z88" i="16"/>
  <c r="AC88" i="16" s="1"/>
  <c r="AG88" i="16" s="1"/>
  <c r="Z96" i="16"/>
  <c r="AC96" i="16" s="1"/>
  <c r="AG96" i="16" s="1"/>
  <c r="Z99" i="16"/>
  <c r="AC99" i="16" s="1"/>
  <c r="AG99" i="16" s="1"/>
  <c r="Z85" i="16"/>
  <c r="AC85" i="16" s="1"/>
  <c r="AG85" i="16" s="1"/>
  <c r="Z93" i="16"/>
  <c r="AC93" i="16" s="1"/>
  <c r="AG93" i="16" s="1"/>
  <c r="Z95" i="16"/>
  <c r="AC95" i="16" s="1"/>
  <c r="AG95" i="16" s="1"/>
  <c r="L94" i="19"/>
  <c r="L86" i="19"/>
  <c r="O93" i="19"/>
  <c r="O85" i="19"/>
  <c r="R94" i="19"/>
  <c r="Z80" i="16"/>
  <c r="AC80" i="16" s="1"/>
  <c r="AG80" i="16" s="1"/>
  <c r="Z77" i="16"/>
  <c r="AC77" i="16" s="1"/>
  <c r="AG77" i="16" s="1"/>
  <c r="Z78" i="16"/>
  <c r="AC78" i="16" s="1"/>
  <c r="AG78" i="16" s="1"/>
  <c r="L78" i="19"/>
  <c r="Z72" i="16"/>
  <c r="AC72" i="16" s="1"/>
  <c r="AG72" i="16" s="1"/>
  <c r="Z71" i="16"/>
  <c r="AC71" i="16" s="1"/>
  <c r="AG71" i="16" s="1"/>
  <c r="Z64" i="16"/>
  <c r="AC64" i="16" s="1"/>
  <c r="AG64" i="16" s="1"/>
  <c r="Z65" i="16"/>
  <c r="AC65" i="16" s="1"/>
  <c r="AG65" i="16" s="1"/>
  <c r="Z29" i="16"/>
  <c r="AC29" i="16" s="1"/>
  <c r="AG29" i="16" s="1"/>
  <c r="Z31" i="16"/>
  <c r="AC31" i="16" s="1"/>
  <c r="AG31" i="16" s="1"/>
  <c r="L31" i="19"/>
  <c r="O34" i="19"/>
  <c r="R33" i="19"/>
  <c r="Z30" i="16"/>
  <c r="AC30" i="16" s="1"/>
  <c r="AG30" i="16" s="1"/>
  <c r="Z37" i="16"/>
  <c r="AC37" i="16" s="1"/>
  <c r="AG37" i="16" s="1"/>
  <c r="Z40" i="16"/>
  <c r="AC40" i="16" s="1"/>
  <c r="AG40" i="16" s="1"/>
  <c r="Z32" i="16"/>
  <c r="AC32" i="16" s="1"/>
  <c r="AG32" i="16" s="1"/>
  <c r="Z35" i="16"/>
  <c r="AC35" i="16" s="1"/>
  <c r="AG35" i="16" s="1"/>
  <c r="Z27" i="16"/>
  <c r="AC27" i="16" s="1"/>
  <c r="AG27" i="16" s="1"/>
  <c r="Z33" i="16"/>
  <c r="AC33" i="16" s="1"/>
  <c r="AG33" i="16" s="1"/>
  <c r="Z38" i="16"/>
  <c r="AC38" i="16" s="1"/>
  <c r="AG38" i="16" s="1"/>
  <c r="Z39" i="16"/>
  <c r="AC39" i="16" s="1"/>
  <c r="AG39" i="16" s="1"/>
  <c r="Z22" i="16"/>
  <c r="AC22" i="16" s="1"/>
  <c r="AG22" i="16" s="1"/>
  <c r="Z21" i="16"/>
  <c r="AC21" i="16" s="1"/>
  <c r="AG21" i="16" s="1"/>
  <c r="U100" i="16"/>
  <c r="L21" i="19"/>
  <c r="Z20" i="16"/>
  <c r="AC20" i="16" s="1"/>
  <c r="AG20" i="16" s="1"/>
  <c r="Z24" i="16"/>
  <c r="AC24" i="16" s="1"/>
  <c r="AG24" i="16" s="1"/>
  <c r="L22" i="19"/>
  <c r="F20" i="19"/>
  <c r="Z6" i="16"/>
  <c r="AC6" i="16" s="1"/>
  <c r="AG6" i="16" s="1"/>
  <c r="Z7" i="16"/>
  <c r="AC7" i="16" s="1"/>
  <c r="AG7" i="16" s="1"/>
  <c r="Z8" i="16"/>
  <c r="AC8" i="16" s="1"/>
  <c r="AG8" i="16" s="1"/>
  <c r="Z67" i="16"/>
  <c r="AC67" i="16" s="1"/>
  <c r="AG67" i="16" s="1"/>
  <c r="Z61" i="16"/>
  <c r="AC61" i="16" s="1"/>
  <c r="AG61" i="16" s="1"/>
  <c r="L70" i="19"/>
  <c r="L5" i="19"/>
  <c r="Z63" i="16"/>
  <c r="AC63" i="16" s="1"/>
  <c r="AG63" i="16" s="1"/>
  <c r="L61" i="19"/>
  <c r="Z59" i="16"/>
  <c r="AC59" i="16" s="1"/>
  <c r="AG59" i="16" s="1"/>
  <c r="Z57" i="16"/>
  <c r="AC57" i="16" s="1"/>
  <c r="AG57" i="16" s="1"/>
  <c r="Z53" i="16"/>
  <c r="AC53" i="16" s="1"/>
  <c r="AG53" i="16" s="1"/>
  <c r="L53" i="19"/>
  <c r="F52" i="19"/>
  <c r="Z52" i="16"/>
  <c r="AC52" i="16" s="1"/>
  <c r="AG52" i="16" s="1"/>
  <c r="Z56" i="16"/>
  <c r="AC56" i="16" s="1"/>
  <c r="AG56" i="16" s="1"/>
  <c r="R100" i="16"/>
  <c r="Z82" i="16"/>
  <c r="AC82" i="16" s="1"/>
  <c r="AG82" i="16" s="1"/>
  <c r="Z45" i="16"/>
  <c r="AC45" i="16" s="1"/>
  <c r="AG45" i="16" s="1"/>
  <c r="Z49" i="16"/>
  <c r="AC49" i="16" s="1"/>
  <c r="AG49" i="16" s="1"/>
  <c r="Z70" i="16"/>
  <c r="AC70" i="16" s="1"/>
  <c r="AG70" i="16" s="1"/>
  <c r="Z41" i="16"/>
  <c r="AC41" i="16" s="1"/>
  <c r="AG41" i="16" s="1"/>
  <c r="Z26" i="16"/>
  <c r="AC26" i="16" s="1"/>
  <c r="AG26" i="16" s="1"/>
  <c r="Z11" i="16"/>
  <c r="AC11" i="16" s="1"/>
  <c r="AG11" i="16" s="1"/>
  <c r="Z13" i="16"/>
  <c r="AC13" i="16" s="1"/>
  <c r="AG13" i="16" s="1"/>
  <c r="Z10" i="16"/>
  <c r="AC10" i="16" s="1"/>
  <c r="AG10" i="16" s="1"/>
  <c r="Z18" i="16"/>
  <c r="AC18" i="16" s="1"/>
  <c r="AG18" i="16" s="1"/>
  <c r="Z9" i="16"/>
  <c r="AC9" i="16" s="1"/>
  <c r="AG9" i="16" s="1"/>
  <c r="Z71" i="15"/>
  <c r="AC71" i="15" s="1"/>
  <c r="AG71" i="15" s="1"/>
  <c r="R73" i="19"/>
  <c r="O74" i="19"/>
  <c r="R72" i="19"/>
  <c r="I75" i="19"/>
  <c r="F70" i="19"/>
  <c r="Z73" i="15"/>
  <c r="AC73" i="15" s="1"/>
  <c r="AG73" i="15" s="1"/>
  <c r="R69" i="19"/>
  <c r="Z77" i="15"/>
  <c r="AC77" i="15" s="1"/>
  <c r="AG77" i="15" s="1"/>
  <c r="Z76" i="15"/>
  <c r="AC76" i="15" s="1"/>
  <c r="AG76" i="15" s="1"/>
  <c r="O69" i="19"/>
  <c r="I71" i="19"/>
  <c r="L77" i="19"/>
  <c r="L69" i="19"/>
  <c r="Z99" i="15"/>
  <c r="AC99" i="15" s="1"/>
  <c r="AG99" i="15" s="1"/>
  <c r="Z94" i="15"/>
  <c r="AC94" i="15" s="1"/>
  <c r="AG94" i="15" s="1"/>
  <c r="Z91" i="15"/>
  <c r="AC91" i="15" s="1"/>
  <c r="AG91" i="15" s="1"/>
  <c r="R90" i="19"/>
  <c r="F86" i="19"/>
  <c r="Z95" i="15"/>
  <c r="AC95" i="15" s="1"/>
  <c r="AG95" i="15" s="1"/>
  <c r="Z86" i="15"/>
  <c r="AC86" i="15" s="1"/>
  <c r="AG86" i="15" s="1"/>
  <c r="Z84" i="15"/>
  <c r="AC84" i="15" s="1"/>
  <c r="AG84" i="15" s="1"/>
  <c r="I89" i="19"/>
  <c r="L88" i="19"/>
  <c r="O87" i="19"/>
  <c r="Z93" i="15"/>
  <c r="AC93" i="15" s="1"/>
  <c r="AG93" i="15" s="1"/>
  <c r="Z89" i="15"/>
  <c r="AC89" i="15" s="1"/>
  <c r="AG89" i="15" s="1"/>
  <c r="I87" i="19"/>
  <c r="Z85" i="15"/>
  <c r="AC85" i="15" s="1"/>
  <c r="AG85" i="15" s="1"/>
  <c r="L91" i="19"/>
  <c r="Z88" i="15"/>
  <c r="AC88" i="15" s="1"/>
  <c r="AG88" i="15" s="1"/>
  <c r="I97" i="19"/>
  <c r="L96" i="19"/>
  <c r="O95" i="19"/>
  <c r="Z87" i="15"/>
  <c r="AC87" i="15" s="1"/>
  <c r="AG87" i="15" s="1"/>
  <c r="R79" i="19"/>
  <c r="I79" i="19"/>
  <c r="F81" i="19"/>
  <c r="R70" i="19"/>
  <c r="I73" i="19"/>
  <c r="O70" i="19"/>
  <c r="R74" i="19"/>
  <c r="Z72" i="15"/>
  <c r="AC72" i="15" s="1"/>
  <c r="AG72" i="15" s="1"/>
  <c r="F71" i="19"/>
  <c r="O73" i="19"/>
  <c r="R71" i="19"/>
  <c r="L73" i="19"/>
  <c r="O72" i="19"/>
  <c r="Z74" i="15"/>
  <c r="AC74" i="15" s="1"/>
  <c r="AG74" i="15" s="1"/>
  <c r="Z65" i="15"/>
  <c r="AC65" i="15" s="1"/>
  <c r="AG65" i="15" s="1"/>
  <c r="L65" i="19"/>
  <c r="O64" i="19"/>
  <c r="Z64" i="15"/>
  <c r="AC64" i="15" s="1"/>
  <c r="AG64" i="15" s="1"/>
  <c r="I64" i="19"/>
  <c r="Z66" i="15"/>
  <c r="AC66" i="15" s="1"/>
  <c r="AG66" i="15" s="1"/>
  <c r="Z38" i="15"/>
  <c r="AC38" i="15" s="1"/>
  <c r="AG38" i="15" s="1"/>
  <c r="Z35" i="15"/>
  <c r="AC35" i="15" s="1"/>
  <c r="AG35" i="15" s="1"/>
  <c r="F30" i="19"/>
  <c r="Z39" i="15"/>
  <c r="AC39" i="15" s="1"/>
  <c r="AG39" i="15" s="1"/>
  <c r="I34" i="19"/>
  <c r="L40" i="19"/>
  <c r="F28" i="19"/>
  <c r="Z29" i="15"/>
  <c r="AC29" i="15" s="1"/>
  <c r="AG29" i="15" s="1"/>
  <c r="Z27" i="15"/>
  <c r="AC27" i="15" s="1"/>
  <c r="AG27" i="15" s="1"/>
  <c r="Z28" i="15"/>
  <c r="AC28" i="15" s="1"/>
  <c r="AG28" i="15" s="1"/>
  <c r="Z32" i="15"/>
  <c r="AC32" i="15" s="1"/>
  <c r="AG32" i="15" s="1"/>
  <c r="R37" i="19"/>
  <c r="Z37" i="15"/>
  <c r="AC37" i="15" s="1"/>
  <c r="AG37" i="15" s="1"/>
  <c r="F38" i="19"/>
  <c r="L38" i="19"/>
  <c r="L30" i="19"/>
  <c r="Z33" i="15"/>
  <c r="AC33" i="15" s="1"/>
  <c r="AG33" i="15" s="1"/>
  <c r="Z31" i="15"/>
  <c r="AC31" i="15" s="1"/>
  <c r="AG31" i="15" s="1"/>
  <c r="I38" i="19"/>
  <c r="I30" i="19"/>
  <c r="Z24" i="15"/>
  <c r="AC24" i="15" s="1"/>
  <c r="AG24" i="15" s="1"/>
  <c r="F24" i="19"/>
  <c r="R24" i="19"/>
  <c r="F23" i="19"/>
  <c r="Z22" i="15"/>
  <c r="AC22" i="15" s="1"/>
  <c r="AG22" i="15" s="1"/>
  <c r="R8" i="19"/>
  <c r="F6" i="19"/>
  <c r="U100" i="15"/>
  <c r="X100" i="15"/>
  <c r="Z6" i="15"/>
  <c r="AC6" i="15" s="1"/>
  <c r="AG6" i="15" s="1"/>
  <c r="Z8" i="15"/>
  <c r="AC8" i="15" s="1"/>
  <c r="AG8" i="15" s="1"/>
  <c r="Z4" i="15"/>
  <c r="Z69" i="15"/>
  <c r="AC69" i="15" s="1"/>
  <c r="AG69" i="15" s="1"/>
  <c r="Z25" i="15"/>
  <c r="AC25" i="15" s="1"/>
  <c r="AG25" i="15" s="1"/>
  <c r="Z98" i="15"/>
  <c r="AC98" i="15" s="1"/>
  <c r="AG98" i="15" s="1"/>
  <c r="Z63" i="15"/>
  <c r="AC63" i="15" s="1"/>
  <c r="AG63" i="15" s="1"/>
  <c r="Z55" i="15"/>
  <c r="AC55" i="15" s="1"/>
  <c r="AG55" i="15" s="1"/>
  <c r="O61" i="19"/>
  <c r="Z61" i="15"/>
  <c r="AC61" i="15" s="1"/>
  <c r="AG61" i="15" s="1"/>
  <c r="Z57" i="15"/>
  <c r="AC57" i="15" s="1"/>
  <c r="AG57" i="15" s="1"/>
  <c r="Z68" i="15"/>
  <c r="AC68" i="15" s="1"/>
  <c r="AG68" i="15" s="1"/>
  <c r="Z67" i="15"/>
  <c r="AC67" i="15" s="1"/>
  <c r="AG67" i="15" s="1"/>
  <c r="Z53" i="15"/>
  <c r="AC53" i="15" s="1"/>
  <c r="AG53" i="15" s="1"/>
  <c r="Z83" i="15"/>
  <c r="AC83" i="15" s="1"/>
  <c r="AG83" i="15" s="1"/>
  <c r="Z51" i="15"/>
  <c r="AC51" i="15" s="1"/>
  <c r="AG51" i="15" s="1"/>
  <c r="Z49" i="15"/>
  <c r="AC49" i="15" s="1"/>
  <c r="AG49" i="15" s="1"/>
  <c r="Z48" i="15"/>
  <c r="AC48" i="15" s="1"/>
  <c r="AG48" i="15" s="1"/>
  <c r="Z47" i="15"/>
  <c r="AC47" i="15" s="1"/>
  <c r="AG47" i="15" s="1"/>
  <c r="Z44" i="15"/>
  <c r="AC44" i="15" s="1"/>
  <c r="AG44" i="15" s="1"/>
  <c r="Z43" i="15"/>
  <c r="AC43" i="15" s="1"/>
  <c r="AG43" i="15" s="1"/>
  <c r="Z42" i="15"/>
  <c r="AC42" i="15" s="1"/>
  <c r="AG42" i="15" s="1"/>
  <c r="Z26" i="15"/>
  <c r="AC26" i="15" s="1"/>
  <c r="AG26" i="15" s="1"/>
  <c r="Z5" i="15"/>
  <c r="AC5" i="15" s="1"/>
  <c r="AG5" i="15" s="1"/>
  <c r="Z16" i="15"/>
  <c r="AC16" i="15" s="1"/>
  <c r="AG16" i="15" s="1"/>
  <c r="Z10" i="15"/>
  <c r="AC10" i="15" s="1"/>
  <c r="AG10" i="15" s="1"/>
  <c r="Z21" i="15"/>
  <c r="AC21" i="15" s="1"/>
  <c r="AG21" i="15" s="1"/>
  <c r="Z18" i="15"/>
  <c r="AC18" i="15" s="1"/>
  <c r="AG18" i="15" s="1"/>
  <c r="Z17" i="15"/>
  <c r="AC17" i="15" s="1"/>
  <c r="AG17" i="15" s="1"/>
  <c r="Z13" i="15"/>
  <c r="AC13" i="15" s="1"/>
  <c r="AG13" i="15" s="1"/>
  <c r="Z12" i="15"/>
  <c r="AC12" i="15" s="1"/>
  <c r="AG12" i="15" s="1"/>
  <c r="I11" i="19"/>
  <c r="Z11" i="15"/>
  <c r="AC11" i="15" s="1"/>
  <c r="AG11" i="15" s="1"/>
  <c r="I100" i="15"/>
  <c r="Z75" i="15"/>
  <c r="AC75" i="15" s="1"/>
  <c r="AG75" i="15" s="1"/>
  <c r="R77" i="19"/>
  <c r="O77" i="19"/>
  <c r="Z77" i="14"/>
  <c r="AC77" i="14" s="1"/>
  <c r="AG77" i="14" s="1"/>
  <c r="Z71" i="14"/>
  <c r="AC71" i="14" s="1"/>
  <c r="AG71" i="14" s="1"/>
  <c r="I72" i="19"/>
  <c r="L71" i="19"/>
  <c r="O71" i="19"/>
  <c r="L72" i="19"/>
  <c r="L8" i="19"/>
  <c r="O7" i="19"/>
  <c r="Z8" i="14"/>
  <c r="AC8" i="14" s="1"/>
  <c r="AG8" i="14" s="1"/>
  <c r="I8" i="19"/>
  <c r="L7" i="19"/>
  <c r="I7" i="19"/>
  <c r="L6" i="19"/>
  <c r="O8" i="19"/>
  <c r="R7" i="19"/>
  <c r="Z24" i="14"/>
  <c r="AC24" i="14" s="1"/>
  <c r="AG24" i="14" s="1"/>
  <c r="R23" i="19"/>
  <c r="L24" i="19"/>
  <c r="O23" i="19"/>
  <c r="R22" i="19"/>
  <c r="I23" i="19"/>
  <c r="I24" i="19"/>
  <c r="L23" i="19"/>
  <c r="Z35" i="14"/>
  <c r="AC35" i="14" s="1"/>
  <c r="AG35" i="14" s="1"/>
  <c r="I39" i="19"/>
  <c r="L37" i="19"/>
  <c r="L29" i="19"/>
  <c r="R35" i="19"/>
  <c r="R27" i="19"/>
  <c r="Z36" i="14"/>
  <c r="AC36" i="14" s="1"/>
  <c r="AG36" i="14" s="1"/>
  <c r="F33" i="19"/>
  <c r="F40" i="19"/>
  <c r="Z32" i="14"/>
  <c r="AC32" i="14" s="1"/>
  <c r="AG32" i="14" s="1"/>
  <c r="R100" i="14"/>
  <c r="L33" i="19"/>
  <c r="O40" i="19"/>
  <c r="O32" i="19"/>
  <c r="R39" i="19"/>
  <c r="R31" i="19"/>
  <c r="F37" i="19"/>
  <c r="I33" i="19"/>
  <c r="L32" i="19"/>
  <c r="O39" i="19"/>
  <c r="O31" i="19"/>
  <c r="R38" i="19"/>
  <c r="R30" i="19"/>
  <c r="F36" i="19"/>
  <c r="I40" i="19"/>
  <c r="I32" i="19"/>
  <c r="O38" i="19"/>
  <c r="O30" i="19"/>
  <c r="R29" i="19"/>
  <c r="Z34" i="14"/>
  <c r="AC34" i="14" s="1"/>
  <c r="AG34" i="14" s="1"/>
  <c r="Z27" i="14"/>
  <c r="AC27" i="14" s="1"/>
  <c r="AG27" i="14" s="1"/>
  <c r="L39" i="19"/>
  <c r="Z28" i="14"/>
  <c r="AC28" i="14" s="1"/>
  <c r="AG28" i="14" s="1"/>
  <c r="Z39" i="14"/>
  <c r="AC39" i="14" s="1"/>
  <c r="AG39" i="14" s="1"/>
  <c r="L81" i="19"/>
  <c r="I81" i="19"/>
  <c r="O80" i="19"/>
  <c r="I80" i="19"/>
  <c r="R81" i="19"/>
  <c r="L80" i="19"/>
  <c r="O99" i="19"/>
  <c r="Z99" i="14"/>
  <c r="AC99" i="14" s="1"/>
  <c r="AG99" i="14" s="1"/>
  <c r="Z89" i="14"/>
  <c r="AC89" i="14" s="1"/>
  <c r="AG89" i="14" s="1"/>
  <c r="L97" i="19"/>
  <c r="L89" i="19"/>
  <c r="O96" i="19"/>
  <c r="O88" i="19"/>
  <c r="R95" i="19"/>
  <c r="R87" i="19"/>
  <c r="L85" i="19"/>
  <c r="R91" i="19"/>
  <c r="Z91" i="14"/>
  <c r="AC91" i="14" s="1"/>
  <c r="AG91" i="14" s="1"/>
  <c r="I96" i="19"/>
  <c r="L87" i="19"/>
  <c r="Z84" i="14"/>
  <c r="AC84" i="14" s="1"/>
  <c r="AG84" i="14" s="1"/>
  <c r="Z88" i="14"/>
  <c r="AC88" i="14" s="1"/>
  <c r="AG88" i="14" s="1"/>
  <c r="Z95" i="14"/>
  <c r="AC95" i="14" s="1"/>
  <c r="AG95" i="14" s="1"/>
  <c r="Z85" i="14"/>
  <c r="AC85" i="14" s="1"/>
  <c r="AG85" i="14" s="1"/>
  <c r="I88" i="19"/>
  <c r="L95" i="19"/>
  <c r="R85" i="19"/>
  <c r="Z97" i="14"/>
  <c r="AC97" i="14" s="1"/>
  <c r="AG97" i="14" s="1"/>
  <c r="Y100" i="19"/>
  <c r="Z54" i="19"/>
  <c r="Z70" i="14"/>
  <c r="AC70" i="14" s="1"/>
  <c r="AG70" i="14" s="1"/>
  <c r="Z26" i="14"/>
  <c r="AC26" i="14" s="1"/>
  <c r="AG26" i="14" s="1"/>
  <c r="Z98" i="14"/>
  <c r="AC98" i="14" s="1"/>
  <c r="AG98" i="14" s="1"/>
  <c r="Z63" i="14"/>
  <c r="AC63" i="14" s="1"/>
  <c r="AG63" i="14" s="1"/>
  <c r="O100" i="14"/>
  <c r="Z55" i="14"/>
  <c r="AC55" i="14" s="1"/>
  <c r="AG55" i="14" s="1"/>
  <c r="O53" i="19"/>
  <c r="Z59" i="14"/>
  <c r="AC59" i="14" s="1"/>
  <c r="AG59" i="14" s="1"/>
  <c r="Z57" i="14"/>
  <c r="AC57" i="14" s="1"/>
  <c r="AG57" i="14" s="1"/>
  <c r="Z26" i="19"/>
  <c r="Z68" i="14"/>
  <c r="AC68" i="14" s="1"/>
  <c r="AG68" i="14" s="1"/>
  <c r="Z67" i="14"/>
  <c r="AC67" i="14" s="1"/>
  <c r="AG67" i="14" s="1"/>
  <c r="Z83" i="14"/>
  <c r="AC83" i="14" s="1"/>
  <c r="AG83" i="14" s="1"/>
  <c r="Z49" i="14"/>
  <c r="AC49" i="14" s="1"/>
  <c r="AG49" i="14" s="1"/>
  <c r="Z44" i="14"/>
  <c r="AC44" i="14" s="1"/>
  <c r="AG44" i="14" s="1"/>
  <c r="Z43" i="14"/>
  <c r="AC43" i="14" s="1"/>
  <c r="AG43" i="14" s="1"/>
  <c r="Z42" i="14"/>
  <c r="AC42" i="14" s="1"/>
  <c r="AG42" i="14" s="1"/>
  <c r="Z25" i="14"/>
  <c r="AC25" i="14" s="1"/>
  <c r="AG25" i="14" s="1"/>
  <c r="Z18" i="14"/>
  <c r="AC18" i="14" s="1"/>
  <c r="AG18" i="14" s="1"/>
  <c r="Z17" i="14"/>
  <c r="AC17" i="14" s="1"/>
  <c r="AG17" i="14" s="1"/>
  <c r="F85" i="19"/>
  <c r="F61" i="19"/>
  <c r="F29" i="19"/>
  <c r="F60" i="19"/>
  <c r="F83" i="19"/>
  <c r="F43" i="19"/>
  <c r="F11" i="19"/>
  <c r="F74" i="19"/>
  <c r="I85" i="19"/>
  <c r="I53" i="19"/>
  <c r="I13" i="19"/>
  <c r="Z13" i="19" s="1"/>
  <c r="L68" i="19"/>
  <c r="L36" i="19"/>
  <c r="O67" i="19"/>
  <c r="O35" i="19"/>
  <c r="I84" i="19"/>
  <c r="I52" i="19"/>
  <c r="I28" i="19"/>
  <c r="L99" i="19"/>
  <c r="F68" i="19"/>
  <c r="F59" i="19"/>
  <c r="F19" i="19"/>
  <c r="F18" i="19"/>
  <c r="Z18" i="19" s="1"/>
  <c r="I93" i="19"/>
  <c r="I61" i="19"/>
  <c r="I29" i="19"/>
  <c r="L92" i="19"/>
  <c r="L60" i="19"/>
  <c r="L28" i="19"/>
  <c r="O91" i="19"/>
  <c r="O59" i="19"/>
  <c r="O27" i="19"/>
  <c r="I76" i="19"/>
  <c r="I44" i="19"/>
  <c r="I12" i="19"/>
  <c r="Z12" i="19" s="1"/>
  <c r="I99" i="19"/>
  <c r="I91" i="19"/>
  <c r="F69" i="19"/>
  <c r="F45" i="19"/>
  <c r="F76" i="19"/>
  <c r="F67" i="19"/>
  <c r="F35" i="19"/>
  <c r="F90" i="19"/>
  <c r="F58" i="19"/>
  <c r="Z58" i="19" s="1"/>
  <c r="I77" i="19"/>
  <c r="I45" i="19"/>
  <c r="I21" i="19"/>
  <c r="L76" i="19"/>
  <c r="L44" i="19"/>
  <c r="O75" i="19"/>
  <c r="O43" i="19"/>
  <c r="O11" i="19"/>
  <c r="I92" i="19"/>
  <c r="I60" i="19"/>
  <c r="I36" i="19"/>
  <c r="F53" i="19"/>
  <c r="F13" i="19"/>
  <c r="F84" i="19"/>
  <c r="R4" i="19"/>
  <c r="F99" i="19"/>
  <c r="F75" i="19"/>
  <c r="F27" i="19"/>
  <c r="F34" i="19"/>
  <c r="L4" i="19"/>
  <c r="I69" i="19"/>
  <c r="I37" i="19"/>
  <c r="I5" i="19"/>
  <c r="L84" i="19"/>
  <c r="L52" i="19"/>
  <c r="L20" i="19"/>
  <c r="O83" i="19"/>
  <c r="O51" i="19"/>
  <c r="O19" i="19"/>
  <c r="I68" i="19"/>
  <c r="I20" i="19"/>
  <c r="F5" i="19"/>
  <c r="O98" i="19"/>
  <c r="O94" i="19"/>
  <c r="Q100" i="19"/>
  <c r="R92" i="19"/>
  <c r="R84" i="19"/>
  <c r="R76" i="19"/>
  <c r="R68" i="19"/>
  <c r="R60" i="19"/>
  <c r="R52" i="19"/>
  <c r="R44" i="19"/>
  <c r="R36" i="19"/>
  <c r="R28" i="19"/>
  <c r="R20" i="19"/>
  <c r="R12" i="19"/>
  <c r="K100" i="19"/>
  <c r="O92" i="19"/>
  <c r="O84" i="19"/>
  <c r="O76" i="19"/>
  <c r="O68" i="19"/>
  <c r="O60" i="19"/>
  <c r="O44" i="19"/>
  <c r="O36" i="19"/>
  <c r="O28" i="19"/>
  <c r="O20" i="19"/>
  <c r="O12" i="19"/>
  <c r="R99" i="19"/>
  <c r="F51" i="19"/>
  <c r="U4" i="19"/>
  <c r="U100" i="19" s="1"/>
  <c r="F98" i="19"/>
  <c r="X4" i="19"/>
  <c r="X100" i="19" s="1"/>
  <c r="J100" i="19"/>
  <c r="F80" i="19"/>
  <c r="F32" i="19"/>
  <c r="F16" i="19"/>
  <c r="E100" i="19"/>
  <c r="F94" i="19"/>
  <c r="Z94" i="19" s="1"/>
  <c r="F62" i="19"/>
  <c r="Z62" i="19" s="1"/>
  <c r="L98" i="19"/>
  <c r="L90" i="19"/>
  <c r="O97" i="19"/>
  <c r="F77" i="19"/>
  <c r="F92" i="19"/>
  <c r="I95" i="19"/>
  <c r="N100" i="19"/>
  <c r="P100" i="19"/>
  <c r="G100" i="19"/>
  <c r="H100" i="19"/>
  <c r="F82" i="19"/>
  <c r="Z82" i="19" s="1"/>
  <c r="F66" i="19"/>
  <c r="F96" i="19"/>
  <c r="F64" i="19"/>
  <c r="F48" i="19"/>
  <c r="F95" i="19"/>
  <c r="F79" i="19"/>
  <c r="F63" i="19"/>
  <c r="F93" i="19"/>
  <c r="F91" i="19"/>
  <c r="F73" i="19"/>
  <c r="D100" i="19"/>
  <c r="F4" i="19"/>
  <c r="Z41" i="13"/>
  <c r="AC41" i="13" s="1"/>
  <c r="AG41" i="13" s="1"/>
  <c r="Z57" i="13"/>
  <c r="AC57" i="13" s="1"/>
  <c r="AG57" i="13" s="1"/>
  <c r="Z48" i="13"/>
  <c r="AC48" i="13" s="1"/>
  <c r="AG48" i="13" s="1"/>
  <c r="Z97" i="13"/>
  <c r="AC97" i="13" s="1"/>
  <c r="AG97" i="13" s="1"/>
  <c r="Z81" i="13"/>
  <c r="AC81" i="13" s="1"/>
  <c r="AG81" i="13" s="1"/>
  <c r="Z49" i="13"/>
  <c r="AC49" i="13" s="1"/>
  <c r="AG49" i="13" s="1"/>
  <c r="Z44" i="13"/>
  <c r="AC44" i="13" s="1"/>
  <c r="AG44" i="13" s="1"/>
  <c r="Z43" i="13"/>
  <c r="AC43" i="13" s="1"/>
  <c r="AG43" i="13" s="1"/>
  <c r="Z68" i="13"/>
  <c r="AC68" i="13" s="1"/>
  <c r="AG68" i="13" s="1"/>
  <c r="Z67" i="13"/>
  <c r="AC67" i="13" s="1"/>
  <c r="AG67" i="13" s="1"/>
  <c r="Z63" i="13"/>
  <c r="AC63" i="13" s="1"/>
  <c r="AG63" i="13" s="1"/>
  <c r="Z80" i="13"/>
  <c r="AC80" i="13" s="1"/>
  <c r="AG80" i="13" s="1"/>
  <c r="Z79" i="13"/>
  <c r="AC79" i="13" s="1"/>
  <c r="AG79" i="13" s="1"/>
  <c r="Z73" i="13"/>
  <c r="AC73" i="13" s="1"/>
  <c r="AG73" i="13" s="1"/>
  <c r="Z71" i="13"/>
  <c r="AC71" i="13" s="1"/>
  <c r="AG71" i="13" s="1"/>
  <c r="Z74" i="13"/>
  <c r="AC74" i="13" s="1"/>
  <c r="AG74" i="13" s="1"/>
  <c r="Z65" i="13"/>
  <c r="AC65" i="13" s="1"/>
  <c r="AG65" i="13" s="1"/>
  <c r="Z8" i="13"/>
  <c r="AC8" i="13" s="1"/>
  <c r="AG8" i="13" s="1"/>
  <c r="Z6" i="13"/>
  <c r="AC6" i="13" s="1"/>
  <c r="AG6" i="13" s="1"/>
  <c r="Z22" i="13"/>
  <c r="AC22" i="13" s="1"/>
  <c r="AG22" i="13" s="1"/>
  <c r="Z36" i="13"/>
  <c r="AC36" i="13" s="1"/>
  <c r="AG36" i="13" s="1"/>
  <c r="Z38" i="13"/>
  <c r="AC38" i="13" s="1"/>
  <c r="AG38" i="13" s="1"/>
  <c r="Z40" i="13"/>
  <c r="AC40" i="13" s="1"/>
  <c r="AG40" i="13" s="1"/>
  <c r="Z29" i="13"/>
  <c r="AC29" i="13" s="1"/>
  <c r="AG29" i="13" s="1"/>
  <c r="Z27" i="13"/>
  <c r="AC27" i="13" s="1"/>
  <c r="AG27" i="13" s="1"/>
  <c r="Z28" i="13"/>
  <c r="AC28" i="13" s="1"/>
  <c r="AG28" i="13" s="1"/>
  <c r="Z30" i="13"/>
  <c r="AC30" i="13" s="1"/>
  <c r="AG30" i="13" s="1"/>
  <c r="Z33" i="13"/>
  <c r="AC33" i="13" s="1"/>
  <c r="AG33" i="13" s="1"/>
  <c r="Z31" i="13"/>
  <c r="AC31" i="13" s="1"/>
  <c r="AG31" i="13" s="1"/>
  <c r="Z32" i="13"/>
  <c r="AC32" i="13" s="1"/>
  <c r="AG32" i="13" s="1"/>
  <c r="Z35" i="13"/>
  <c r="AC35" i="13" s="1"/>
  <c r="AG35" i="13" s="1"/>
  <c r="Z87" i="13"/>
  <c r="AC87" i="13" s="1"/>
  <c r="AG87" i="13" s="1"/>
  <c r="Z85" i="13"/>
  <c r="AC85" i="13" s="1"/>
  <c r="AG85" i="13" s="1"/>
  <c r="Z94" i="13"/>
  <c r="AC94" i="13" s="1"/>
  <c r="AG94" i="13" s="1"/>
  <c r="Z96" i="13"/>
  <c r="AC96" i="13" s="1"/>
  <c r="AG96" i="13" s="1"/>
  <c r="Z95" i="13"/>
  <c r="AC95" i="13" s="1"/>
  <c r="AG95" i="13" s="1"/>
  <c r="R100" i="13"/>
  <c r="Z84" i="13"/>
  <c r="AC84" i="13" s="1"/>
  <c r="AG84" i="13" s="1"/>
  <c r="Z86" i="13"/>
  <c r="AC86" i="13" s="1"/>
  <c r="AG86" i="13" s="1"/>
  <c r="Z88" i="13"/>
  <c r="AC88" i="13" s="1"/>
  <c r="AG88" i="13" s="1"/>
  <c r="Z89" i="13"/>
  <c r="AC89" i="13" s="1"/>
  <c r="AG89" i="13" s="1"/>
  <c r="Z66" i="13"/>
  <c r="AC66" i="13" s="1"/>
  <c r="AG66" i="13" s="1"/>
  <c r="O100" i="13"/>
  <c r="Z75" i="13"/>
  <c r="AC75" i="13" s="1"/>
  <c r="AG75" i="13" s="1"/>
  <c r="Z59" i="13"/>
  <c r="AC59" i="13" s="1"/>
  <c r="AG59" i="13" s="1"/>
  <c r="Z26" i="13"/>
  <c r="AC26" i="13" s="1"/>
  <c r="AG26" i="13" s="1"/>
  <c r="Z51" i="13"/>
  <c r="AC51" i="13" s="1"/>
  <c r="AG51" i="13" s="1"/>
  <c r="Z46" i="13"/>
  <c r="AC46" i="13" s="1"/>
  <c r="AG46" i="13" s="1"/>
  <c r="Z45" i="13"/>
  <c r="AC45" i="13" s="1"/>
  <c r="AG45" i="13" s="1"/>
  <c r="Z70" i="13"/>
  <c r="AC70" i="13" s="1"/>
  <c r="AG70" i="13" s="1"/>
  <c r="Z25" i="13"/>
  <c r="AC25" i="13" s="1"/>
  <c r="AG25" i="13" s="1"/>
  <c r="Z12" i="13"/>
  <c r="AC12" i="13" s="1"/>
  <c r="AG12" i="13" s="1"/>
  <c r="Z21" i="13"/>
  <c r="AC21" i="13" s="1"/>
  <c r="AG21" i="13" s="1"/>
  <c r="Z19" i="13"/>
  <c r="AC19" i="13" s="1"/>
  <c r="AG19" i="13" s="1"/>
  <c r="Z53" i="13"/>
  <c r="AC53" i="13" s="1"/>
  <c r="AG53" i="13" s="1"/>
  <c r="Z62" i="13"/>
  <c r="AC62" i="13" s="1"/>
  <c r="AG62" i="13" s="1"/>
  <c r="Z64" i="13"/>
  <c r="AC64" i="13" s="1"/>
  <c r="AG64" i="13" s="1"/>
  <c r="Z54" i="13"/>
  <c r="AC54" i="13" s="1"/>
  <c r="AG54" i="13" s="1"/>
  <c r="Z56" i="13"/>
  <c r="AC56" i="13" s="1"/>
  <c r="AG56" i="13" s="1"/>
  <c r="Z99" i="12"/>
  <c r="AC99" i="12" s="1"/>
  <c r="AG99" i="12" s="1"/>
  <c r="Z89" i="12"/>
  <c r="AC89" i="12" s="1"/>
  <c r="AG89" i="12" s="1"/>
  <c r="Z94" i="12"/>
  <c r="AC94" i="12" s="1"/>
  <c r="AG94" i="12" s="1"/>
  <c r="Z85" i="12"/>
  <c r="AC85" i="12" s="1"/>
  <c r="AG85" i="12" s="1"/>
  <c r="Z93" i="12"/>
  <c r="AC93" i="12" s="1"/>
  <c r="AG93" i="12" s="1"/>
  <c r="Z96" i="12"/>
  <c r="AC96" i="12" s="1"/>
  <c r="AG96" i="12" s="1"/>
  <c r="Z86" i="12"/>
  <c r="AC86" i="12" s="1"/>
  <c r="AG86" i="12" s="1"/>
  <c r="Z95" i="12"/>
  <c r="AC95" i="12" s="1"/>
  <c r="AG95" i="12" s="1"/>
  <c r="Z80" i="12"/>
  <c r="AC80" i="12" s="1"/>
  <c r="AG80" i="12" s="1"/>
  <c r="Z79" i="12"/>
  <c r="AC79" i="12" s="1"/>
  <c r="AG79" i="12" s="1"/>
  <c r="Z81" i="12"/>
  <c r="AC81" i="12" s="1"/>
  <c r="AG81" i="12" s="1"/>
  <c r="Z73" i="12"/>
  <c r="AC73" i="12" s="1"/>
  <c r="AG73" i="12" s="1"/>
  <c r="Z64" i="12"/>
  <c r="AC64" i="12" s="1"/>
  <c r="AG64" i="12" s="1"/>
  <c r="Z65" i="12"/>
  <c r="AC65" i="12" s="1"/>
  <c r="AG65" i="12" s="1"/>
  <c r="Z27" i="12"/>
  <c r="AC27" i="12" s="1"/>
  <c r="AG27" i="12" s="1"/>
  <c r="Z30" i="12"/>
  <c r="AC30" i="12" s="1"/>
  <c r="AG30" i="12" s="1"/>
  <c r="Z40" i="12"/>
  <c r="AC40" i="12" s="1"/>
  <c r="AG40" i="12" s="1"/>
  <c r="Z37" i="12"/>
  <c r="AC37" i="12" s="1"/>
  <c r="AG37" i="12" s="1"/>
  <c r="Z33" i="12"/>
  <c r="AC33" i="12" s="1"/>
  <c r="AG33" i="12" s="1"/>
  <c r="Z38" i="12"/>
  <c r="AC38" i="12" s="1"/>
  <c r="AG38" i="12" s="1"/>
  <c r="Z34" i="12"/>
  <c r="AC34" i="12" s="1"/>
  <c r="AG34" i="12" s="1"/>
  <c r="Z28" i="12"/>
  <c r="AC28" i="12" s="1"/>
  <c r="AG28" i="12" s="1"/>
  <c r="Z22" i="12"/>
  <c r="AC22" i="12" s="1"/>
  <c r="AG22" i="12" s="1"/>
  <c r="R100" i="12"/>
  <c r="Z24" i="12"/>
  <c r="AC24" i="12" s="1"/>
  <c r="AG24" i="12" s="1"/>
  <c r="Z7" i="12"/>
  <c r="AC7" i="12" s="1"/>
  <c r="AG7" i="12" s="1"/>
  <c r="Z75" i="12"/>
  <c r="AC75" i="12" s="1"/>
  <c r="AG75" i="12" s="1"/>
  <c r="Z63" i="12"/>
  <c r="AC63" i="12" s="1"/>
  <c r="AG63" i="12" s="1"/>
  <c r="Z59" i="12"/>
  <c r="AC59" i="12" s="1"/>
  <c r="AG59" i="12" s="1"/>
  <c r="Z57" i="12"/>
  <c r="AC57" i="12" s="1"/>
  <c r="AG57" i="12" s="1"/>
  <c r="Z78" i="12"/>
  <c r="AC78" i="12" s="1"/>
  <c r="AG78" i="12" s="1"/>
  <c r="Z83" i="12"/>
  <c r="AC83" i="12" s="1"/>
  <c r="AG83" i="12" s="1"/>
  <c r="Z49" i="12"/>
  <c r="AC49" i="12" s="1"/>
  <c r="AG49" i="12" s="1"/>
  <c r="Z48" i="12"/>
  <c r="AC48" i="12" s="1"/>
  <c r="AG48" i="12" s="1"/>
  <c r="Z47" i="12"/>
  <c r="AC47" i="12" s="1"/>
  <c r="AG47" i="12" s="1"/>
  <c r="Z45" i="12"/>
  <c r="AC45" i="12" s="1"/>
  <c r="AG45" i="12" s="1"/>
  <c r="Z44" i="12"/>
  <c r="AC44" i="12" s="1"/>
  <c r="AG44" i="12" s="1"/>
  <c r="Z43" i="12"/>
  <c r="AC43" i="12" s="1"/>
  <c r="AG43" i="12" s="1"/>
  <c r="Z26" i="12"/>
  <c r="AC26" i="12" s="1"/>
  <c r="AG26" i="12" s="1"/>
  <c r="Z17" i="12"/>
  <c r="AC17" i="12" s="1"/>
  <c r="AG17" i="12" s="1"/>
  <c r="Z10" i="12"/>
  <c r="AC10" i="12" s="1"/>
  <c r="AG10" i="12" s="1"/>
  <c r="Z69" i="12"/>
  <c r="AC69" i="12" s="1"/>
  <c r="AG69" i="12" s="1"/>
  <c r="F100" i="12"/>
  <c r="Z77" i="12"/>
  <c r="AC77" i="12" s="1"/>
  <c r="AG77" i="12" s="1"/>
  <c r="Z90" i="11"/>
  <c r="AC90" i="11" s="1"/>
  <c r="AG90" i="11" s="1"/>
  <c r="Z92" i="11"/>
  <c r="AC92" i="11" s="1"/>
  <c r="AG92" i="11" s="1"/>
  <c r="Z94" i="11"/>
  <c r="AC94" i="11" s="1"/>
  <c r="AG94" i="11" s="1"/>
  <c r="Z97" i="11"/>
  <c r="AC97" i="11" s="1"/>
  <c r="AG97" i="11" s="1"/>
  <c r="Z84" i="11"/>
  <c r="AC84" i="11" s="1"/>
  <c r="AG84" i="11" s="1"/>
  <c r="Z86" i="11"/>
  <c r="AC86" i="11" s="1"/>
  <c r="AG86" i="11" s="1"/>
  <c r="Z88" i="11"/>
  <c r="AC88" i="11" s="1"/>
  <c r="AG88" i="11" s="1"/>
  <c r="Z95" i="11"/>
  <c r="AC95" i="11" s="1"/>
  <c r="AG95" i="11" s="1"/>
  <c r="Z89" i="11"/>
  <c r="AC89" i="11" s="1"/>
  <c r="AG89" i="11" s="1"/>
  <c r="Z93" i="11"/>
  <c r="AC93" i="11" s="1"/>
  <c r="AG93" i="11" s="1"/>
  <c r="Z80" i="11"/>
  <c r="AC80" i="11" s="1"/>
  <c r="AG80" i="11" s="1"/>
  <c r="Z81" i="11"/>
  <c r="AC81" i="11" s="1"/>
  <c r="AG81" i="11" s="1"/>
  <c r="Z79" i="11"/>
  <c r="AC79" i="11" s="1"/>
  <c r="AG79" i="11" s="1"/>
  <c r="Z82" i="11"/>
  <c r="AC82" i="11" s="1"/>
  <c r="AG82" i="11" s="1"/>
  <c r="Z71" i="11"/>
  <c r="AC71" i="11" s="1"/>
  <c r="AG71" i="11" s="1"/>
  <c r="Z73" i="11"/>
  <c r="AC73" i="11" s="1"/>
  <c r="AG73" i="11" s="1"/>
  <c r="Z65" i="11"/>
  <c r="AC65" i="11" s="1"/>
  <c r="AG65" i="11" s="1"/>
  <c r="Z52" i="11"/>
  <c r="AC52" i="11" s="1"/>
  <c r="AG52" i="11" s="1"/>
  <c r="Z8" i="11"/>
  <c r="AC8" i="11" s="1"/>
  <c r="AG8" i="11" s="1"/>
  <c r="Z7" i="11"/>
  <c r="AC7" i="11" s="1"/>
  <c r="AG7" i="11" s="1"/>
  <c r="R100" i="11"/>
  <c r="Z24" i="11"/>
  <c r="AC24" i="11" s="1"/>
  <c r="AG24" i="11" s="1"/>
  <c r="Z23" i="11"/>
  <c r="AC23" i="11" s="1"/>
  <c r="AG23" i="11" s="1"/>
  <c r="Z22" i="11"/>
  <c r="AC22" i="11" s="1"/>
  <c r="AG22" i="11" s="1"/>
  <c r="Z37" i="11"/>
  <c r="AC37" i="11" s="1"/>
  <c r="AG37" i="11" s="1"/>
  <c r="Z31" i="11"/>
  <c r="AC31" i="11" s="1"/>
  <c r="AG31" i="11" s="1"/>
  <c r="Z35" i="11"/>
  <c r="AC35" i="11" s="1"/>
  <c r="AG35" i="11" s="1"/>
  <c r="Z38" i="11"/>
  <c r="AC38" i="11" s="1"/>
  <c r="AG38" i="11" s="1"/>
  <c r="Z36" i="11"/>
  <c r="AC36" i="11" s="1"/>
  <c r="AG36" i="11" s="1"/>
  <c r="Z29" i="11"/>
  <c r="AC29" i="11" s="1"/>
  <c r="AG29" i="11" s="1"/>
  <c r="Z39" i="11"/>
  <c r="AC39" i="11" s="1"/>
  <c r="AG39" i="11" s="1"/>
  <c r="Z75" i="11"/>
  <c r="AC75" i="11" s="1"/>
  <c r="AG75" i="11" s="1"/>
  <c r="O100" i="11"/>
  <c r="Z63" i="11"/>
  <c r="AC63" i="11" s="1"/>
  <c r="AG63" i="11" s="1"/>
  <c r="Z57" i="11"/>
  <c r="AC57" i="11" s="1"/>
  <c r="AG57" i="11" s="1"/>
  <c r="Z55" i="11"/>
  <c r="AC55" i="11" s="1"/>
  <c r="AG55" i="11" s="1"/>
  <c r="Z68" i="11"/>
  <c r="AC68" i="11" s="1"/>
  <c r="AG68" i="11" s="1"/>
  <c r="Z51" i="11"/>
  <c r="AC51" i="11" s="1"/>
  <c r="AG51" i="11" s="1"/>
  <c r="Z46" i="11"/>
  <c r="AC46" i="11" s="1"/>
  <c r="AG46" i="11" s="1"/>
  <c r="Z43" i="11"/>
  <c r="AC43" i="11" s="1"/>
  <c r="AG43" i="11" s="1"/>
  <c r="Z70" i="11"/>
  <c r="AC70" i="11" s="1"/>
  <c r="AG70" i="11" s="1"/>
  <c r="Z69" i="11"/>
  <c r="AC69" i="11" s="1"/>
  <c r="AG69" i="11" s="1"/>
  <c r="Z67" i="11"/>
  <c r="AC67" i="11" s="1"/>
  <c r="AG67" i="11" s="1"/>
  <c r="Z26" i="11"/>
  <c r="AC26" i="11" s="1"/>
  <c r="AG26" i="11" s="1"/>
  <c r="Z25" i="11"/>
  <c r="AC25" i="11" s="1"/>
  <c r="AG25" i="11" s="1"/>
  <c r="Z5" i="11"/>
  <c r="AC5" i="11" s="1"/>
  <c r="AG5" i="11" s="1"/>
  <c r="Z9" i="11"/>
  <c r="AC9" i="11" s="1"/>
  <c r="AG9" i="11" s="1"/>
  <c r="Z19" i="11"/>
  <c r="AC19" i="11" s="1"/>
  <c r="AG19" i="11" s="1"/>
  <c r="Z16" i="11"/>
  <c r="AC16" i="11" s="1"/>
  <c r="AG16" i="11" s="1"/>
  <c r="Z11" i="11"/>
  <c r="AC11" i="11" s="1"/>
  <c r="AG11" i="11" s="1"/>
  <c r="Z10" i="11"/>
  <c r="AC10" i="11" s="1"/>
  <c r="AG10" i="11" s="1"/>
  <c r="Z4" i="11"/>
  <c r="AC4" i="11" s="1"/>
  <c r="Z10" i="18"/>
  <c r="AC10" i="18" s="1"/>
  <c r="AG10" i="18" s="1"/>
  <c r="Z53" i="18"/>
  <c r="AC53" i="18" s="1"/>
  <c r="AG53" i="18" s="1"/>
  <c r="Z47" i="18"/>
  <c r="AC47" i="18" s="1"/>
  <c r="AG47" i="18" s="1"/>
  <c r="Z74" i="18"/>
  <c r="AC74" i="18" s="1"/>
  <c r="AG74" i="18" s="1"/>
  <c r="AC4" i="18"/>
  <c r="Z45" i="18"/>
  <c r="AC45" i="18" s="1"/>
  <c r="AG45" i="18" s="1"/>
  <c r="Z31" i="18"/>
  <c r="AC31" i="18" s="1"/>
  <c r="AG31" i="18" s="1"/>
  <c r="Z58" i="18"/>
  <c r="AC58" i="18" s="1"/>
  <c r="AG58" i="18" s="1"/>
  <c r="Z95" i="18"/>
  <c r="AC95" i="18" s="1"/>
  <c r="AG95" i="18" s="1"/>
  <c r="Z16" i="18"/>
  <c r="AC16" i="18" s="1"/>
  <c r="AG16" i="18" s="1"/>
  <c r="X100" i="18"/>
  <c r="Z15" i="18"/>
  <c r="AC15" i="18" s="1"/>
  <c r="AG15" i="18" s="1"/>
  <c r="Z21" i="18"/>
  <c r="AC21" i="18" s="1"/>
  <c r="AG21" i="18" s="1"/>
  <c r="Z85" i="18"/>
  <c r="AC85" i="18" s="1"/>
  <c r="AG85" i="18" s="1"/>
  <c r="L100" i="18"/>
  <c r="Z50" i="18"/>
  <c r="AC50" i="18" s="1"/>
  <c r="AG50" i="18" s="1"/>
  <c r="Z7" i="18"/>
  <c r="AC7" i="18" s="1"/>
  <c r="AG7" i="18" s="1"/>
  <c r="Z13" i="18"/>
  <c r="AC13" i="18" s="1"/>
  <c r="AG13" i="18" s="1"/>
  <c r="Z42" i="18"/>
  <c r="AC42" i="18" s="1"/>
  <c r="AG42" i="18" s="1"/>
  <c r="Z79" i="18"/>
  <c r="AC79" i="18" s="1"/>
  <c r="AG79" i="18" s="1"/>
  <c r="O100" i="18"/>
  <c r="Z65" i="18"/>
  <c r="AC65" i="18" s="1"/>
  <c r="AG65" i="18" s="1"/>
  <c r="Z69" i="18"/>
  <c r="AC69" i="18" s="1"/>
  <c r="AG69" i="18" s="1"/>
  <c r="Z26" i="18"/>
  <c r="AC26" i="18" s="1"/>
  <c r="AG26" i="18" s="1"/>
  <c r="Z63" i="18"/>
  <c r="AC63" i="18" s="1"/>
  <c r="AG63" i="18" s="1"/>
  <c r="Z90" i="18"/>
  <c r="AC90" i="18" s="1"/>
  <c r="AG90" i="18" s="1"/>
  <c r="U100" i="18"/>
  <c r="Z61" i="18"/>
  <c r="AC61" i="18" s="1"/>
  <c r="AG61" i="18" s="1"/>
  <c r="F100" i="18"/>
  <c r="Z23" i="17"/>
  <c r="AC23" i="17" s="1"/>
  <c r="AG23" i="17" s="1"/>
  <c r="Z37" i="17"/>
  <c r="AC37" i="17" s="1"/>
  <c r="AG37" i="17" s="1"/>
  <c r="Z7" i="17"/>
  <c r="AC7" i="17" s="1"/>
  <c r="AG7" i="17" s="1"/>
  <c r="Z21" i="17"/>
  <c r="AC21" i="17" s="1"/>
  <c r="AG21" i="17" s="1"/>
  <c r="Z58" i="17"/>
  <c r="AC58" i="17" s="1"/>
  <c r="AG58" i="17" s="1"/>
  <c r="Z13" i="17"/>
  <c r="AC13" i="17" s="1"/>
  <c r="AG13" i="17" s="1"/>
  <c r="Z95" i="17"/>
  <c r="AC95" i="17" s="1"/>
  <c r="AG95" i="17" s="1"/>
  <c r="U100" i="17"/>
  <c r="Z26" i="17"/>
  <c r="AC26" i="17" s="1"/>
  <c r="AG26" i="17" s="1"/>
  <c r="X100" i="17"/>
  <c r="Z18" i="17"/>
  <c r="AC18" i="17" s="1"/>
  <c r="AG18" i="17" s="1"/>
  <c r="Z10" i="17"/>
  <c r="AC10" i="17" s="1"/>
  <c r="AG10" i="17" s="1"/>
  <c r="Z71" i="17"/>
  <c r="AC71" i="17" s="1"/>
  <c r="AG71" i="17" s="1"/>
  <c r="Z77" i="17"/>
  <c r="AC77" i="17" s="1"/>
  <c r="AG77" i="17" s="1"/>
  <c r="Z63" i="17"/>
  <c r="AC63" i="17" s="1"/>
  <c r="AG63" i="17" s="1"/>
  <c r="Z98" i="17"/>
  <c r="AC98" i="17" s="1"/>
  <c r="AG98" i="17" s="1"/>
  <c r="Z4" i="17"/>
  <c r="F100" i="17"/>
  <c r="Z69" i="17"/>
  <c r="AC69" i="17" s="1"/>
  <c r="AG69" i="17" s="1"/>
  <c r="Z90" i="17"/>
  <c r="AC90" i="17" s="1"/>
  <c r="AG90" i="17" s="1"/>
  <c r="I100" i="17"/>
  <c r="Z55" i="17"/>
  <c r="AC55" i="17" s="1"/>
  <c r="AG55" i="17" s="1"/>
  <c r="Z61" i="17"/>
  <c r="AC61" i="17" s="1"/>
  <c r="AG61" i="17" s="1"/>
  <c r="L100" i="17"/>
  <c r="Z47" i="17"/>
  <c r="AC47" i="17" s="1"/>
  <c r="AG47" i="17" s="1"/>
  <c r="Z82" i="17"/>
  <c r="AC82" i="17" s="1"/>
  <c r="AG82" i="17" s="1"/>
  <c r="Z28" i="16"/>
  <c r="AC28" i="16" s="1"/>
  <c r="AG28" i="16" s="1"/>
  <c r="Z60" i="16"/>
  <c r="AC60" i="16" s="1"/>
  <c r="AG60" i="16" s="1"/>
  <c r="Z92" i="16"/>
  <c r="AC92" i="16" s="1"/>
  <c r="AG92" i="16" s="1"/>
  <c r="Z15" i="16"/>
  <c r="AC15" i="16" s="1"/>
  <c r="AG15" i="16" s="1"/>
  <c r="Z4" i="16"/>
  <c r="Z47" i="16"/>
  <c r="AC47" i="16" s="1"/>
  <c r="AG47" i="16" s="1"/>
  <c r="Z79" i="16"/>
  <c r="AC79" i="16" s="1"/>
  <c r="AG79" i="16" s="1"/>
  <c r="I100" i="16"/>
  <c r="L100" i="16"/>
  <c r="Z36" i="16"/>
  <c r="AC36" i="16" s="1"/>
  <c r="AG36" i="16" s="1"/>
  <c r="Z68" i="16"/>
  <c r="AC68" i="16" s="1"/>
  <c r="AG68" i="16" s="1"/>
  <c r="Z12" i="16"/>
  <c r="AC12" i="16" s="1"/>
  <c r="AG12" i="16" s="1"/>
  <c r="O100" i="16"/>
  <c r="Z23" i="16"/>
  <c r="AC23" i="16" s="1"/>
  <c r="AG23" i="16" s="1"/>
  <c r="Z55" i="16"/>
  <c r="AC55" i="16" s="1"/>
  <c r="AG55" i="16" s="1"/>
  <c r="Z87" i="16"/>
  <c r="AC87" i="16" s="1"/>
  <c r="AG87" i="16" s="1"/>
  <c r="F100" i="16"/>
  <c r="X100" i="16"/>
  <c r="Z14" i="16"/>
  <c r="AC14" i="16" s="1"/>
  <c r="AG14" i="16" s="1"/>
  <c r="Z44" i="16"/>
  <c r="AC44" i="16" s="1"/>
  <c r="AG44" i="16" s="1"/>
  <c r="Z76" i="16"/>
  <c r="AC76" i="16" s="1"/>
  <c r="AG76" i="16" s="1"/>
  <c r="AC4" i="15"/>
  <c r="R100" i="15"/>
  <c r="L100" i="15"/>
  <c r="F100" i="15"/>
  <c r="Z37" i="14"/>
  <c r="AC37" i="14" s="1"/>
  <c r="AG37" i="14" s="1"/>
  <c r="Z80" i="14"/>
  <c r="AC80" i="14" s="1"/>
  <c r="AG80" i="14" s="1"/>
  <c r="Z29" i="14"/>
  <c r="AC29" i="14" s="1"/>
  <c r="AG29" i="14" s="1"/>
  <c r="Z5" i="14"/>
  <c r="AC5" i="14" s="1"/>
  <c r="AG5" i="14" s="1"/>
  <c r="Z7" i="14"/>
  <c r="AC7" i="14" s="1"/>
  <c r="AG7" i="14" s="1"/>
  <c r="Z13" i="14"/>
  <c r="AC13" i="14" s="1"/>
  <c r="AG13" i="14" s="1"/>
  <c r="Z15" i="14"/>
  <c r="AC15" i="14" s="1"/>
  <c r="AG15" i="14" s="1"/>
  <c r="Z21" i="14"/>
  <c r="AC21" i="14" s="1"/>
  <c r="AG21" i="14" s="1"/>
  <c r="Z23" i="14"/>
  <c r="AC23" i="14" s="1"/>
  <c r="AG23" i="14" s="1"/>
  <c r="Z58" i="14"/>
  <c r="AC58" i="14" s="1"/>
  <c r="AG58" i="14" s="1"/>
  <c r="Z72" i="14"/>
  <c r="AC72" i="14" s="1"/>
  <c r="AG72" i="14" s="1"/>
  <c r="Z93" i="14"/>
  <c r="AC93" i="14" s="1"/>
  <c r="AG93" i="14" s="1"/>
  <c r="X100" i="14"/>
  <c r="AC4" i="14"/>
  <c r="Z40" i="14"/>
  <c r="AC40" i="14" s="1"/>
  <c r="AG40" i="14" s="1"/>
  <c r="Z61" i="14"/>
  <c r="AC61" i="14" s="1"/>
  <c r="AG61" i="14" s="1"/>
  <c r="Z90" i="14"/>
  <c r="AC90" i="14" s="1"/>
  <c r="AG90" i="14" s="1"/>
  <c r="I100" i="14"/>
  <c r="U100" i="14"/>
  <c r="L100" i="14"/>
  <c r="Z53" i="14"/>
  <c r="AC53" i="14" s="1"/>
  <c r="AG53" i="14" s="1"/>
  <c r="Z82" i="14"/>
  <c r="AC82" i="14" s="1"/>
  <c r="AG82" i="14" s="1"/>
  <c r="Z96" i="14"/>
  <c r="AC96" i="14" s="1"/>
  <c r="AG96" i="14" s="1"/>
  <c r="F100" i="14"/>
  <c r="Z13" i="13"/>
  <c r="AC13" i="13" s="1"/>
  <c r="AG13" i="13" s="1"/>
  <c r="Z58" i="13"/>
  <c r="AC58" i="13" s="1"/>
  <c r="AG58" i="13" s="1"/>
  <c r="Z5" i="13"/>
  <c r="AC5" i="13" s="1"/>
  <c r="AG5" i="13" s="1"/>
  <c r="Z50" i="13"/>
  <c r="AC50" i="13" s="1"/>
  <c r="AG50" i="13" s="1"/>
  <c r="Z42" i="13"/>
  <c r="AC42" i="13" s="1"/>
  <c r="AG42" i="13" s="1"/>
  <c r="Z93" i="13"/>
  <c r="AC93" i="13" s="1"/>
  <c r="AG93" i="13" s="1"/>
  <c r="Z34" i="13"/>
  <c r="AC34" i="13" s="1"/>
  <c r="AG34" i="13" s="1"/>
  <c r="U100" i="13"/>
  <c r="Z18" i="13"/>
  <c r="AC18" i="13" s="1"/>
  <c r="AG18" i="13" s="1"/>
  <c r="X100" i="13"/>
  <c r="Z10" i="13"/>
  <c r="AC10" i="13" s="1"/>
  <c r="AG10" i="13" s="1"/>
  <c r="Z77" i="13"/>
  <c r="AC77" i="13" s="1"/>
  <c r="AG77" i="13" s="1"/>
  <c r="Z98" i="13"/>
  <c r="AC98" i="13" s="1"/>
  <c r="AG98" i="13" s="1"/>
  <c r="Z4" i="13"/>
  <c r="F100" i="13"/>
  <c r="Z69" i="13"/>
  <c r="AC69" i="13" s="1"/>
  <c r="AG69" i="13" s="1"/>
  <c r="Z90" i="13"/>
  <c r="AC90" i="13" s="1"/>
  <c r="AG90" i="13" s="1"/>
  <c r="I100" i="13"/>
  <c r="Z55" i="13"/>
  <c r="AC55" i="13" s="1"/>
  <c r="AG55" i="13" s="1"/>
  <c r="L100" i="13"/>
  <c r="Z47" i="13"/>
  <c r="AC47" i="13" s="1"/>
  <c r="AG47" i="13" s="1"/>
  <c r="Z61" i="13"/>
  <c r="AC61" i="13" s="1"/>
  <c r="AG61" i="13" s="1"/>
  <c r="Z82" i="13"/>
  <c r="AC82" i="13" s="1"/>
  <c r="AG82" i="13" s="1"/>
  <c r="X100" i="12"/>
  <c r="I100" i="12"/>
  <c r="Z4" i="12"/>
  <c r="Z8" i="12"/>
  <c r="AC8" i="12" s="1"/>
  <c r="AG8" i="12" s="1"/>
  <c r="L100" i="12"/>
  <c r="Z5" i="12"/>
  <c r="AC5" i="12" s="1"/>
  <c r="AG5" i="12" s="1"/>
  <c r="Z50" i="12"/>
  <c r="AC50" i="12" s="1"/>
  <c r="AG50" i="12" s="1"/>
  <c r="Z58" i="12"/>
  <c r="AC58" i="12" s="1"/>
  <c r="AG58" i="12" s="1"/>
  <c r="Z66" i="12"/>
  <c r="AC66" i="12" s="1"/>
  <c r="AG66" i="12" s="1"/>
  <c r="Z74" i="12"/>
  <c r="AC74" i="12" s="1"/>
  <c r="AG74" i="12" s="1"/>
  <c r="Z90" i="12"/>
  <c r="AC90" i="12" s="1"/>
  <c r="AG90" i="12" s="1"/>
  <c r="Z52" i="12"/>
  <c r="AC52" i="12" s="1"/>
  <c r="AG52" i="12" s="1"/>
  <c r="Z60" i="12"/>
  <c r="AC60" i="12" s="1"/>
  <c r="AG60" i="12" s="1"/>
  <c r="Z68" i="12"/>
  <c r="AC68" i="12" s="1"/>
  <c r="AG68" i="12" s="1"/>
  <c r="Z76" i="12"/>
  <c r="AC76" i="12" s="1"/>
  <c r="AG76" i="12" s="1"/>
  <c r="Z82" i="12"/>
  <c r="AC82" i="12" s="1"/>
  <c r="AG82" i="12" s="1"/>
  <c r="Z92" i="12"/>
  <c r="AC92" i="12" s="1"/>
  <c r="AG92" i="12" s="1"/>
  <c r="Z13" i="12"/>
  <c r="AC13" i="12" s="1"/>
  <c r="AG13" i="12" s="1"/>
  <c r="Z23" i="12"/>
  <c r="AC23" i="12" s="1"/>
  <c r="AG23" i="12" s="1"/>
  <c r="Z84" i="12"/>
  <c r="AC84" i="12" s="1"/>
  <c r="AG84" i="12" s="1"/>
  <c r="O100" i="12"/>
  <c r="U100" i="12"/>
  <c r="Z9" i="12"/>
  <c r="AC9" i="12" s="1"/>
  <c r="AG9" i="12" s="1"/>
  <c r="Z21" i="12"/>
  <c r="AC21" i="12" s="1"/>
  <c r="AG21" i="12" s="1"/>
  <c r="Z31" i="12"/>
  <c r="AC31" i="12" s="1"/>
  <c r="AG31" i="12" s="1"/>
  <c r="X100" i="11"/>
  <c r="Z13" i="11"/>
  <c r="AC13" i="11" s="1"/>
  <c r="AG13" i="11" s="1"/>
  <c r="Z45" i="11"/>
  <c r="AC45" i="11" s="1"/>
  <c r="AG45" i="11" s="1"/>
  <c r="Z77" i="11"/>
  <c r="AC77" i="11" s="1"/>
  <c r="AG77" i="11" s="1"/>
  <c r="Z32" i="11"/>
  <c r="AC32" i="11" s="1"/>
  <c r="AG32" i="11" s="1"/>
  <c r="Z64" i="11"/>
  <c r="AC64" i="11" s="1"/>
  <c r="AG64" i="11" s="1"/>
  <c r="Z96" i="11"/>
  <c r="AC96" i="11" s="1"/>
  <c r="AG96" i="11" s="1"/>
  <c r="U100" i="11"/>
  <c r="I100" i="11"/>
  <c r="Z34" i="11"/>
  <c r="AC34" i="11" s="1"/>
  <c r="AG34" i="11" s="1"/>
  <c r="Z66" i="11"/>
  <c r="AC66" i="11" s="1"/>
  <c r="AG66" i="11" s="1"/>
  <c r="Z98" i="11"/>
  <c r="AC98" i="11" s="1"/>
  <c r="AG98" i="11" s="1"/>
  <c r="L100" i="11"/>
  <c r="Z21" i="11"/>
  <c r="AC21" i="11" s="1"/>
  <c r="AG21" i="11" s="1"/>
  <c r="Z53" i="11"/>
  <c r="AC53" i="11" s="1"/>
  <c r="AG53" i="11" s="1"/>
  <c r="Z85" i="11"/>
  <c r="AC85" i="11" s="1"/>
  <c r="AG85" i="11" s="1"/>
  <c r="Z40" i="11"/>
  <c r="AC40" i="11" s="1"/>
  <c r="AG40" i="11" s="1"/>
  <c r="Z72" i="11"/>
  <c r="AC72" i="11" s="1"/>
  <c r="AG72" i="11" s="1"/>
  <c r="F100" i="11"/>
  <c r="AD100" i="10"/>
  <c r="AB100" i="10"/>
  <c r="AA100" i="10"/>
  <c r="Y100" i="10"/>
  <c r="W100" i="10"/>
  <c r="V100" i="10"/>
  <c r="T100" i="10"/>
  <c r="S100" i="10"/>
  <c r="Q100" i="10"/>
  <c r="P100" i="10"/>
  <c r="N100" i="10"/>
  <c r="M100" i="10"/>
  <c r="K100" i="10"/>
  <c r="J100" i="10"/>
  <c r="H100" i="10"/>
  <c r="G100" i="10"/>
  <c r="E100" i="10"/>
  <c r="D100" i="10"/>
  <c r="X99" i="10"/>
  <c r="U99" i="10"/>
  <c r="R99" i="10"/>
  <c r="O99" i="10"/>
  <c r="L99" i="10"/>
  <c r="I99" i="10"/>
  <c r="F99" i="10"/>
  <c r="X98" i="10"/>
  <c r="U98" i="10"/>
  <c r="R98" i="10"/>
  <c r="O98" i="10"/>
  <c r="L98" i="10"/>
  <c r="I98" i="10"/>
  <c r="F98" i="10"/>
  <c r="X97" i="10"/>
  <c r="U97" i="10"/>
  <c r="R97" i="10"/>
  <c r="O97" i="10"/>
  <c r="L97" i="10"/>
  <c r="I97" i="10"/>
  <c r="F97" i="10"/>
  <c r="X96" i="10"/>
  <c r="U96" i="10"/>
  <c r="R96" i="10"/>
  <c r="O96" i="10"/>
  <c r="L96" i="10"/>
  <c r="I96" i="10"/>
  <c r="F96" i="10"/>
  <c r="X95" i="10"/>
  <c r="U95" i="10"/>
  <c r="R95" i="10"/>
  <c r="O95" i="10"/>
  <c r="L95" i="10"/>
  <c r="I95" i="10"/>
  <c r="F95" i="10"/>
  <c r="X94" i="10"/>
  <c r="U94" i="10"/>
  <c r="R94" i="10"/>
  <c r="O94" i="10"/>
  <c r="L94" i="10"/>
  <c r="I94" i="10"/>
  <c r="F94" i="10"/>
  <c r="X93" i="10"/>
  <c r="U93" i="10"/>
  <c r="R93" i="10"/>
  <c r="O93" i="10"/>
  <c r="L93" i="10"/>
  <c r="I93" i="10"/>
  <c r="F93" i="10"/>
  <c r="X92" i="10"/>
  <c r="U92" i="10"/>
  <c r="R92" i="10"/>
  <c r="O92" i="10"/>
  <c r="L92" i="10"/>
  <c r="I92" i="10"/>
  <c r="F92" i="10"/>
  <c r="X91" i="10"/>
  <c r="U91" i="10"/>
  <c r="R91" i="10"/>
  <c r="O91" i="10"/>
  <c r="L91" i="10"/>
  <c r="I91" i="10"/>
  <c r="F91" i="10"/>
  <c r="X90" i="10"/>
  <c r="U90" i="10"/>
  <c r="R90" i="10"/>
  <c r="O90" i="10"/>
  <c r="L90" i="10"/>
  <c r="I90" i="10"/>
  <c r="F90" i="10"/>
  <c r="X89" i="10"/>
  <c r="U89" i="10"/>
  <c r="R89" i="10"/>
  <c r="O89" i="10"/>
  <c r="L89" i="10"/>
  <c r="I89" i="10"/>
  <c r="F89" i="10"/>
  <c r="X88" i="10"/>
  <c r="U88" i="10"/>
  <c r="R88" i="10"/>
  <c r="O88" i="10"/>
  <c r="L88" i="10"/>
  <c r="I88" i="10"/>
  <c r="F88" i="10"/>
  <c r="X87" i="10"/>
  <c r="U87" i="10"/>
  <c r="R87" i="10"/>
  <c r="O87" i="10"/>
  <c r="L87" i="10"/>
  <c r="I87" i="10"/>
  <c r="F87" i="10"/>
  <c r="X86" i="10"/>
  <c r="U86" i="10"/>
  <c r="R86" i="10"/>
  <c r="O86" i="10"/>
  <c r="L86" i="10"/>
  <c r="I86" i="10"/>
  <c r="F86" i="10"/>
  <c r="X85" i="10"/>
  <c r="U85" i="10"/>
  <c r="R85" i="10"/>
  <c r="O85" i="10"/>
  <c r="L85" i="10"/>
  <c r="I85" i="10"/>
  <c r="F85" i="10"/>
  <c r="X84" i="10"/>
  <c r="U84" i="10"/>
  <c r="R84" i="10"/>
  <c r="O84" i="10"/>
  <c r="L84" i="10"/>
  <c r="I84" i="10"/>
  <c r="F84" i="10"/>
  <c r="X83" i="10"/>
  <c r="U83" i="10"/>
  <c r="R83" i="10"/>
  <c r="O83" i="10"/>
  <c r="L83" i="10"/>
  <c r="I83" i="10"/>
  <c r="F83" i="10"/>
  <c r="X82" i="10"/>
  <c r="U82" i="10"/>
  <c r="R82" i="10"/>
  <c r="O82" i="10"/>
  <c r="L82" i="10"/>
  <c r="I82" i="10"/>
  <c r="F82" i="10"/>
  <c r="X81" i="10"/>
  <c r="U81" i="10"/>
  <c r="R81" i="10"/>
  <c r="O81" i="10"/>
  <c r="L81" i="10"/>
  <c r="I81" i="10"/>
  <c r="F81" i="10"/>
  <c r="X80" i="10"/>
  <c r="U80" i="10"/>
  <c r="R80" i="10"/>
  <c r="O80" i="10"/>
  <c r="L80" i="10"/>
  <c r="I80" i="10"/>
  <c r="F80" i="10"/>
  <c r="X79" i="10"/>
  <c r="U79" i="10"/>
  <c r="R79" i="10"/>
  <c r="O79" i="10"/>
  <c r="L79" i="10"/>
  <c r="I79" i="10"/>
  <c r="F79" i="10"/>
  <c r="X78" i="10"/>
  <c r="U78" i="10"/>
  <c r="R78" i="10"/>
  <c r="O78" i="10"/>
  <c r="L78" i="10"/>
  <c r="I78" i="10"/>
  <c r="F78" i="10"/>
  <c r="Z78" i="10" s="1"/>
  <c r="AC78" i="10" s="1"/>
  <c r="AG78" i="10" s="1"/>
  <c r="X77" i="10"/>
  <c r="U77" i="10"/>
  <c r="R77" i="10"/>
  <c r="O77" i="10"/>
  <c r="L77" i="10"/>
  <c r="I77" i="10"/>
  <c r="F77" i="10"/>
  <c r="X76" i="10"/>
  <c r="U76" i="10"/>
  <c r="R76" i="10"/>
  <c r="O76" i="10"/>
  <c r="L76" i="10"/>
  <c r="I76" i="10"/>
  <c r="F76" i="10"/>
  <c r="X75" i="10"/>
  <c r="U75" i="10"/>
  <c r="R75" i="10"/>
  <c r="O75" i="10"/>
  <c r="L75" i="10"/>
  <c r="I75" i="10"/>
  <c r="F75" i="10"/>
  <c r="X74" i="10"/>
  <c r="U74" i="10"/>
  <c r="R74" i="10"/>
  <c r="O74" i="10"/>
  <c r="L74" i="10"/>
  <c r="I74" i="10"/>
  <c r="F74" i="10"/>
  <c r="X73" i="10"/>
  <c r="U73" i="10"/>
  <c r="R73" i="10"/>
  <c r="O73" i="10"/>
  <c r="L73" i="10"/>
  <c r="I73" i="10"/>
  <c r="F73" i="10"/>
  <c r="X72" i="10"/>
  <c r="U72" i="10"/>
  <c r="R72" i="10"/>
  <c r="O72" i="10"/>
  <c r="L72" i="10"/>
  <c r="I72" i="10"/>
  <c r="F72" i="10"/>
  <c r="X71" i="10"/>
  <c r="U71" i="10"/>
  <c r="R71" i="10"/>
  <c r="O71" i="10"/>
  <c r="L71" i="10"/>
  <c r="I71" i="10"/>
  <c r="F71" i="10"/>
  <c r="X70" i="10"/>
  <c r="U70" i="10"/>
  <c r="R70" i="10"/>
  <c r="O70" i="10"/>
  <c r="L70" i="10"/>
  <c r="I70" i="10"/>
  <c r="F70" i="10"/>
  <c r="X69" i="10"/>
  <c r="U69" i="10"/>
  <c r="R69" i="10"/>
  <c r="O69" i="10"/>
  <c r="L69" i="10"/>
  <c r="I69" i="10"/>
  <c r="F69" i="10"/>
  <c r="X68" i="10"/>
  <c r="U68" i="10"/>
  <c r="R68" i="10"/>
  <c r="O68" i="10"/>
  <c r="L68" i="10"/>
  <c r="I68" i="10"/>
  <c r="F68" i="10"/>
  <c r="X67" i="10"/>
  <c r="U67" i="10"/>
  <c r="R67" i="10"/>
  <c r="O67" i="10"/>
  <c r="L67" i="10"/>
  <c r="I67" i="10"/>
  <c r="F67" i="10"/>
  <c r="X66" i="10"/>
  <c r="U66" i="10"/>
  <c r="R66" i="10"/>
  <c r="O66" i="10"/>
  <c r="L66" i="10"/>
  <c r="I66" i="10"/>
  <c r="F66" i="10"/>
  <c r="X65" i="10"/>
  <c r="U65" i="10"/>
  <c r="R65" i="10"/>
  <c r="O65" i="10"/>
  <c r="L65" i="10"/>
  <c r="I65" i="10"/>
  <c r="F65" i="10"/>
  <c r="X64" i="10"/>
  <c r="U64" i="10"/>
  <c r="R64" i="10"/>
  <c r="O64" i="10"/>
  <c r="L64" i="10"/>
  <c r="I64" i="10"/>
  <c r="F64" i="10"/>
  <c r="X63" i="10"/>
  <c r="U63" i="10"/>
  <c r="R63" i="10"/>
  <c r="O63" i="10"/>
  <c r="L63" i="10"/>
  <c r="I63" i="10"/>
  <c r="F63" i="10"/>
  <c r="X62" i="10"/>
  <c r="U62" i="10"/>
  <c r="R62" i="10"/>
  <c r="O62" i="10"/>
  <c r="L62" i="10"/>
  <c r="I62" i="10"/>
  <c r="F62" i="10"/>
  <c r="Z62" i="10" s="1"/>
  <c r="AC62" i="10" s="1"/>
  <c r="AG62" i="10" s="1"/>
  <c r="X61" i="10"/>
  <c r="U61" i="10"/>
  <c r="R61" i="10"/>
  <c r="O61" i="10"/>
  <c r="L61" i="10"/>
  <c r="I61" i="10"/>
  <c r="F61" i="10"/>
  <c r="X60" i="10"/>
  <c r="U60" i="10"/>
  <c r="R60" i="10"/>
  <c r="O60" i="10"/>
  <c r="L60" i="10"/>
  <c r="I60" i="10"/>
  <c r="F60" i="10"/>
  <c r="X59" i="10"/>
  <c r="U59" i="10"/>
  <c r="R59" i="10"/>
  <c r="O59" i="10"/>
  <c r="L59" i="10"/>
  <c r="I59" i="10"/>
  <c r="F59" i="10"/>
  <c r="X58" i="10"/>
  <c r="U58" i="10"/>
  <c r="R58" i="10"/>
  <c r="O58" i="10"/>
  <c r="L58" i="10"/>
  <c r="I58" i="10"/>
  <c r="F58" i="10"/>
  <c r="X57" i="10"/>
  <c r="U57" i="10"/>
  <c r="R57" i="10"/>
  <c r="O57" i="10"/>
  <c r="L57" i="10"/>
  <c r="I57" i="10"/>
  <c r="F57" i="10"/>
  <c r="X56" i="10"/>
  <c r="U56" i="10"/>
  <c r="R56" i="10"/>
  <c r="O56" i="10"/>
  <c r="L56" i="10"/>
  <c r="I56" i="10"/>
  <c r="F56" i="10"/>
  <c r="X55" i="10"/>
  <c r="U55" i="10"/>
  <c r="R55" i="10"/>
  <c r="O55" i="10"/>
  <c r="L55" i="10"/>
  <c r="I55" i="10"/>
  <c r="F55" i="10"/>
  <c r="Z55" i="10" s="1"/>
  <c r="AC55" i="10" s="1"/>
  <c r="AG55" i="10" s="1"/>
  <c r="X54" i="10"/>
  <c r="U54" i="10"/>
  <c r="R54" i="10"/>
  <c r="O54" i="10"/>
  <c r="L54" i="10"/>
  <c r="I54" i="10"/>
  <c r="F54" i="10"/>
  <c r="X53" i="10"/>
  <c r="U53" i="10"/>
  <c r="R53" i="10"/>
  <c r="O53" i="10"/>
  <c r="L53" i="10"/>
  <c r="I53" i="10"/>
  <c r="F53" i="10"/>
  <c r="X52" i="10"/>
  <c r="U52" i="10"/>
  <c r="R52" i="10"/>
  <c r="O52" i="10"/>
  <c r="L52" i="10"/>
  <c r="I52" i="10"/>
  <c r="F52" i="10"/>
  <c r="X51" i="10"/>
  <c r="U51" i="10"/>
  <c r="R51" i="10"/>
  <c r="O51" i="10"/>
  <c r="L51" i="10"/>
  <c r="I51" i="10"/>
  <c r="F51" i="10"/>
  <c r="X50" i="10"/>
  <c r="U50" i="10"/>
  <c r="R50" i="10"/>
  <c r="O50" i="10"/>
  <c r="L50" i="10"/>
  <c r="I50" i="10"/>
  <c r="F50" i="10"/>
  <c r="X49" i="10"/>
  <c r="U49" i="10"/>
  <c r="R49" i="10"/>
  <c r="O49" i="10"/>
  <c r="L49" i="10"/>
  <c r="I49" i="10"/>
  <c r="F49" i="10"/>
  <c r="X48" i="10"/>
  <c r="U48" i="10"/>
  <c r="R48" i="10"/>
  <c r="O48" i="10"/>
  <c r="L48" i="10"/>
  <c r="I48" i="10"/>
  <c r="F48" i="10"/>
  <c r="X47" i="10"/>
  <c r="U47" i="10"/>
  <c r="R47" i="10"/>
  <c r="O47" i="10"/>
  <c r="L47" i="10"/>
  <c r="I47" i="10"/>
  <c r="F47" i="10"/>
  <c r="X46" i="10"/>
  <c r="U46" i="10"/>
  <c r="R46" i="10"/>
  <c r="O46" i="10"/>
  <c r="L46" i="10"/>
  <c r="I46" i="10"/>
  <c r="F46" i="10"/>
  <c r="Z46" i="10" s="1"/>
  <c r="AC46" i="10" s="1"/>
  <c r="AG46" i="10" s="1"/>
  <c r="X45" i="10"/>
  <c r="U45" i="10"/>
  <c r="R45" i="10"/>
  <c r="O45" i="10"/>
  <c r="L45" i="10"/>
  <c r="I45" i="10"/>
  <c r="F45" i="10"/>
  <c r="X44" i="10"/>
  <c r="U44" i="10"/>
  <c r="R44" i="10"/>
  <c r="O44" i="10"/>
  <c r="L44" i="10"/>
  <c r="I44" i="10"/>
  <c r="F44" i="10"/>
  <c r="X43" i="10"/>
  <c r="U43" i="10"/>
  <c r="R43" i="10"/>
  <c r="O43" i="10"/>
  <c r="L43" i="10"/>
  <c r="I43" i="10"/>
  <c r="F43" i="10"/>
  <c r="X42" i="10"/>
  <c r="U42" i="10"/>
  <c r="R42" i="10"/>
  <c r="O42" i="10"/>
  <c r="L42" i="10"/>
  <c r="I42" i="10"/>
  <c r="F42" i="10"/>
  <c r="X41" i="10"/>
  <c r="U41" i="10"/>
  <c r="R41" i="10"/>
  <c r="O41" i="10"/>
  <c r="L41" i="10"/>
  <c r="I41" i="10"/>
  <c r="F41" i="10"/>
  <c r="X40" i="10"/>
  <c r="U40" i="10"/>
  <c r="R40" i="10"/>
  <c r="O40" i="10"/>
  <c r="L40" i="10"/>
  <c r="I40" i="10"/>
  <c r="F40" i="10"/>
  <c r="X39" i="10"/>
  <c r="U39" i="10"/>
  <c r="R39" i="10"/>
  <c r="O39" i="10"/>
  <c r="L39" i="10"/>
  <c r="I39" i="10"/>
  <c r="F39" i="10"/>
  <c r="X38" i="10"/>
  <c r="U38" i="10"/>
  <c r="R38" i="10"/>
  <c r="O38" i="10"/>
  <c r="L38" i="10"/>
  <c r="I38" i="10"/>
  <c r="F38" i="10"/>
  <c r="X37" i="10"/>
  <c r="U37" i="10"/>
  <c r="R37" i="10"/>
  <c r="O37" i="10"/>
  <c r="L37" i="10"/>
  <c r="I37" i="10"/>
  <c r="F37" i="10"/>
  <c r="X36" i="10"/>
  <c r="U36" i="10"/>
  <c r="R36" i="10"/>
  <c r="O36" i="10"/>
  <c r="L36" i="10"/>
  <c r="I36" i="10"/>
  <c r="F36" i="10"/>
  <c r="X35" i="10"/>
  <c r="U35" i="10"/>
  <c r="R35" i="10"/>
  <c r="O35" i="10"/>
  <c r="L35" i="10"/>
  <c r="I35" i="10"/>
  <c r="F35" i="10"/>
  <c r="X34" i="10"/>
  <c r="U34" i="10"/>
  <c r="R34" i="10"/>
  <c r="O34" i="10"/>
  <c r="L34" i="10"/>
  <c r="I34" i="10"/>
  <c r="F34" i="10"/>
  <c r="X33" i="10"/>
  <c r="U33" i="10"/>
  <c r="R33" i="10"/>
  <c r="O33" i="10"/>
  <c r="L33" i="10"/>
  <c r="I33" i="10"/>
  <c r="F33" i="10"/>
  <c r="X32" i="10"/>
  <c r="U32" i="10"/>
  <c r="R32" i="10"/>
  <c r="O32" i="10"/>
  <c r="L32" i="10"/>
  <c r="I32" i="10"/>
  <c r="F32" i="10"/>
  <c r="X31" i="10"/>
  <c r="U31" i="10"/>
  <c r="R31" i="10"/>
  <c r="O31" i="10"/>
  <c r="L31" i="10"/>
  <c r="I31" i="10"/>
  <c r="F31" i="10"/>
  <c r="X30" i="10"/>
  <c r="U30" i="10"/>
  <c r="R30" i="10"/>
  <c r="O30" i="10"/>
  <c r="L30" i="10"/>
  <c r="I30" i="10"/>
  <c r="F30" i="10"/>
  <c r="X29" i="10"/>
  <c r="U29" i="10"/>
  <c r="R29" i="10"/>
  <c r="O29" i="10"/>
  <c r="L29" i="10"/>
  <c r="I29" i="10"/>
  <c r="F29" i="10"/>
  <c r="X28" i="10"/>
  <c r="U28" i="10"/>
  <c r="R28" i="10"/>
  <c r="O28" i="10"/>
  <c r="L28" i="10"/>
  <c r="I28" i="10"/>
  <c r="F28" i="10"/>
  <c r="X27" i="10"/>
  <c r="U27" i="10"/>
  <c r="R27" i="10"/>
  <c r="O27" i="10"/>
  <c r="L27" i="10"/>
  <c r="I27" i="10"/>
  <c r="F27" i="10"/>
  <c r="X26" i="10"/>
  <c r="U26" i="10"/>
  <c r="R26" i="10"/>
  <c r="O26" i="10"/>
  <c r="L26" i="10"/>
  <c r="I26" i="10"/>
  <c r="F26" i="10"/>
  <c r="X25" i="10"/>
  <c r="U25" i="10"/>
  <c r="R25" i="10"/>
  <c r="O25" i="10"/>
  <c r="L25" i="10"/>
  <c r="I25" i="10"/>
  <c r="F25" i="10"/>
  <c r="X24" i="10"/>
  <c r="U24" i="10"/>
  <c r="R24" i="10"/>
  <c r="O24" i="10"/>
  <c r="L24" i="10"/>
  <c r="I24" i="10"/>
  <c r="F24" i="10"/>
  <c r="X23" i="10"/>
  <c r="U23" i="10"/>
  <c r="R23" i="10"/>
  <c r="O23" i="10"/>
  <c r="L23" i="10"/>
  <c r="I23" i="10"/>
  <c r="F23" i="10"/>
  <c r="Z23" i="10" s="1"/>
  <c r="AC23" i="10" s="1"/>
  <c r="AG23" i="10" s="1"/>
  <c r="X22" i="10"/>
  <c r="U22" i="10"/>
  <c r="R22" i="10"/>
  <c r="O22" i="10"/>
  <c r="L22" i="10"/>
  <c r="I22" i="10"/>
  <c r="F22" i="10"/>
  <c r="X21" i="10"/>
  <c r="U21" i="10"/>
  <c r="R21" i="10"/>
  <c r="O21" i="10"/>
  <c r="L21" i="10"/>
  <c r="I21" i="10"/>
  <c r="F21" i="10"/>
  <c r="X20" i="10"/>
  <c r="U20" i="10"/>
  <c r="R20" i="10"/>
  <c r="O20" i="10"/>
  <c r="L20" i="10"/>
  <c r="I20" i="10"/>
  <c r="F20" i="10"/>
  <c r="X19" i="10"/>
  <c r="U19" i="10"/>
  <c r="R19" i="10"/>
  <c r="O19" i="10"/>
  <c r="L19" i="10"/>
  <c r="I19" i="10"/>
  <c r="F19" i="10"/>
  <c r="X18" i="10"/>
  <c r="U18" i="10"/>
  <c r="R18" i="10"/>
  <c r="O18" i="10"/>
  <c r="L18" i="10"/>
  <c r="I18" i="10"/>
  <c r="F18" i="10"/>
  <c r="X17" i="10"/>
  <c r="U17" i="10"/>
  <c r="R17" i="10"/>
  <c r="O17" i="10"/>
  <c r="L17" i="10"/>
  <c r="I17" i="10"/>
  <c r="F17" i="10"/>
  <c r="X16" i="10"/>
  <c r="U16" i="10"/>
  <c r="R16" i="10"/>
  <c r="O16" i="10"/>
  <c r="L16" i="10"/>
  <c r="I16" i="10"/>
  <c r="F16" i="10"/>
  <c r="X15" i="10"/>
  <c r="U15" i="10"/>
  <c r="R15" i="10"/>
  <c r="O15" i="10"/>
  <c r="L15" i="10"/>
  <c r="I15" i="10"/>
  <c r="F15" i="10"/>
  <c r="X14" i="10"/>
  <c r="U14" i="10"/>
  <c r="R14" i="10"/>
  <c r="O14" i="10"/>
  <c r="L14" i="10"/>
  <c r="I14" i="10"/>
  <c r="F14" i="10"/>
  <c r="Z14" i="10" s="1"/>
  <c r="AC14" i="10" s="1"/>
  <c r="AG14" i="10" s="1"/>
  <c r="X13" i="10"/>
  <c r="U13" i="10"/>
  <c r="R13" i="10"/>
  <c r="O13" i="10"/>
  <c r="L13" i="10"/>
  <c r="I13" i="10"/>
  <c r="F13" i="10"/>
  <c r="X12" i="10"/>
  <c r="U12" i="10"/>
  <c r="R12" i="10"/>
  <c r="O12" i="10"/>
  <c r="L12" i="10"/>
  <c r="I12" i="10"/>
  <c r="F12" i="10"/>
  <c r="X11" i="10"/>
  <c r="U11" i="10"/>
  <c r="R11" i="10"/>
  <c r="O11" i="10"/>
  <c r="L11" i="10"/>
  <c r="I11" i="10"/>
  <c r="F11" i="10"/>
  <c r="X10" i="10"/>
  <c r="U10" i="10"/>
  <c r="R10" i="10"/>
  <c r="O10" i="10"/>
  <c r="L10" i="10"/>
  <c r="I10" i="10"/>
  <c r="F10" i="10"/>
  <c r="X9" i="10"/>
  <c r="U9" i="10"/>
  <c r="R9" i="10"/>
  <c r="O9" i="10"/>
  <c r="L9" i="10"/>
  <c r="I9" i="10"/>
  <c r="F9" i="10"/>
  <c r="X8" i="10"/>
  <c r="U8" i="10"/>
  <c r="R8" i="10"/>
  <c r="O8" i="10"/>
  <c r="L8" i="10"/>
  <c r="I8" i="10"/>
  <c r="F8" i="10"/>
  <c r="X7" i="10"/>
  <c r="U7" i="10"/>
  <c r="R7" i="10"/>
  <c r="O7" i="10"/>
  <c r="L7" i="10"/>
  <c r="I7" i="10"/>
  <c r="F7" i="10"/>
  <c r="Z7" i="10" s="1"/>
  <c r="AC7" i="10" s="1"/>
  <c r="AG7" i="10" s="1"/>
  <c r="X6" i="10"/>
  <c r="U6" i="10"/>
  <c r="R6" i="10"/>
  <c r="O6" i="10"/>
  <c r="L6" i="10"/>
  <c r="I6" i="10"/>
  <c r="F6" i="10"/>
  <c r="X5" i="10"/>
  <c r="U5" i="10"/>
  <c r="R5" i="10"/>
  <c r="O5" i="10"/>
  <c r="L5" i="10"/>
  <c r="I5" i="10"/>
  <c r="F5" i="10"/>
  <c r="X4" i="10"/>
  <c r="U4" i="10"/>
  <c r="R4" i="10"/>
  <c r="O4" i="10"/>
  <c r="L4" i="10"/>
  <c r="I4" i="10"/>
  <c r="F4" i="10"/>
  <c r="Z5" i="9"/>
  <c r="Z7" i="9"/>
  <c r="Z13" i="9"/>
  <c r="Z14" i="9"/>
  <c r="Z15" i="9"/>
  <c r="Z16" i="9"/>
  <c r="Z17" i="9"/>
  <c r="Z21" i="9"/>
  <c r="Z29" i="9"/>
  <c r="Z30" i="9"/>
  <c r="Z31" i="9"/>
  <c r="Z32" i="9"/>
  <c r="Z33" i="9"/>
  <c r="Z37" i="9"/>
  <c r="AC37" i="9" s="1"/>
  <c r="AG37" i="9" s="1"/>
  <c r="Z39" i="9"/>
  <c r="Z45" i="9"/>
  <c r="Z46" i="9"/>
  <c r="Z47" i="9"/>
  <c r="Z48" i="9"/>
  <c r="Z49" i="9"/>
  <c r="Z53" i="9"/>
  <c r="AC53" i="9" s="1"/>
  <c r="AG53" i="9" s="1"/>
  <c r="Z55" i="9"/>
  <c r="Z61" i="9"/>
  <c r="Z62" i="9"/>
  <c r="Z63" i="9"/>
  <c r="Z64" i="9"/>
  <c r="Z65" i="9"/>
  <c r="Z69" i="9"/>
  <c r="AC69" i="9" s="1"/>
  <c r="AG69" i="9" s="1"/>
  <c r="Z71" i="9"/>
  <c r="Z77" i="9"/>
  <c r="Z78" i="9"/>
  <c r="Z79" i="9"/>
  <c r="Z80" i="9"/>
  <c r="Z81" i="9"/>
  <c r="Z85" i="9"/>
  <c r="Z87" i="9"/>
  <c r="Z93" i="9"/>
  <c r="Z94" i="9"/>
  <c r="Z95" i="9"/>
  <c r="Z96" i="9"/>
  <c r="Z97" i="9"/>
  <c r="E100" i="9"/>
  <c r="G100" i="9"/>
  <c r="H100" i="9"/>
  <c r="J100" i="9"/>
  <c r="K100" i="9"/>
  <c r="M100" i="9"/>
  <c r="N100" i="9"/>
  <c r="P100" i="9"/>
  <c r="Q100" i="9"/>
  <c r="S100" i="9"/>
  <c r="T100" i="9"/>
  <c r="V100" i="9"/>
  <c r="W100" i="9"/>
  <c r="Y100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4" i="9"/>
  <c r="X100" i="9" s="1"/>
  <c r="U99" i="9"/>
  <c r="U5" i="9"/>
  <c r="U6" i="9"/>
  <c r="U7" i="9"/>
  <c r="U8" i="9"/>
  <c r="U100" i="9" s="1"/>
  <c r="U9" i="9"/>
  <c r="U10" i="9"/>
  <c r="U11" i="9"/>
  <c r="U12" i="9"/>
  <c r="U13" i="9"/>
  <c r="U14" i="9"/>
  <c r="U15" i="9"/>
  <c r="U16" i="9"/>
  <c r="U17" i="9"/>
  <c r="U18" i="9"/>
  <c r="U19" i="9"/>
  <c r="Z19" i="9" s="1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4" i="9"/>
  <c r="R100" i="9" s="1"/>
  <c r="O5" i="9"/>
  <c r="O6" i="9"/>
  <c r="O7" i="9"/>
  <c r="O8" i="9"/>
  <c r="O9" i="9"/>
  <c r="O10" i="9"/>
  <c r="O100" i="9" s="1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4" i="9"/>
  <c r="L5" i="9"/>
  <c r="L100" i="9" s="1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4" i="9"/>
  <c r="I100" i="9" s="1"/>
  <c r="F5" i="9"/>
  <c r="F6" i="9"/>
  <c r="Z6" i="9" s="1"/>
  <c r="AC6" i="9" s="1"/>
  <c r="AG6" i="9" s="1"/>
  <c r="F7" i="9"/>
  <c r="F8" i="9"/>
  <c r="Z8" i="9" s="1"/>
  <c r="F9" i="9"/>
  <c r="F10" i="9"/>
  <c r="F11" i="9"/>
  <c r="F12" i="9"/>
  <c r="Z12" i="9" s="1"/>
  <c r="F13" i="9"/>
  <c r="F14" i="9"/>
  <c r="F15" i="9"/>
  <c r="F16" i="9"/>
  <c r="F17" i="9"/>
  <c r="F18" i="9"/>
  <c r="Z18" i="9" s="1"/>
  <c r="F19" i="9"/>
  <c r="F20" i="9"/>
  <c r="Z20" i="9" s="1"/>
  <c r="F21" i="9"/>
  <c r="F22" i="9"/>
  <c r="Z22" i="9" s="1"/>
  <c r="AC22" i="9" s="1"/>
  <c r="AG22" i="9" s="1"/>
  <c r="F23" i="9"/>
  <c r="Z23" i="9" s="1"/>
  <c r="AC23" i="9" s="1"/>
  <c r="AG23" i="9" s="1"/>
  <c r="F24" i="9"/>
  <c r="Z24" i="9" s="1"/>
  <c r="F25" i="9"/>
  <c r="Z25" i="9" s="1"/>
  <c r="F26" i="9"/>
  <c r="Z26" i="9" s="1"/>
  <c r="F27" i="9"/>
  <c r="F28" i="9"/>
  <c r="F29" i="9"/>
  <c r="F30" i="9"/>
  <c r="F31" i="9"/>
  <c r="F32" i="9"/>
  <c r="F33" i="9"/>
  <c r="F34" i="9"/>
  <c r="Z34" i="9" s="1"/>
  <c r="F35" i="9"/>
  <c r="Z35" i="9" s="1"/>
  <c r="F36" i="9"/>
  <c r="Z36" i="9" s="1"/>
  <c r="F37" i="9"/>
  <c r="F38" i="9"/>
  <c r="Z38" i="9" s="1"/>
  <c r="AC38" i="9" s="1"/>
  <c r="AG38" i="9" s="1"/>
  <c r="F39" i="9"/>
  <c r="F40" i="9"/>
  <c r="Z40" i="9" s="1"/>
  <c r="F41" i="9"/>
  <c r="Z41" i="9" s="1"/>
  <c r="F42" i="9"/>
  <c r="F43" i="9"/>
  <c r="F44" i="9"/>
  <c r="Z44" i="9" s="1"/>
  <c r="F45" i="9"/>
  <c r="F46" i="9"/>
  <c r="F47" i="9"/>
  <c r="F48" i="9"/>
  <c r="F49" i="9"/>
  <c r="F50" i="9"/>
  <c r="Z50" i="9" s="1"/>
  <c r="F51" i="9"/>
  <c r="Z51" i="9" s="1"/>
  <c r="F52" i="9"/>
  <c r="Z52" i="9" s="1"/>
  <c r="F53" i="9"/>
  <c r="F54" i="9"/>
  <c r="Z54" i="9" s="1"/>
  <c r="AC54" i="9" s="1"/>
  <c r="AG54" i="9" s="1"/>
  <c r="F55" i="9"/>
  <c r="F56" i="9"/>
  <c r="Z56" i="9" s="1"/>
  <c r="F57" i="9"/>
  <c r="Z57" i="9" s="1"/>
  <c r="AC57" i="9" s="1"/>
  <c r="AG57" i="9" s="1"/>
  <c r="F58" i="9"/>
  <c r="Z58" i="9" s="1"/>
  <c r="F59" i="9"/>
  <c r="Z59" i="9" s="1"/>
  <c r="AC59" i="9" s="1"/>
  <c r="AG59" i="9" s="1"/>
  <c r="F60" i="9"/>
  <c r="Z60" i="9" s="1"/>
  <c r="F61" i="9"/>
  <c r="F62" i="9"/>
  <c r="F63" i="9"/>
  <c r="F64" i="9"/>
  <c r="F65" i="9"/>
  <c r="F66" i="9"/>
  <c r="Z66" i="9" s="1"/>
  <c r="F67" i="9"/>
  <c r="Z67" i="9" s="1"/>
  <c r="F68" i="9"/>
  <c r="Z68" i="9" s="1"/>
  <c r="F69" i="9"/>
  <c r="F70" i="9"/>
  <c r="Z70" i="9" s="1"/>
  <c r="AC70" i="9" s="1"/>
  <c r="AG70" i="9" s="1"/>
  <c r="F71" i="9"/>
  <c r="F72" i="9"/>
  <c r="Z72" i="9" s="1"/>
  <c r="F73" i="9"/>
  <c r="Z73" i="9" s="1"/>
  <c r="F74" i="9"/>
  <c r="Z74" i="9" s="1"/>
  <c r="AC74" i="9" s="1"/>
  <c r="AG74" i="9" s="1"/>
  <c r="F75" i="9"/>
  <c r="Z75" i="9" s="1"/>
  <c r="AC75" i="9" s="1"/>
  <c r="AG75" i="9" s="1"/>
  <c r="F76" i="9"/>
  <c r="F77" i="9"/>
  <c r="F78" i="9"/>
  <c r="F79" i="9"/>
  <c r="F80" i="9"/>
  <c r="F81" i="9"/>
  <c r="F82" i="9"/>
  <c r="Z82" i="9" s="1"/>
  <c r="F83" i="9"/>
  <c r="Z83" i="9" s="1"/>
  <c r="F84" i="9"/>
  <c r="Z84" i="9" s="1"/>
  <c r="F85" i="9"/>
  <c r="F86" i="9"/>
  <c r="Z86" i="9" s="1"/>
  <c r="AC86" i="9" s="1"/>
  <c r="AG86" i="9" s="1"/>
  <c r="F87" i="9"/>
  <c r="F88" i="9"/>
  <c r="Z88" i="9" s="1"/>
  <c r="F89" i="9"/>
  <c r="Z89" i="9" s="1"/>
  <c r="F90" i="9"/>
  <c r="Z90" i="9" s="1"/>
  <c r="F91" i="9"/>
  <c r="F92" i="9"/>
  <c r="F93" i="9"/>
  <c r="F94" i="9"/>
  <c r="F95" i="9"/>
  <c r="F96" i="9"/>
  <c r="F97" i="9"/>
  <c r="F98" i="9"/>
  <c r="Z98" i="9" s="1"/>
  <c r="F99" i="9"/>
  <c r="Z99" i="9" s="1"/>
  <c r="F4" i="9"/>
  <c r="AD100" i="9"/>
  <c r="AB100" i="9"/>
  <c r="AA100" i="9"/>
  <c r="D100" i="9"/>
  <c r="AC87" i="9"/>
  <c r="AG87" i="9" s="1"/>
  <c r="AC85" i="9"/>
  <c r="AG85" i="9" s="1"/>
  <c r="AC55" i="9"/>
  <c r="AG55" i="9" s="1"/>
  <c r="AC21" i="9"/>
  <c r="AG21" i="9" s="1"/>
  <c r="AC7" i="9"/>
  <c r="AG7" i="9" s="1"/>
  <c r="AC5" i="9"/>
  <c r="AG5" i="9" s="1"/>
  <c r="Z89" i="19" l="1"/>
  <c r="Z78" i="19"/>
  <c r="Z19" i="19"/>
  <c r="Z57" i="19"/>
  <c r="Z63" i="19"/>
  <c r="Z48" i="19"/>
  <c r="Z9" i="10"/>
  <c r="AC9" i="10" s="1"/>
  <c r="AG9" i="10" s="1"/>
  <c r="Z25" i="10"/>
  <c r="AC25" i="10" s="1"/>
  <c r="AG25" i="10" s="1"/>
  <c r="Z57" i="10"/>
  <c r="AC57" i="10" s="1"/>
  <c r="AG57" i="10" s="1"/>
  <c r="Z89" i="10"/>
  <c r="AC89" i="10" s="1"/>
  <c r="AG89" i="10" s="1"/>
  <c r="AC76" i="9"/>
  <c r="AG76" i="9" s="1"/>
  <c r="AC27" i="9"/>
  <c r="AG27" i="9" s="1"/>
  <c r="Z56" i="19"/>
  <c r="Z74" i="19"/>
  <c r="AC28" i="9"/>
  <c r="AG28" i="9" s="1"/>
  <c r="AC10" i="9"/>
  <c r="AG10" i="9" s="1"/>
  <c r="AC71" i="9"/>
  <c r="AG71" i="9" s="1"/>
  <c r="Z92" i="9"/>
  <c r="AC92" i="9" s="1"/>
  <c r="AG92" i="9" s="1"/>
  <c r="Z76" i="9"/>
  <c r="Z28" i="9"/>
  <c r="Z28" i="10"/>
  <c r="AC28" i="10" s="1"/>
  <c r="AG28" i="10" s="1"/>
  <c r="Z44" i="10"/>
  <c r="AC44" i="10" s="1"/>
  <c r="AG44" i="10" s="1"/>
  <c r="Z60" i="10"/>
  <c r="AC60" i="10" s="1"/>
  <c r="AG60" i="10" s="1"/>
  <c r="Z76" i="10"/>
  <c r="AC76" i="10" s="1"/>
  <c r="AG76" i="10" s="1"/>
  <c r="Z92" i="10"/>
  <c r="AC92" i="10" s="1"/>
  <c r="AG92" i="10" s="1"/>
  <c r="Z91" i="9"/>
  <c r="AC91" i="9" s="1"/>
  <c r="AG91" i="9" s="1"/>
  <c r="Z43" i="9"/>
  <c r="AC43" i="9" s="1"/>
  <c r="AG43" i="9" s="1"/>
  <c r="Z27" i="9"/>
  <c r="Z11" i="9"/>
  <c r="AC11" i="9" s="1"/>
  <c r="AG11" i="9" s="1"/>
  <c r="Z19" i="10"/>
  <c r="AC19" i="10" s="1"/>
  <c r="AG19" i="10" s="1"/>
  <c r="Z51" i="10"/>
  <c r="AC51" i="10" s="1"/>
  <c r="AG51" i="10" s="1"/>
  <c r="Z99" i="10"/>
  <c r="AC99" i="10" s="1"/>
  <c r="AG99" i="10" s="1"/>
  <c r="Z9" i="9"/>
  <c r="Z100" i="9" s="1"/>
  <c r="Z10" i="9"/>
  <c r="Z17" i="10"/>
  <c r="AC17" i="10" s="1"/>
  <c r="AG17" i="10" s="1"/>
  <c r="Z49" i="10"/>
  <c r="AC49" i="10" s="1"/>
  <c r="AG49" i="10" s="1"/>
  <c r="AC12" i="9"/>
  <c r="AG12" i="9" s="1"/>
  <c r="Z55" i="19"/>
  <c r="Z25" i="19"/>
  <c r="Z42" i="9"/>
  <c r="AC42" i="9" s="1"/>
  <c r="AG42" i="9" s="1"/>
  <c r="Z15" i="10"/>
  <c r="AC15" i="10" s="1"/>
  <c r="AG15" i="10" s="1"/>
  <c r="F100" i="9"/>
  <c r="Z7" i="19"/>
  <c r="AC60" i="9"/>
  <c r="AG60" i="9" s="1"/>
  <c r="AC89" i="9"/>
  <c r="AG89" i="9" s="1"/>
  <c r="Z59" i="19"/>
  <c r="Z65" i="19"/>
  <c r="Z86" i="19"/>
  <c r="Z4" i="9"/>
  <c r="AC4" i="9" s="1"/>
  <c r="AG4" i="9" s="1"/>
  <c r="AC62" i="9"/>
  <c r="AG62" i="9" s="1"/>
  <c r="AC46" i="9"/>
  <c r="AG46" i="9" s="1"/>
  <c r="AC30" i="9"/>
  <c r="AG30" i="9" s="1"/>
  <c r="AC13" i="9"/>
  <c r="AG13" i="9" s="1"/>
  <c r="Z11" i="10"/>
  <c r="AC11" i="10" s="1"/>
  <c r="AG11" i="10" s="1"/>
  <c r="Z56" i="10"/>
  <c r="AC56" i="10" s="1"/>
  <c r="AG56" i="10" s="1"/>
  <c r="Z66" i="10"/>
  <c r="AC66" i="10" s="1"/>
  <c r="AG66" i="10" s="1"/>
  <c r="Z82" i="10"/>
  <c r="AC82" i="10" s="1"/>
  <c r="AG82" i="10" s="1"/>
  <c r="Z98" i="10"/>
  <c r="AC98" i="10" s="1"/>
  <c r="AG98" i="10" s="1"/>
  <c r="Z16" i="19"/>
  <c r="Z67" i="19"/>
  <c r="Z20" i="19"/>
  <c r="Z21" i="19"/>
  <c r="Z70" i="19"/>
  <c r="Z45" i="19"/>
  <c r="Z44" i="19"/>
  <c r="Z23" i="19"/>
  <c r="Z40" i="19"/>
  <c r="Z51" i="19"/>
  <c r="Z66" i="19"/>
  <c r="Z69" i="19"/>
  <c r="Z83" i="19"/>
  <c r="Z88" i="19"/>
  <c r="Z11" i="19"/>
  <c r="Z43" i="19"/>
  <c r="Z98" i="19"/>
  <c r="Z87" i="19"/>
  <c r="Z81" i="19"/>
  <c r="Z79" i="19"/>
  <c r="Z64" i="19"/>
  <c r="Z60" i="19"/>
  <c r="Z30" i="19"/>
  <c r="Z34" i="19"/>
  <c r="Z35" i="19"/>
  <c r="Z22" i="19"/>
  <c r="Z24" i="19"/>
  <c r="Z6" i="19"/>
  <c r="Z8" i="19"/>
  <c r="R100" i="19"/>
  <c r="Z72" i="19"/>
  <c r="Z71" i="19"/>
  <c r="Z75" i="19"/>
  <c r="L100" i="19"/>
  <c r="Z96" i="19"/>
  <c r="Z97" i="19"/>
  <c r="Z85" i="19"/>
  <c r="Z84" i="19"/>
  <c r="Z80" i="19"/>
  <c r="Z73" i="19"/>
  <c r="Z39" i="19"/>
  <c r="Z31" i="19"/>
  <c r="Z29" i="19"/>
  <c r="Z37" i="19"/>
  <c r="Z33" i="19"/>
  <c r="Z38" i="19"/>
  <c r="Z76" i="19"/>
  <c r="Z53" i="19"/>
  <c r="Z5" i="19"/>
  <c r="Z27" i="19"/>
  <c r="Z32" i="19"/>
  <c r="Z95" i="19"/>
  <c r="Z68" i="19"/>
  <c r="I100" i="19"/>
  <c r="Z61" i="19"/>
  <c r="F100" i="19"/>
  <c r="Z91" i="19"/>
  <c r="Z90" i="19"/>
  <c r="Z93" i="19"/>
  <c r="Z99" i="19"/>
  <c r="Z92" i="19"/>
  <c r="Z36" i="19"/>
  <c r="Z77" i="19"/>
  <c r="Z28" i="19"/>
  <c r="Z4" i="19"/>
  <c r="Z73" i="10"/>
  <c r="AC73" i="10" s="1"/>
  <c r="AG73" i="10" s="1"/>
  <c r="Z81" i="10"/>
  <c r="AC81" i="10" s="1"/>
  <c r="AG81" i="10" s="1"/>
  <c r="Z87" i="10"/>
  <c r="AC87" i="10" s="1"/>
  <c r="AG87" i="10" s="1"/>
  <c r="Z94" i="10"/>
  <c r="AC94" i="10" s="1"/>
  <c r="AG94" i="10" s="1"/>
  <c r="Z90" i="10"/>
  <c r="AC90" i="10" s="1"/>
  <c r="AG90" i="10" s="1"/>
  <c r="Z97" i="10"/>
  <c r="AC97" i="10" s="1"/>
  <c r="AG97" i="10" s="1"/>
  <c r="Z95" i="10"/>
  <c r="AC95" i="10" s="1"/>
  <c r="AG95" i="10" s="1"/>
  <c r="Z71" i="10"/>
  <c r="AC71" i="10" s="1"/>
  <c r="AG71" i="10" s="1"/>
  <c r="Z74" i="10"/>
  <c r="AC74" i="10" s="1"/>
  <c r="AG74" i="10" s="1"/>
  <c r="Z65" i="10"/>
  <c r="AC65" i="10" s="1"/>
  <c r="AG65" i="10" s="1"/>
  <c r="Z39" i="10"/>
  <c r="AC39" i="10" s="1"/>
  <c r="AG39" i="10" s="1"/>
  <c r="Z40" i="10"/>
  <c r="AC40" i="10" s="1"/>
  <c r="AG40" i="10" s="1"/>
  <c r="Z30" i="10"/>
  <c r="AC30" i="10" s="1"/>
  <c r="AG30" i="10" s="1"/>
  <c r="Z35" i="10"/>
  <c r="AC35" i="10" s="1"/>
  <c r="AG35" i="10" s="1"/>
  <c r="Z33" i="10"/>
  <c r="AC33" i="10" s="1"/>
  <c r="AG33" i="10" s="1"/>
  <c r="Z31" i="10"/>
  <c r="AC31" i="10" s="1"/>
  <c r="AG31" i="10" s="1"/>
  <c r="Z38" i="10"/>
  <c r="AC38" i="10" s="1"/>
  <c r="AG38" i="10" s="1"/>
  <c r="Z24" i="10"/>
  <c r="AC24" i="10" s="1"/>
  <c r="AG24" i="10" s="1"/>
  <c r="Z22" i="10"/>
  <c r="AC22" i="10" s="1"/>
  <c r="AG22" i="10" s="1"/>
  <c r="Z8" i="10"/>
  <c r="AC8" i="10" s="1"/>
  <c r="AG8" i="10" s="1"/>
  <c r="X100" i="10"/>
  <c r="U100" i="10"/>
  <c r="Z6" i="10"/>
  <c r="AC6" i="10" s="1"/>
  <c r="AG6" i="10" s="1"/>
  <c r="Z41" i="10"/>
  <c r="AC41" i="10" s="1"/>
  <c r="AG41" i="10" s="1"/>
  <c r="Z47" i="10"/>
  <c r="AC47" i="10" s="1"/>
  <c r="AG47" i="10" s="1"/>
  <c r="Z12" i="10"/>
  <c r="AC12" i="10" s="1"/>
  <c r="AG12" i="10" s="1"/>
  <c r="Z100" i="18"/>
  <c r="AC100" i="18"/>
  <c r="AG100" i="18" s="1"/>
  <c r="AG4" i="18"/>
  <c r="AC4" i="17"/>
  <c r="Z100" i="17"/>
  <c r="AC4" i="16"/>
  <c r="Z100" i="16"/>
  <c r="AG4" i="15"/>
  <c r="AC100" i="14"/>
  <c r="AG100" i="14" s="1"/>
  <c r="AG4" i="14"/>
  <c r="Z100" i="14"/>
  <c r="AC4" i="13"/>
  <c r="Z100" i="13"/>
  <c r="AC4" i="12"/>
  <c r="Z100" i="12"/>
  <c r="Z100" i="11"/>
  <c r="AC100" i="11"/>
  <c r="AG100" i="11" s="1"/>
  <c r="AG4" i="11"/>
  <c r="Z63" i="10"/>
  <c r="AC63" i="10" s="1"/>
  <c r="AG63" i="10" s="1"/>
  <c r="Z79" i="10"/>
  <c r="AC79" i="10" s="1"/>
  <c r="AG79" i="10" s="1"/>
  <c r="Z54" i="10"/>
  <c r="AC54" i="10" s="1"/>
  <c r="AG54" i="10" s="1"/>
  <c r="Z70" i="10"/>
  <c r="AC70" i="10" s="1"/>
  <c r="AG70" i="10" s="1"/>
  <c r="Z86" i="10"/>
  <c r="AC86" i="10" s="1"/>
  <c r="AG86" i="10" s="1"/>
  <c r="O100" i="10"/>
  <c r="L100" i="10"/>
  <c r="Z13" i="10"/>
  <c r="AC13" i="10" s="1"/>
  <c r="AG13" i="10" s="1"/>
  <c r="Z29" i="10"/>
  <c r="AC29" i="10" s="1"/>
  <c r="AG29" i="10" s="1"/>
  <c r="Z45" i="10"/>
  <c r="AC45" i="10" s="1"/>
  <c r="AG45" i="10" s="1"/>
  <c r="Z61" i="10"/>
  <c r="AC61" i="10" s="1"/>
  <c r="AG61" i="10" s="1"/>
  <c r="Z4" i="10"/>
  <c r="AC4" i="10" s="1"/>
  <c r="Z20" i="10"/>
  <c r="AC20" i="10" s="1"/>
  <c r="AG20" i="10" s="1"/>
  <c r="Z36" i="10"/>
  <c r="AC36" i="10" s="1"/>
  <c r="AG36" i="10" s="1"/>
  <c r="Z52" i="10"/>
  <c r="AC52" i="10" s="1"/>
  <c r="AG52" i="10" s="1"/>
  <c r="Z68" i="10"/>
  <c r="AC68" i="10" s="1"/>
  <c r="AG68" i="10" s="1"/>
  <c r="Z84" i="10"/>
  <c r="AC84" i="10" s="1"/>
  <c r="AG84" i="10" s="1"/>
  <c r="Z18" i="10"/>
  <c r="AC18" i="10" s="1"/>
  <c r="AG18" i="10" s="1"/>
  <c r="Z34" i="10"/>
  <c r="AC34" i="10" s="1"/>
  <c r="AG34" i="10" s="1"/>
  <c r="Z50" i="10"/>
  <c r="AC50" i="10" s="1"/>
  <c r="AG50" i="10" s="1"/>
  <c r="Z75" i="10"/>
  <c r="AC75" i="10" s="1"/>
  <c r="AG75" i="10" s="1"/>
  <c r="Z91" i="10"/>
  <c r="AC91" i="10" s="1"/>
  <c r="AG91" i="10" s="1"/>
  <c r="Z64" i="10"/>
  <c r="AC64" i="10" s="1"/>
  <c r="AG64" i="10" s="1"/>
  <c r="Z80" i="10"/>
  <c r="AC80" i="10" s="1"/>
  <c r="AG80" i="10" s="1"/>
  <c r="Z96" i="10"/>
  <c r="AC96" i="10" s="1"/>
  <c r="AG96" i="10" s="1"/>
  <c r="Z69" i="10"/>
  <c r="AC69" i="10" s="1"/>
  <c r="AG69" i="10" s="1"/>
  <c r="Z85" i="10"/>
  <c r="AC85" i="10" s="1"/>
  <c r="AG85" i="10" s="1"/>
  <c r="Z16" i="10"/>
  <c r="AC16" i="10" s="1"/>
  <c r="AG16" i="10" s="1"/>
  <c r="Z32" i="10"/>
  <c r="AC32" i="10" s="1"/>
  <c r="AG32" i="10" s="1"/>
  <c r="Z48" i="10"/>
  <c r="AC48" i="10" s="1"/>
  <c r="AG48" i="10" s="1"/>
  <c r="Z5" i="10"/>
  <c r="AC5" i="10" s="1"/>
  <c r="AG5" i="10" s="1"/>
  <c r="Z21" i="10"/>
  <c r="AC21" i="10" s="1"/>
  <c r="AG21" i="10" s="1"/>
  <c r="Z37" i="10"/>
  <c r="AC37" i="10" s="1"/>
  <c r="AG37" i="10" s="1"/>
  <c r="Z53" i="10"/>
  <c r="AC53" i="10" s="1"/>
  <c r="AG53" i="10" s="1"/>
  <c r="Z10" i="10"/>
  <c r="AC10" i="10" s="1"/>
  <c r="AG10" i="10" s="1"/>
  <c r="Z26" i="10"/>
  <c r="AC26" i="10" s="1"/>
  <c r="AG26" i="10" s="1"/>
  <c r="Z42" i="10"/>
  <c r="AC42" i="10" s="1"/>
  <c r="AG42" i="10" s="1"/>
  <c r="Z58" i="10"/>
  <c r="AC58" i="10" s="1"/>
  <c r="AG58" i="10" s="1"/>
  <c r="Z67" i="10"/>
  <c r="AC67" i="10" s="1"/>
  <c r="AG67" i="10" s="1"/>
  <c r="Z83" i="10"/>
  <c r="AC83" i="10" s="1"/>
  <c r="AG83" i="10" s="1"/>
  <c r="Z72" i="10"/>
  <c r="AC72" i="10" s="1"/>
  <c r="AG72" i="10" s="1"/>
  <c r="Z88" i="10"/>
  <c r="AC88" i="10" s="1"/>
  <c r="AG88" i="10" s="1"/>
  <c r="I100" i="10"/>
  <c r="Z27" i="10"/>
  <c r="AC27" i="10" s="1"/>
  <c r="AG27" i="10" s="1"/>
  <c r="Z43" i="10"/>
  <c r="AC43" i="10" s="1"/>
  <c r="AG43" i="10" s="1"/>
  <c r="Z59" i="10"/>
  <c r="AC59" i="10" s="1"/>
  <c r="AG59" i="10" s="1"/>
  <c r="Z77" i="10"/>
  <c r="AC77" i="10" s="1"/>
  <c r="AG77" i="10" s="1"/>
  <c r="Z93" i="10"/>
  <c r="AC93" i="10" s="1"/>
  <c r="AG93" i="10" s="1"/>
  <c r="R100" i="10"/>
  <c r="F100" i="10"/>
  <c r="AC84" i="9"/>
  <c r="AG84" i="9" s="1"/>
  <c r="AC68" i="9"/>
  <c r="AG68" i="9" s="1"/>
  <c r="AC52" i="9"/>
  <c r="AG52" i="9" s="1"/>
  <c r="AC36" i="9"/>
  <c r="AG36" i="9" s="1"/>
  <c r="AC20" i="9"/>
  <c r="AG20" i="9" s="1"/>
  <c r="AC97" i="9"/>
  <c r="AG97" i="9" s="1"/>
  <c r="AC81" i="9"/>
  <c r="AG81" i="9" s="1"/>
  <c r="AC33" i="9"/>
  <c r="AG33" i="9" s="1"/>
  <c r="AC96" i="9"/>
  <c r="AG96" i="9" s="1"/>
  <c r="AC80" i="9"/>
  <c r="AG80" i="9" s="1"/>
  <c r="AC64" i="9"/>
  <c r="AG64" i="9" s="1"/>
  <c r="AC48" i="9"/>
  <c r="AG48" i="9" s="1"/>
  <c r="AC16" i="9"/>
  <c r="AG16" i="9" s="1"/>
  <c r="AC18" i="9"/>
  <c r="AG18" i="9" s="1"/>
  <c r="AC25" i="9"/>
  <c r="AG25" i="9" s="1"/>
  <c r="AC35" i="9"/>
  <c r="AG35" i="9" s="1"/>
  <c r="AC79" i="9"/>
  <c r="AG79" i="9" s="1"/>
  <c r="AC47" i="9"/>
  <c r="AG47" i="9" s="1"/>
  <c r="AC31" i="9"/>
  <c r="AG31" i="9" s="1"/>
  <c r="AC63" i="9"/>
  <c r="AG63" i="9" s="1"/>
  <c r="AC93" i="9"/>
  <c r="AG93" i="9" s="1"/>
  <c r="AC61" i="9"/>
  <c r="AG61" i="9" s="1"/>
  <c r="AC45" i="9"/>
  <c r="AG45" i="9" s="1"/>
  <c r="AC29" i="9"/>
  <c r="AG29" i="9" s="1"/>
  <c r="AC34" i="9"/>
  <c r="AG34" i="9" s="1"/>
  <c r="AC82" i="9"/>
  <c r="AG82" i="9" s="1"/>
  <c r="AC72" i="9"/>
  <c r="AG72" i="9" s="1"/>
  <c r="AC40" i="9"/>
  <c r="AG40" i="9" s="1"/>
  <c r="AC50" i="9"/>
  <c r="AG50" i="9" s="1"/>
  <c r="AC73" i="9"/>
  <c r="AG73" i="9" s="1"/>
  <c r="AC39" i="9"/>
  <c r="AG39" i="9" s="1"/>
  <c r="AC77" i="9"/>
  <c r="AG77" i="9" s="1"/>
  <c r="AC44" i="9"/>
  <c r="AG44" i="9" s="1"/>
  <c r="AC99" i="9"/>
  <c r="AG99" i="9" s="1"/>
  <c r="AC83" i="9"/>
  <c r="AG83" i="9" s="1"/>
  <c r="AC41" i="9"/>
  <c r="AG41" i="9" s="1"/>
  <c r="AC66" i="9"/>
  <c r="AG66" i="9" s="1"/>
  <c r="AC32" i="9"/>
  <c r="AG32" i="9" s="1"/>
  <c r="AC51" i="9"/>
  <c r="AG51" i="9" s="1"/>
  <c r="AC90" i="9"/>
  <c r="AG90" i="9" s="1"/>
  <c r="AC58" i="9"/>
  <c r="AG58" i="9" s="1"/>
  <c r="AC26" i="9"/>
  <c r="AG26" i="9" s="1"/>
  <c r="AC88" i="9"/>
  <c r="AG88" i="9" s="1"/>
  <c r="AC56" i="9"/>
  <c r="AG56" i="9" s="1"/>
  <c r="AC24" i="9"/>
  <c r="AG24" i="9" s="1"/>
  <c r="AC67" i="9"/>
  <c r="AG67" i="9" s="1"/>
  <c r="AC98" i="9"/>
  <c r="AG98" i="9" s="1"/>
  <c r="AC19" i="9"/>
  <c r="AG19" i="9" s="1"/>
  <c r="AC17" i="9"/>
  <c r="AG17" i="9" s="1"/>
  <c r="AC65" i="9"/>
  <c r="AG65" i="9" s="1"/>
  <c r="AC94" i="9"/>
  <c r="AG94" i="9" s="1"/>
  <c r="AC95" i="9"/>
  <c r="AG95" i="9" s="1"/>
  <c r="AC78" i="9"/>
  <c r="AG78" i="9" s="1"/>
  <c r="AC14" i="9"/>
  <c r="AG14" i="9" s="1"/>
  <c r="AC8" i="9"/>
  <c r="AG8" i="9" s="1"/>
  <c r="AC49" i="9"/>
  <c r="AG49" i="9" s="1"/>
  <c r="AC15" i="9"/>
  <c r="AG15" i="9" s="1"/>
  <c r="AC9" i="9" l="1"/>
  <c r="AG9" i="9" s="1"/>
  <c r="AI63" i="9"/>
  <c r="AK63" i="9" s="1"/>
  <c r="AC100" i="17"/>
  <c r="AG100" i="17" s="1"/>
  <c r="AG4" i="17"/>
  <c r="AC100" i="16"/>
  <c r="AG100" i="16" s="1"/>
  <c r="AG4" i="16"/>
  <c r="AG4" i="13"/>
  <c r="AC100" i="13"/>
  <c r="AG100" i="13" s="1"/>
  <c r="AC100" i="12"/>
  <c r="AG100" i="12" s="1"/>
  <c r="AG4" i="12"/>
  <c r="Z100" i="10"/>
  <c r="AC100" i="10"/>
  <c r="AG100" i="10" s="1"/>
  <c r="AG4" i="10"/>
  <c r="AC100" i="9"/>
  <c r="AG100" i="9" s="1"/>
  <c r="Z16" i="8"/>
  <c r="Z17" i="8"/>
  <c r="Z18" i="8"/>
  <c r="Z19" i="8"/>
  <c r="Z32" i="8"/>
  <c r="Z33" i="8"/>
  <c r="Z34" i="8"/>
  <c r="Z35" i="8"/>
  <c r="Z48" i="8"/>
  <c r="Z49" i="8"/>
  <c r="Z50" i="8"/>
  <c r="Z51" i="8"/>
  <c r="Z64" i="8"/>
  <c r="Z65" i="8"/>
  <c r="Z66" i="8"/>
  <c r="Z67" i="8"/>
  <c r="Z80" i="8"/>
  <c r="Z81" i="8"/>
  <c r="Z82" i="8"/>
  <c r="Z83" i="8"/>
  <c r="Z96" i="8"/>
  <c r="Z97" i="8"/>
  <c r="Z99" i="8"/>
  <c r="V100" i="8"/>
  <c r="W100" i="8"/>
  <c r="Y100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4" i="8"/>
  <c r="X100" i="8" s="1"/>
  <c r="S100" i="8"/>
  <c r="T100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4" i="8"/>
  <c r="P100" i="8"/>
  <c r="Q100" i="8"/>
  <c r="R5" i="8"/>
  <c r="R6" i="8"/>
  <c r="R7" i="8"/>
  <c r="R8" i="8"/>
  <c r="R9" i="8"/>
  <c r="R10" i="8"/>
  <c r="R11" i="8"/>
  <c r="Z11" i="8" s="1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Z27" i="8" s="1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Z43" i="8" s="1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Z59" i="8" s="1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Z75" i="8" s="1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Z91" i="8" s="1"/>
  <c r="R92" i="8"/>
  <c r="R93" i="8"/>
  <c r="R94" i="8"/>
  <c r="R95" i="8"/>
  <c r="R96" i="8"/>
  <c r="R97" i="8"/>
  <c r="R98" i="8"/>
  <c r="R99" i="8"/>
  <c r="R4" i="8"/>
  <c r="N100" i="8"/>
  <c r="O5" i="8"/>
  <c r="O6" i="8"/>
  <c r="Z6" i="8" s="1"/>
  <c r="O7" i="8"/>
  <c r="O8" i="8"/>
  <c r="Z8" i="8" s="1"/>
  <c r="O9" i="8"/>
  <c r="Z9" i="8" s="1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Z22" i="8" s="1"/>
  <c r="O23" i="8"/>
  <c r="O24" i="8"/>
  <c r="Z24" i="8" s="1"/>
  <c r="O25" i="8"/>
  <c r="Z25" i="8" s="1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Z38" i="8" s="1"/>
  <c r="O39" i="8"/>
  <c r="O40" i="8"/>
  <c r="Z40" i="8" s="1"/>
  <c r="O41" i="8"/>
  <c r="Z41" i="8" s="1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Z54" i="8" s="1"/>
  <c r="O55" i="8"/>
  <c r="O56" i="8"/>
  <c r="Z56" i="8" s="1"/>
  <c r="O57" i="8"/>
  <c r="Z57" i="8" s="1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Z70" i="8" s="1"/>
  <c r="O71" i="8"/>
  <c r="O72" i="8"/>
  <c r="Z72" i="8" s="1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Z86" i="8" s="1"/>
  <c r="O87" i="8"/>
  <c r="O88" i="8"/>
  <c r="Z88" i="8" s="1"/>
  <c r="O89" i="8"/>
  <c r="Z89" i="8" s="1"/>
  <c r="O90" i="8"/>
  <c r="O91" i="8"/>
  <c r="O92" i="8"/>
  <c r="O93" i="8"/>
  <c r="O94" i="8"/>
  <c r="O95" i="8"/>
  <c r="O96" i="8"/>
  <c r="O97" i="8"/>
  <c r="O98" i="8"/>
  <c r="O99" i="8"/>
  <c r="O4" i="8"/>
  <c r="E100" i="8"/>
  <c r="G100" i="8"/>
  <c r="H100" i="8"/>
  <c r="J100" i="8"/>
  <c r="K100" i="8"/>
  <c r="M100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4" i="8"/>
  <c r="F5" i="8"/>
  <c r="Z5" i="8" s="1"/>
  <c r="F6" i="8"/>
  <c r="F7" i="8"/>
  <c r="Z7" i="8" s="1"/>
  <c r="F8" i="8"/>
  <c r="F9" i="8"/>
  <c r="F10" i="8"/>
  <c r="Z10" i="8" s="1"/>
  <c r="F11" i="8"/>
  <c r="F12" i="8"/>
  <c r="Z12" i="8" s="1"/>
  <c r="F13" i="8"/>
  <c r="Z13" i="8" s="1"/>
  <c r="F14" i="8"/>
  <c r="Z14" i="8" s="1"/>
  <c r="F15" i="8"/>
  <c r="Z15" i="8" s="1"/>
  <c r="F16" i="8"/>
  <c r="F17" i="8"/>
  <c r="F18" i="8"/>
  <c r="F19" i="8"/>
  <c r="F20" i="8"/>
  <c r="Z20" i="8" s="1"/>
  <c r="F21" i="8"/>
  <c r="Z21" i="8" s="1"/>
  <c r="F22" i="8"/>
  <c r="F23" i="8"/>
  <c r="Z23" i="8" s="1"/>
  <c r="F24" i="8"/>
  <c r="F25" i="8"/>
  <c r="F26" i="8"/>
  <c r="Z26" i="8" s="1"/>
  <c r="F27" i="8"/>
  <c r="F28" i="8"/>
  <c r="Z28" i="8" s="1"/>
  <c r="F29" i="8"/>
  <c r="Z29" i="8" s="1"/>
  <c r="F30" i="8"/>
  <c r="Z30" i="8" s="1"/>
  <c r="F31" i="8"/>
  <c r="Z31" i="8" s="1"/>
  <c r="F32" i="8"/>
  <c r="F33" i="8"/>
  <c r="F34" i="8"/>
  <c r="F35" i="8"/>
  <c r="F36" i="8"/>
  <c r="Z36" i="8" s="1"/>
  <c r="F37" i="8"/>
  <c r="Z37" i="8" s="1"/>
  <c r="F38" i="8"/>
  <c r="F39" i="8"/>
  <c r="Z39" i="8" s="1"/>
  <c r="F40" i="8"/>
  <c r="F41" i="8"/>
  <c r="F42" i="8"/>
  <c r="Z42" i="8" s="1"/>
  <c r="F43" i="8"/>
  <c r="F44" i="8"/>
  <c r="Z44" i="8" s="1"/>
  <c r="F45" i="8"/>
  <c r="Z45" i="8" s="1"/>
  <c r="F46" i="8"/>
  <c r="Z46" i="8" s="1"/>
  <c r="F47" i="8"/>
  <c r="Z47" i="8" s="1"/>
  <c r="F48" i="8"/>
  <c r="F49" i="8"/>
  <c r="F50" i="8"/>
  <c r="F51" i="8"/>
  <c r="F52" i="8"/>
  <c r="Z52" i="8" s="1"/>
  <c r="F53" i="8"/>
  <c r="Z53" i="8" s="1"/>
  <c r="F54" i="8"/>
  <c r="F55" i="8"/>
  <c r="Z55" i="8" s="1"/>
  <c r="F56" i="8"/>
  <c r="F57" i="8"/>
  <c r="F58" i="8"/>
  <c r="Z58" i="8" s="1"/>
  <c r="F59" i="8"/>
  <c r="F60" i="8"/>
  <c r="Z60" i="8" s="1"/>
  <c r="F61" i="8"/>
  <c r="Z61" i="8" s="1"/>
  <c r="F62" i="8"/>
  <c r="Z62" i="8" s="1"/>
  <c r="F63" i="8"/>
  <c r="Z63" i="8" s="1"/>
  <c r="F64" i="8"/>
  <c r="F65" i="8"/>
  <c r="F66" i="8"/>
  <c r="F67" i="8"/>
  <c r="F68" i="8"/>
  <c r="Z68" i="8" s="1"/>
  <c r="F69" i="8"/>
  <c r="Z69" i="8" s="1"/>
  <c r="F70" i="8"/>
  <c r="F71" i="8"/>
  <c r="Z71" i="8" s="1"/>
  <c r="F72" i="8"/>
  <c r="F73" i="8"/>
  <c r="F74" i="8"/>
  <c r="Z74" i="8" s="1"/>
  <c r="F75" i="8"/>
  <c r="F76" i="8"/>
  <c r="Z76" i="8" s="1"/>
  <c r="F77" i="8"/>
  <c r="Z77" i="8" s="1"/>
  <c r="F78" i="8"/>
  <c r="Z78" i="8" s="1"/>
  <c r="F79" i="8"/>
  <c r="Z79" i="8" s="1"/>
  <c r="F80" i="8"/>
  <c r="F81" i="8"/>
  <c r="F82" i="8"/>
  <c r="F83" i="8"/>
  <c r="F84" i="8"/>
  <c r="Z84" i="8" s="1"/>
  <c r="F85" i="8"/>
  <c r="Z85" i="8" s="1"/>
  <c r="F86" i="8"/>
  <c r="F87" i="8"/>
  <c r="Z87" i="8" s="1"/>
  <c r="F88" i="8"/>
  <c r="F89" i="8"/>
  <c r="F90" i="8"/>
  <c r="Z90" i="8" s="1"/>
  <c r="F91" i="8"/>
  <c r="F92" i="8"/>
  <c r="Z92" i="8" s="1"/>
  <c r="F93" i="8"/>
  <c r="Z93" i="8" s="1"/>
  <c r="F94" i="8"/>
  <c r="Z94" i="8" s="1"/>
  <c r="F95" i="8"/>
  <c r="Z95" i="8" s="1"/>
  <c r="F96" i="8"/>
  <c r="F97" i="8"/>
  <c r="F98" i="8"/>
  <c r="Z98" i="8" s="1"/>
  <c r="F99" i="8"/>
  <c r="F4" i="8"/>
  <c r="F100" i="8" s="1"/>
  <c r="AD100" i="8"/>
  <c r="AB100" i="8"/>
  <c r="AA100" i="8"/>
  <c r="D100" i="8"/>
  <c r="L100" i="8" l="1"/>
  <c r="U100" i="8"/>
  <c r="AC58" i="8"/>
  <c r="Z73" i="8"/>
  <c r="AC73" i="8" s="1"/>
  <c r="AC74" i="8"/>
  <c r="AC85" i="8"/>
  <c r="AC69" i="8"/>
  <c r="AC53" i="8"/>
  <c r="AC37" i="8"/>
  <c r="AC21" i="8"/>
  <c r="AC5" i="8"/>
  <c r="AC60" i="8"/>
  <c r="AC44" i="8"/>
  <c r="Z4" i="8"/>
  <c r="Z100" i="8" s="1"/>
  <c r="AC43" i="8"/>
  <c r="AC27" i="8"/>
  <c r="AC56" i="8"/>
  <c r="AC6" i="8"/>
  <c r="R100" i="8"/>
  <c r="AC25" i="8"/>
  <c r="AC28" i="8"/>
  <c r="AC55" i="8"/>
  <c r="O100" i="8"/>
  <c r="AC93" i="8"/>
  <c r="AC61" i="8"/>
  <c r="AC29" i="8"/>
  <c r="AC13" i="8"/>
  <c r="AC92" i="8"/>
  <c r="AC76" i="8"/>
  <c r="AC12" i="8"/>
  <c r="AC89" i="8"/>
  <c r="AC88" i="8"/>
  <c r="AC72" i="8"/>
  <c r="AC40" i="8"/>
  <c r="AC24" i="8"/>
  <c r="AC8" i="8"/>
  <c r="AC71" i="8"/>
  <c r="AC39" i="8"/>
  <c r="AC23" i="8"/>
  <c r="AC7" i="8"/>
  <c r="AC22" i="8"/>
  <c r="I100" i="8"/>
  <c r="AC82" i="8"/>
  <c r="AC98" i="8"/>
  <c r="AC42" i="8"/>
  <c r="AC41" i="8"/>
  <c r="AC18" i="8"/>
  <c r="AC50" i="8"/>
  <c r="AC77" i="8"/>
  <c r="AC75" i="8"/>
  <c r="AC34" i="8"/>
  <c r="AC66" i="8"/>
  <c r="AC48" i="8"/>
  <c r="AC80" i="8"/>
  <c r="AC16" i="8"/>
  <c r="AC91" i="8"/>
  <c r="AC59" i="8"/>
  <c r="AC32" i="8"/>
  <c r="AC26" i="8"/>
  <c r="AC64" i="8"/>
  <c r="AC87" i="8"/>
  <c r="AC86" i="8"/>
  <c r="AC70" i="8"/>
  <c r="AC54" i="8"/>
  <c r="AC45" i="8"/>
  <c r="AC11" i="8"/>
  <c r="AC90" i="8"/>
  <c r="AC10" i="8"/>
  <c r="AC57" i="8"/>
  <c r="AC9" i="8"/>
  <c r="AC38" i="8"/>
  <c r="AC68" i="8"/>
  <c r="AC99" i="8"/>
  <c r="AC83" i="8"/>
  <c r="AC67" i="8"/>
  <c r="AC51" i="8"/>
  <c r="AC35" i="8"/>
  <c r="AC19" i="8"/>
  <c r="AC36" i="8"/>
  <c r="AC17" i="8"/>
  <c r="AC97" i="8"/>
  <c r="AC15" i="8"/>
  <c r="AC94" i="8"/>
  <c r="AC78" i="8"/>
  <c r="AC62" i="8"/>
  <c r="AC46" i="8"/>
  <c r="AC30" i="8"/>
  <c r="AC14" i="8"/>
  <c r="AC31" i="8"/>
  <c r="AC84" i="8"/>
  <c r="AC81" i="8"/>
  <c r="AC33" i="8"/>
  <c r="AC47" i="8"/>
  <c r="AC96" i="8"/>
  <c r="AC79" i="8"/>
  <c r="AC20" i="8"/>
  <c r="AC65" i="8"/>
  <c r="AC95" i="8"/>
  <c r="AC49" i="8"/>
  <c r="AC63" i="8"/>
  <c r="AC52" i="8"/>
  <c r="E100" i="7"/>
  <c r="G100" i="7"/>
  <c r="H100" i="7"/>
  <c r="J100" i="7"/>
  <c r="K100" i="7"/>
  <c r="M100" i="7"/>
  <c r="N100" i="7"/>
  <c r="P100" i="7"/>
  <c r="Q100" i="7"/>
  <c r="S100" i="7"/>
  <c r="T100" i="7"/>
  <c r="V100" i="7"/>
  <c r="W100" i="7"/>
  <c r="Y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100" i="7" s="1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100" i="7" s="1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100" i="7" s="1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100" i="7" s="1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100" i="7" s="1"/>
  <c r="L5" i="7"/>
  <c r="L4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100" i="7" s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Z20" i="7" s="1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Z36" i="7" s="1"/>
  <c r="F37" i="7"/>
  <c r="F38" i="7"/>
  <c r="F39" i="7"/>
  <c r="F40" i="7"/>
  <c r="F41" i="7"/>
  <c r="F42" i="7"/>
  <c r="F43" i="7"/>
  <c r="F44" i="7"/>
  <c r="F45" i="7"/>
  <c r="F46" i="7"/>
  <c r="Z46" i="7" s="1"/>
  <c r="F47" i="7"/>
  <c r="F48" i="7"/>
  <c r="F49" i="7"/>
  <c r="F50" i="7"/>
  <c r="F51" i="7"/>
  <c r="F52" i="7"/>
  <c r="Z52" i="7" s="1"/>
  <c r="F53" i="7"/>
  <c r="F54" i="7"/>
  <c r="F55" i="7"/>
  <c r="F56" i="7"/>
  <c r="F57" i="7"/>
  <c r="F58" i="7"/>
  <c r="F59" i="7"/>
  <c r="F60" i="7"/>
  <c r="F61" i="7"/>
  <c r="F62" i="7"/>
  <c r="Z62" i="7" s="1"/>
  <c r="F63" i="7"/>
  <c r="Z63" i="7" s="1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Z57" i="5"/>
  <c r="Z73" i="5"/>
  <c r="Z87" i="5"/>
  <c r="Z89" i="5"/>
  <c r="X5" i="5"/>
  <c r="X6" i="5"/>
  <c r="X7" i="5"/>
  <c r="X8" i="5"/>
  <c r="X9" i="5"/>
  <c r="Z9" i="5" s="1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Z23" i="5" s="1"/>
  <c r="X24" i="5"/>
  <c r="X25" i="5"/>
  <c r="Z25" i="5" s="1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Z39" i="5" s="1"/>
  <c r="X40" i="5"/>
  <c r="X41" i="5"/>
  <c r="Z41" i="5" s="1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Z55" i="5" s="1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Z71" i="5" s="1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U5" i="5"/>
  <c r="U6" i="5"/>
  <c r="U7" i="5"/>
  <c r="U8" i="5"/>
  <c r="Z8" i="5" s="1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Z24" i="5" s="1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Z40" i="5" s="1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Z56" i="5" s="1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Z72" i="5" s="1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Z88" i="5" s="1"/>
  <c r="U89" i="5"/>
  <c r="U90" i="5"/>
  <c r="U91" i="5"/>
  <c r="U92" i="5"/>
  <c r="U93" i="5"/>
  <c r="U94" i="5"/>
  <c r="U95" i="5"/>
  <c r="U96" i="5"/>
  <c r="U97" i="5"/>
  <c r="U98" i="5"/>
  <c r="U99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P100" i="5"/>
  <c r="Q100" i="5"/>
  <c r="S100" i="5"/>
  <c r="T100" i="5"/>
  <c r="V100" i="5"/>
  <c r="W100" i="5"/>
  <c r="Y100" i="5"/>
  <c r="M100" i="5"/>
  <c r="N100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Z18" i="5" s="1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Z34" i="5" s="1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Z50" i="5" s="1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Z66" i="5" s="1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Z82" i="5" s="1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Z98" i="5" s="1"/>
  <c r="I99" i="5"/>
  <c r="F5" i="5"/>
  <c r="Z5" i="5" s="1"/>
  <c r="F6" i="5"/>
  <c r="Z6" i="5" s="1"/>
  <c r="F7" i="5"/>
  <c r="F8" i="5"/>
  <c r="F9" i="5"/>
  <c r="F10" i="5"/>
  <c r="Z10" i="5" s="1"/>
  <c r="F11" i="5"/>
  <c r="Z11" i="5" s="1"/>
  <c r="F12" i="5"/>
  <c r="Z12" i="5" s="1"/>
  <c r="F13" i="5"/>
  <c r="Z13" i="5" s="1"/>
  <c r="F14" i="5"/>
  <c r="Z14" i="5" s="1"/>
  <c r="F15" i="5"/>
  <c r="Z15" i="5" s="1"/>
  <c r="F16" i="5"/>
  <c r="Z16" i="5" s="1"/>
  <c r="F17" i="5"/>
  <c r="Z17" i="5" s="1"/>
  <c r="F18" i="5"/>
  <c r="F19" i="5"/>
  <c r="Z19" i="5" s="1"/>
  <c r="F20" i="5"/>
  <c r="Z20" i="5" s="1"/>
  <c r="F21" i="5"/>
  <c r="Z21" i="5" s="1"/>
  <c r="F22" i="5"/>
  <c r="Z22" i="5" s="1"/>
  <c r="F23" i="5"/>
  <c r="F24" i="5"/>
  <c r="F25" i="5"/>
  <c r="F26" i="5"/>
  <c r="Z26" i="5" s="1"/>
  <c r="F27" i="5"/>
  <c r="Z27" i="5" s="1"/>
  <c r="F28" i="5"/>
  <c r="Z28" i="5" s="1"/>
  <c r="F29" i="5"/>
  <c r="Z29" i="5" s="1"/>
  <c r="F30" i="5"/>
  <c r="Z30" i="5" s="1"/>
  <c r="F31" i="5"/>
  <c r="Z31" i="5" s="1"/>
  <c r="F32" i="5"/>
  <c r="Z32" i="5" s="1"/>
  <c r="F33" i="5"/>
  <c r="Z33" i="5" s="1"/>
  <c r="F34" i="5"/>
  <c r="F35" i="5"/>
  <c r="Z35" i="5" s="1"/>
  <c r="F36" i="5"/>
  <c r="Z36" i="5" s="1"/>
  <c r="F37" i="5"/>
  <c r="Z37" i="5" s="1"/>
  <c r="F38" i="5"/>
  <c r="Z38" i="5" s="1"/>
  <c r="F39" i="5"/>
  <c r="F40" i="5"/>
  <c r="F41" i="5"/>
  <c r="F42" i="5"/>
  <c r="Z42" i="5" s="1"/>
  <c r="F43" i="5"/>
  <c r="Z43" i="5" s="1"/>
  <c r="F44" i="5"/>
  <c r="Z44" i="5" s="1"/>
  <c r="F45" i="5"/>
  <c r="Z45" i="5" s="1"/>
  <c r="F46" i="5"/>
  <c r="Z46" i="5" s="1"/>
  <c r="F47" i="5"/>
  <c r="Z47" i="5" s="1"/>
  <c r="F48" i="5"/>
  <c r="Z48" i="5" s="1"/>
  <c r="F49" i="5"/>
  <c r="Z49" i="5" s="1"/>
  <c r="F50" i="5"/>
  <c r="F51" i="5"/>
  <c r="Z51" i="5" s="1"/>
  <c r="F52" i="5"/>
  <c r="Z52" i="5" s="1"/>
  <c r="F53" i="5"/>
  <c r="Z53" i="5" s="1"/>
  <c r="F54" i="5"/>
  <c r="Z54" i="5" s="1"/>
  <c r="F55" i="5"/>
  <c r="F56" i="5"/>
  <c r="F57" i="5"/>
  <c r="F58" i="5"/>
  <c r="Z58" i="5" s="1"/>
  <c r="F59" i="5"/>
  <c r="Z59" i="5" s="1"/>
  <c r="F60" i="5"/>
  <c r="Z60" i="5" s="1"/>
  <c r="F61" i="5"/>
  <c r="Z61" i="5" s="1"/>
  <c r="F62" i="5"/>
  <c r="Z62" i="5" s="1"/>
  <c r="F63" i="5"/>
  <c r="Z63" i="5" s="1"/>
  <c r="F64" i="5"/>
  <c r="Z64" i="5" s="1"/>
  <c r="F65" i="5"/>
  <c r="Z65" i="5" s="1"/>
  <c r="F66" i="5"/>
  <c r="F67" i="5"/>
  <c r="Z67" i="5" s="1"/>
  <c r="F68" i="5"/>
  <c r="Z68" i="5" s="1"/>
  <c r="F69" i="5"/>
  <c r="Z69" i="5" s="1"/>
  <c r="F70" i="5"/>
  <c r="Z70" i="5" s="1"/>
  <c r="F71" i="5"/>
  <c r="F72" i="5"/>
  <c r="F73" i="5"/>
  <c r="F74" i="5"/>
  <c r="Z74" i="5" s="1"/>
  <c r="F75" i="5"/>
  <c r="Z75" i="5" s="1"/>
  <c r="F76" i="5"/>
  <c r="Z76" i="5" s="1"/>
  <c r="F77" i="5"/>
  <c r="Z77" i="5" s="1"/>
  <c r="F78" i="5"/>
  <c r="Z78" i="5" s="1"/>
  <c r="F79" i="5"/>
  <c r="Z79" i="5" s="1"/>
  <c r="F80" i="5"/>
  <c r="Z80" i="5" s="1"/>
  <c r="F81" i="5"/>
  <c r="Z81" i="5" s="1"/>
  <c r="F82" i="5"/>
  <c r="F83" i="5"/>
  <c r="Z83" i="5" s="1"/>
  <c r="F84" i="5"/>
  <c r="Z84" i="5" s="1"/>
  <c r="F85" i="5"/>
  <c r="Z85" i="5" s="1"/>
  <c r="F86" i="5"/>
  <c r="Z86" i="5" s="1"/>
  <c r="F87" i="5"/>
  <c r="F88" i="5"/>
  <c r="F89" i="5"/>
  <c r="F90" i="5"/>
  <c r="Z90" i="5" s="1"/>
  <c r="F91" i="5"/>
  <c r="Z91" i="5" s="1"/>
  <c r="F92" i="5"/>
  <c r="Z92" i="5" s="1"/>
  <c r="F93" i="5"/>
  <c r="Z93" i="5" s="1"/>
  <c r="F94" i="5"/>
  <c r="Z94" i="5" s="1"/>
  <c r="F95" i="5"/>
  <c r="Z95" i="5" s="1"/>
  <c r="F96" i="5"/>
  <c r="Z96" i="5" s="1"/>
  <c r="F97" i="5"/>
  <c r="Z97" i="5" s="1"/>
  <c r="F98" i="5"/>
  <c r="F99" i="5"/>
  <c r="Z84" i="7"/>
  <c r="AC84" i="7" s="1"/>
  <c r="Z29" i="7"/>
  <c r="Z30" i="7"/>
  <c r="Z45" i="7"/>
  <c r="Z61" i="7"/>
  <c r="Z77" i="7"/>
  <c r="Z78" i="7"/>
  <c r="Z79" i="7"/>
  <c r="F4" i="7"/>
  <c r="F100" i="7" s="1"/>
  <c r="AD100" i="7"/>
  <c r="AB100" i="7"/>
  <c r="AA100" i="7"/>
  <c r="D100" i="7"/>
  <c r="Z91" i="7"/>
  <c r="AC91" i="7" s="1"/>
  <c r="Z68" i="7" l="1"/>
  <c r="X100" i="5"/>
  <c r="Z85" i="7"/>
  <c r="AC85" i="7" s="1"/>
  <c r="Z87" i="7"/>
  <c r="AC87" i="7" s="1"/>
  <c r="Z88" i="7"/>
  <c r="AC88" i="7" s="1"/>
  <c r="Z86" i="7"/>
  <c r="AC86" i="7" s="1"/>
  <c r="Z89" i="7"/>
  <c r="AC89" i="7" s="1"/>
  <c r="AC4" i="8"/>
  <c r="AC100" i="8" s="1"/>
  <c r="Z34" i="7"/>
  <c r="Z90" i="7"/>
  <c r="AC90" i="7" s="1"/>
  <c r="Z14" i="7"/>
  <c r="AC14" i="7" s="1"/>
  <c r="Z94" i="7"/>
  <c r="AC94" i="7" s="1"/>
  <c r="Z7" i="5"/>
  <c r="R100" i="5"/>
  <c r="Z31" i="7"/>
  <c r="Z15" i="7"/>
  <c r="Z47" i="7"/>
  <c r="AC47" i="7" s="1"/>
  <c r="Z4" i="7"/>
  <c r="Z82" i="7"/>
  <c r="Z66" i="7"/>
  <c r="Z18" i="7"/>
  <c r="Z50" i="7"/>
  <c r="AC50" i="7" s="1"/>
  <c r="Z49" i="7"/>
  <c r="AC49" i="7" s="1"/>
  <c r="Z80" i="7"/>
  <c r="AC80" i="7" s="1"/>
  <c r="Z64" i="7"/>
  <c r="AC64" i="7" s="1"/>
  <c r="Z48" i="7"/>
  <c r="AC48" i="7" s="1"/>
  <c r="Z32" i="7"/>
  <c r="AC32" i="7" s="1"/>
  <c r="Z16" i="7"/>
  <c r="AC16" i="7" s="1"/>
  <c r="Z65" i="7"/>
  <c r="AC65" i="7" s="1"/>
  <c r="Z13" i="7"/>
  <c r="AC13" i="7" s="1"/>
  <c r="Z93" i="7"/>
  <c r="AC93" i="7" s="1"/>
  <c r="Z76" i="7"/>
  <c r="AC76" i="7" s="1"/>
  <c r="Z60" i="7"/>
  <c r="AC60" i="7" s="1"/>
  <c r="Z44" i="7"/>
  <c r="AC44" i="7" s="1"/>
  <c r="Z28" i="7"/>
  <c r="Z12" i="7"/>
  <c r="Z75" i="7"/>
  <c r="Z59" i="7"/>
  <c r="Z43" i="7"/>
  <c r="Z27" i="7"/>
  <c r="AC27" i="7" s="1"/>
  <c r="Z11" i="7"/>
  <c r="Z74" i="7"/>
  <c r="AC74" i="7" s="1"/>
  <c r="Z58" i="7"/>
  <c r="AC58" i="7" s="1"/>
  <c r="Z42" i="7"/>
  <c r="AC42" i="7" s="1"/>
  <c r="Z26" i="7"/>
  <c r="AC26" i="7" s="1"/>
  <c r="Z10" i="7"/>
  <c r="AC10" i="7" s="1"/>
  <c r="Z17" i="7"/>
  <c r="AC17" i="7" s="1"/>
  <c r="Z73" i="7"/>
  <c r="AC73" i="7" s="1"/>
  <c r="Z57" i="7"/>
  <c r="AC57" i="7" s="1"/>
  <c r="Z41" i="7"/>
  <c r="AC41" i="7" s="1"/>
  <c r="Z25" i="7"/>
  <c r="Z9" i="7"/>
  <c r="Z56" i="7"/>
  <c r="AC56" i="7" s="1"/>
  <c r="Z40" i="7"/>
  <c r="Z24" i="7"/>
  <c r="AC24" i="7" s="1"/>
  <c r="Z8" i="7"/>
  <c r="AC8" i="7" s="1"/>
  <c r="Z33" i="7"/>
  <c r="AC33" i="7" s="1"/>
  <c r="Z71" i="7"/>
  <c r="AC71" i="7" s="1"/>
  <c r="Z55" i="7"/>
  <c r="AC55" i="7" s="1"/>
  <c r="Z39" i="7"/>
  <c r="AC39" i="7" s="1"/>
  <c r="Z23" i="7"/>
  <c r="AC23" i="7" s="1"/>
  <c r="Z7" i="7"/>
  <c r="AC7" i="7" s="1"/>
  <c r="Z81" i="7"/>
  <c r="AC81" i="7" s="1"/>
  <c r="Z72" i="7"/>
  <c r="AC72" i="7" s="1"/>
  <c r="Z54" i="7"/>
  <c r="AC54" i="7" s="1"/>
  <c r="Z38" i="7"/>
  <c r="AC38" i="7" s="1"/>
  <c r="Z22" i="7"/>
  <c r="AC22" i="7" s="1"/>
  <c r="Z6" i="7"/>
  <c r="AC6" i="7" s="1"/>
  <c r="Z5" i="7"/>
  <c r="AC5" i="7" s="1"/>
  <c r="Z83" i="7"/>
  <c r="Z67" i="7"/>
  <c r="AC67" i="7" s="1"/>
  <c r="Z51" i="7"/>
  <c r="Z35" i="7"/>
  <c r="AC35" i="7" s="1"/>
  <c r="Z19" i="7"/>
  <c r="AC19" i="7" s="1"/>
  <c r="AC9" i="7"/>
  <c r="AC11" i="7"/>
  <c r="Z98" i="7"/>
  <c r="AC98" i="7" s="1"/>
  <c r="Z99" i="7"/>
  <c r="AC99" i="7" s="1"/>
  <c r="Z70" i="7"/>
  <c r="AC70" i="7" s="1"/>
  <c r="Z69" i="7"/>
  <c r="AC69" i="7" s="1"/>
  <c r="Z53" i="7"/>
  <c r="AC53" i="7" s="1"/>
  <c r="Z37" i="7"/>
  <c r="AC37" i="7" s="1"/>
  <c r="Z21" i="7"/>
  <c r="AC21" i="7" s="1"/>
  <c r="Z96" i="7"/>
  <c r="AC96" i="7" s="1"/>
  <c r="Z95" i="7"/>
  <c r="AC95" i="7" s="1"/>
  <c r="Z92" i="7"/>
  <c r="AC92" i="7" s="1"/>
  <c r="Z97" i="7"/>
  <c r="AC97" i="7" s="1"/>
  <c r="AC28" i="7"/>
  <c r="AC75" i="7"/>
  <c r="AC43" i="7"/>
  <c r="AC77" i="7"/>
  <c r="AC29" i="7"/>
  <c r="AC20" i="7"/>
  <c r="AC52" i="7"/>
  <c r="AC36" i="7"/>
  <c r="AC68" i="7"/>
  <c r="AC4" i="7"/>
  <c r="AC25" i="7"/>
  <c r="AC51" i="7"/>
  <c r="AC66" i="7"/>
  <c r="AC34" i="7"/>
  <c r="AC18" i="7"/>
  <c r="AC79" i="7"/>
  <c r="AC63" i="7"/>
  <c r="AC31" i="7"/>
  <c r="AC15" i="7"/>
  <c r="AC78" i="7"/>
  <c r="AC62" i="7"/>
  <c r="AC46" i="7"/>
  <c r="AC30" i="7"/>
  <c r="AC82" i="7"/>
  <c r="AC83" i="7"/>
  <c r="AC59" i="7"/>
  <c r="AC40" i="7"/>
  <c r="AC45" i="7"/>
  <c r="AC12" i="7"/>
  <c r="AC61" i="7"/>
  <c r="X99" i="5"/>
  <c r="Z99" i="5" s="1"/>
  <c r="X4" i="5"/>
  <c r="U4" i="5"/>
  <c r="U100" i="5" s="1"/>
  <c r="AC91" i="5"/>
  <c r="AC93" i="5"/>
  <c r="R4" i="5"/>
  <c r="K100" i="5"/>
  <c r="AC87" i="5"/>
  <c r="AC97" i="5"/>
  <c r="O4" i="5"/>
  <c r="O100" i="5" s="1"/>
  <c r="L4" i="5"/>
  <c r="F4" i="5"/>
  <c r="G100" i="5"/>
  <c r="H100" i="5"/>
  <c r="J100" i="5"/>
  <c r="I4" i="5"/>
  <c r="AA100" i="5"/>
  <c r="AB100" i="5"/>
  <c r="AD100" i="5"/>
  <c r="AC86" i="5"/>
  <c r="AC88" i="5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Z4" i="5" l="1"/>
  <c r="Z100" i="5" s="1"/>
  <c r="Z100" i="7"/>
  <c r="Z101" i="7" s="1"/>
  <c r="AC50" i="5"/>
  <c r="AC34" i="5"/>
  <c r="AC18" i="5"/>
  <c r="AC84" i="5"/>
  <c r="AC51" i="5"/>
  <c r="AC35" i="5"/>
  <c r="AC48" i="5"/>
  <c r="AC32" i="5"/>
  <c r="AC16" i="5"/>
  <c r="AC78" i="5"/>
  <c r="AC62" i="5"/>
  <c r="AC46" i="5"/>
  <c r="AC30" i="5"/>
  <c r="AC89" i="5"/>
  <c r="AC12" i="5"/>
  <c r="AC75" i="5"/>
  <c r="AC59" i="5"/>
  <c r="AC43" i="5"/>
  <c r="AC27" i="5"/>
  <c r="AC11" i="5"/>
  <c r="AC74" i="5"/>
  <c r="AC58" i="5"/>
  <c r="AC42" i="5"/>
  <c r="AC26" i="5"/>
  <c r="AC73" i="5"/>
  <c r="AC41" i="5"/>
  <c r="AC9" i="5"/>
  <c r="AC72" i="5"/>
  <c r="AC56" i="5"/>
  <c r="AC40" i="5"/>
  <c r="AC24" i="5"/>
  <c r="AC8" i="5"/>
  <c r="AC71" i="5"/>
  <c r="AC39" i="5"/>
  <c r="AC23" i="5"/>
  <c r="AC7" i="5"/>
  <c r="AC54" i="5"/>
  <c r="AC22" i="5"/>
  <c r="AC6" i="5"/>
  <c r="AC69" i="5"/>
  <c r="AC53" i="5"/>
  <c r="AC37" i="5"/>
  <c r="AC21" i="5"/>
  <c r="AC100" i="7"/>
  <c r="AC55" i="5"/>
  <c r="AC96" i="5"/>
  <c r="AC70" i="5"/>
  <c r="AC38" i="5"/>
  <c r="AC95" i="5"/>
  <c r="AC14" i="5"/>
  <c r="AC10" i="5"/>
  <c r="AC99" i="5"/>
  <c r="AC98" i="5"/>
  <c r="L100" i="5"/>
  <c r="AC92" i="5"/>
  <c r="AC90" i="5"/>
  <c r="AC94" i="5"/>
  <c r="AC85" i="5"/>
  <c r="AC63" i="5"/>
  <c r="AC81" i="5"/>
  <c r="AC83" i="5"/>
  <c r="AC82" i="5"/>
  <c r="I100" i="5"/>
  <c r="AC33" i="5"/>
  <c r="AC17" i="5"/>
  <c r="AC67" i="5"/>
  <c r="AC61" i="5"/>
  <c r="AC44" i="5"/>
  <c r="AC60" i="5"/>
  <c r="AC31" i="5"/>
  <c r="AC66" i="5"/>
  <c r="AC29" i="5"/>
  <c r="AC49" i="5"/>
  <c r="AC68" i="5"/>
  <c r="AC52" i="5"/>
  <c r="AC36" i="5"/>
  <c r="AC20" i="5"/>
  <c r="AC79" i="5"/>
  <c r="AC47" i="5"/>
  <c r="AC15" i="5"/>
  <c r="AC77" i="5"/>
  <c r="AC45" i="5"/>
  <c r="AC13" i="5"/>
  <c r="AC76" i="5"/>
  <c r="AC28" i="5"/>
  <c r="AC57" i="5"/>
  <c r="AC25" i="5"/>
  <c r="AC80" i="5"/>
  <c r="E100" i="5"/>
  <c r="D100" i="5"/>
  <c r="F100" i="5"/>
  <c r="AC65" i="5"/>
  <c r="AC19" i="5"/>
  <c r="AC64" i="5"/>
  <c r="L100" i="4"/>
  <c r="L77" i="4"/>
  <c r="L88" i="4"/>
  <c r="L67" i="4"/>
  <c r="L112" i="4"/>
  <c r="L112" i="6"/>
  <c r="L77" i="6"/>
  <c r="L67" i="6"/>
  <c r="L100" i="6"/>
  <c r="L88" i="6"/>
  <c r="AC5" i="5" l="1"/>
  <c r="AC4" i="5" l="1"/>
  <c r="AC100" i="5" s="1"/>
  <c r="M52" i="19"/>
  <c r="M100" i="19" s="1"/>
  <c r="O52" i="15"/>
  <c r="Z52" i="15" s="1"/>
  <c r="M100" i="15"/>
  <c r="AC52" i="15" l="1"/>
  <c r="Z100" i="15"/>
  <c r="O100" i="15"/>
  <c r="O52" i="19"/>
  <c r="Z52" i="19" l="1"/>
  <c r="Z100" i="19" s="1"/>
  <c r="O100" i="19"/>
  <c r="AG52" i="15"/>
  <c r="AC100" i="15"/>
  <c r="AG100" i="15" s="1"/>
</calcChain>
</file>

<file path=xl/sharedStrings.xml><?xml version="1.0" encoding="utf-8"?>
<sst xmlns="http://schemas.openxmlformats.org/spreadsheetml/2006/main" count="2189" uniqueCount="221">
  <si>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</si>
  <si>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</si>
  <si>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</si>
  <si>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</si>
  <si>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</si>
  <si>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</si>
  <si>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</si>
  <si>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</si>
  <si>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</si>
  <si>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</si>
  <si>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</si>
  <si>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</si>
  <si>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</si>
  <si>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</si>
  <si>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</si>
  <si>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</si>
  <si>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</si>
  <si>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</si>
  <si>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</si>
  <si>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</si>
  <si>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</si>
  <si>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</si>
  <si>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</si>
  <si>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</si>
  <si>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</si>
  <si>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</si>
  <si>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</si>
  <si>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</si>
  <si>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</si>
  <si>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</si>
  <si>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</si>
  <si>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</si>
  <si>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</si>
  <si>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</si>
  <si>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</si>
  <si>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</si>
  <si>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</si>
  <si>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</si>
  <si>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</si>
  <si>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</si>
  <si>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</si>
  <si>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</si>
  <si>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</si>
  <si>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</si>
  <si>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</si>
  <si>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</si>
  <si>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</si>
  <si>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</si>
  <si>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</si>
  <si>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</si>
  <si>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</si>
  <si>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</si>
  <si>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</si>
  <si>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</si>
  <si>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</si>
  <si>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</si>
  <si>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</si>
  <si>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</si>
  <si>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</si>
  <si>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</si>
  <si>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</si>
  <si>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</si>
  <si>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</si>
  <si>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</si>
  <si>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</si>
  <si>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</si>
  <si>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</si>
  <si>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</si>
  <si>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</si>
  <si>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</si>
  <si>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</si>
  <si>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</si>
  <si>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</si>
  <si>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</si>
  <si>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</si>
  <si>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</si>
  <si>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</si>
  <si>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</si>
  <si>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</si>
  <si>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</si>
  <si>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</si>
  <si>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</si>
  <si>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</si>
  <si>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</si>
  <si>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</si>
  <si>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</si>
  <si>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</si>
  <si>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</si>
  <si>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</si>
  <si>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</si>
  <si>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</si>
  <si>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</si>
  <si>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</si>
  <si>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</si>
  <si>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</si>
  <si>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</si>
  <si>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</si>
  <si>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</si>
  <si>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</si>
  <si>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</si>
  <si>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</si>
  <si>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</si>
  <si>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</si>
  <si>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</si>
  <si>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</si>
  <si>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</si>
  <si>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</si>
  <si>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</si>
  <si>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</si>
  <si>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</si>
  <si>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</si>
  <si>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</si>
  <si>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</si>
  <si>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</si>
  <si>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</si>
  <si>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</si>
  <si>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</si>
  <si>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</si>
  <si>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</si>
  <si>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</si>
  <si>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</si>
  <si>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</si>
  <si>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</si>
  <si>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</si>
  <si>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</si>
  <si>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</si>
  <si>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</si>
  <si>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</si>
  <si>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</si>
  <si>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</si>
  <si>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</si>
  <si>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</si>
  <si>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</si>
  <si>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</si>
  <si>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</si>
  <si>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</si>
  <si>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</si>
  <si>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</si>
  <si>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</si>
  <si>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</si>
  <si>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</si>
  <si>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</si>
  <si>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</si>
  <si>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</si>
  <si>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</si>
  <si>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</si>
  <si>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</si>
  <si>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</si>
  <si>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</si>
  <si>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</si>
  <si>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</si>
  <si>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</si>
  <si>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</si>
  <si>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</si>
  <si>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</si>
  <si>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</si>
  <si>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</si>
  <si>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</si>
  <si>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</si>
  <si>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</si>
  <si>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</si>
  <si>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</si>
  <si>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</si>
  <si>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</si>
  <si>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</si>
  <si>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</si>
  <si>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</si>
  <si>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</si>
  <si>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</si>
  <si>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</si>
  <si>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</si>
  <si>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</si>
  <si>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</si>
  <si>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</si>
  <si>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</si>
  <si>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</si>
  <si>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</si>
  <si>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</si>
  <si>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</si>
  <si>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</si>
  <si>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</si>
  <si>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</si>
  <si>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</si>
  <si>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</si>
  <si>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</si>
  <si>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</si>
  <si>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</si>
  <si>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</si>
  <si>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</si>
  <si>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</si>
  <si>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</si>
  <si>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</si>
  <si>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</si>
  <si>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</si>
  <si>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</si>
  <si>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</si>
  <si>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</si>
  <si>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</si>
  <si>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</si>
  <si>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</si>
  <si>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</si>
  <si>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</si>
  <si>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</si>
  <si>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</si>
  <si>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</si>
  <si>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19/8/68</t>
  </si>
  <si>
    <t>ขนมปังเนยนิ่ม 3 ชิ้น</t>
  </si>
  <si>
    <t>ยอดจริง ออนไลน์ วันที่ 20/8/2568</t>
  </si>
  <si>
    <t>ยอดจริง ออนไลน์ วันที่ 21/8/2568</t>
  </si>
  <si>
    <t>ยอดจริง ออนไลน์ วันที่ 22/8/2568</t>
  </si>
  <si>
    <t>ยอดจริง ออนไลน์ วันที่ 23/8/2568</t>
  </si>
  <si>
    <t>ยอดจริง ออนไลน์ วันที่ 24/8/2568</t>
  </si>
  <si>
    <t>ยอดจริง ออนไลน์ วันที่ 25/8/2568</t>
  </si>
  <si>
    <t>ยอดจริง ออนไลน์ วันที่ 26/8/2568</t>
  </si>
  <si>
    <t>ยอดจริง ออนไลน์ วันที่ 27/8/2568</t>
  </si>
  <si>
    <t>ยอดจริง ออนไลน์ วันที่ 28/8/2568</t>
  </si>
  <si>
    <t>ยอดจริง ออนไลน์ วันที่ 29/8/2568</t>
  </si>
  <si>
    <t>ยอดจริง ออนไลน์ วันที่ 30/8/2568</t>
  </si>
  <si>
    <t>ยอดจริง ออนไลน์ วันที่ 31/8/2568</t>
  </si>
  <si>
    <t>ยอดจริง ออนไลน์ วันที่ 19-31 สิงหาคม 2568</t>
  </si>
  <si>
    <t>66+M52:M67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</si>
</sst>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20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vertical="center"/>
    </xf>
    <xf numFmtId="0" fontId="16" fillId="10" borderId="10" xfId="0" applyFont="1" applyFill="1" applyBorder="1" applyAlignment="1">
      <alignment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80" t="s">
        <v>133</v>
      </c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2:12">
      <c r="B2" s="81"/>
      <c r="C2" s="82"/>
      <c r="D2" s="1"/>
      <c r="E2" s="83"/>
      <c r="F2" s="83"/>
      <c r="G2" s="2"/>
      <c r="H2" s="2"/>
      <c r="I2" s="2"/>
      <c r="J2" s="2"/>
      <c r="K2" s="2"/>
      <c r="L2" s="3" t="s">
        <v>0</v>
      </c>
    </row>
    <row r="3" spans="2:12">
      <c r="B3" s="81"/>
      <c r="C3" s="82"/>
      <c r="D3" s="4"/>
      <c r="E3" s="84"/>
      <c r="F3" s="84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6" t="s">
        <v>11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6" t="s">
        <v>55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6" t="s">
        <v>64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6" t="s">
        <v>74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6" t="s">
        <v>85</v>
      </c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6" t="s">
        <v>86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9" t="s">
        <v>104</v>
      </c>
      <c r="C153" s="79"/>
      <c r="D153" s="29"/>
      <c r="E153" s="78"/>
      <c r="F153" s="78"/>
      <c r="G153" s="26"/>
      <c r="H153" s="25"/>
      <c r="I153" s="79" t="s">
        <v>104</v>
      </c>
      <c r="J153" s="79"/>
      <c r="K153" s="79"/>
      <c r="L153" s="79"/>
    </row>
    <row r="154" spans="2:12">
      <c r="B154" s="78" t="s">
        <v>105</v>
      </c>
      <c r="C154" s="78"/>
      <c r="D154" s="30"/>
      <c r="E154" s="30"/>
      <c r="F154" s="30"/>
      <c r="G154" s="30"/>
      <c r="H154" s="30"/>
      <c r="I154" s="78" t="s">
        <v>106</v>
      </c>
      <c r="J154" s="78"/>
      <c r="K154" s="78"/>
      <c r="L154" s="78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80" t="s">
        <v>135</v>
      </c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2:12">
      <c r="B2" s="81"/>
      <c r="C2" s="82"/>
      <c r="D2" s="1"/>
      <c r="E2" s="83"/>
      <c r="F2" s="83"/>
      <c r="G2" s="2"/>
      <c r="H2" s="2"/>
      <c r="I2" s="2"/>
      <c r="J2" s="2"/>
      <c r="K2" s="2"/>
      <c r="L2" s="3" t="s">
        <v>0</v>
      </c>
    </row>
    <row r="3" spans="2:12">
      <c r="B3" s="81"/>
      <c r="C3" s="82"/>
      <c r="D3" s="4"/>
      <c r="E3" s="84"/>
      <c r="F3" s="84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6" t="s">
        <v>11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6" t="s">
        <v>55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6" t="s">
        <v>64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6" t="s">
        <v>74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6" t="s">
        <v>85</v>
      </c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6" t="s">
        <v>86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9" t="s">
        <v>104</v>
      </c>
      <c r="C156" s="79"/>
      <c r="D156" s="29"/>
      <c r="E156" s="78"/>
      <c r="F156" s="78"/>
      <c r="G156" s="26"/>
      <c r="H156" s="25"/>
      <c r="I156" s="79" t="s">
        <v>104</v>
      </c>
      <c r="J156" s="79"/>
      <c r="K156" s="79"/>
      <c r="L156" s="79"/>
    </row>
    <row r="157" spans="2:12">
      <c r="B157" s="78" t="s">
        <v>105</v>
      </c>
      <c r="C157" s="78"/>
      <c r="D157" s="30"/>
      <c r="E157" s="30"/>
      <c r="F157" s="30"/>
      <c r="G157" s="30"/>
      <c r="H157" s="30"/>
      <c r="I157" s="78" t="s">
        <v>106</v>
      </c>
      <c r="J157" s="78"/>
      <c r="K157" s="78"/>
      <c r="L157" s="78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F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5703125" style="58" bestFit="1" customWidth="1"/>
    <col min="27" max="30" width="20.7109375" style="48" customWidth="1"/>
    <col min="31" max="31" width="9.14062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5" t="s">
        <v>205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0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99"/>
      <c r="I2" s="100"/>
      <c r="J2" s="98" t="s">
        <v>7</v>
      </c>
      <c r="K2" s="99"/>
      <c r="L2" s="100"/>
      <c r="M2" s="98" t="s">
        <v>8</v>
      </c>
      <c r="N2" s="99"/>
      <c r="O2" s="100"/>
      <c r="P2" s="98" t="s">
        <v>132</v>
      </c>
      <c r="Q2" s="99"/>
      <c r="R2" s="100"/>
      <c r="S2" s="98" t="s">
        <v>9</v>
      </c>
      <c r="T2" s="99"/>
      <c r="U2" s="100"/>
      <c r="V2" s="101" t="s">
        <v>131</v>
      </c>
      <c r="W2" s="102"/>
      <c r="X2" s="103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0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10</v>
      </c>
      <c r="H4" s="52"/>
      <c r="I4" s="69">
        <f>SUM(G4:H4)</f>
        <v>10</v>
      </c>
      <c r="J4" s="52"/>
      <c r="K4" s="52"/>
      <c r="L4" s="69">
        <f>SUM(J4:K4)</f>
        <v>0</v>
      </c>
      <c r="M4" s="52">
        <v>48</v>
      </c>
      <c r="N4" s="52"/>
      <c r="O4" s="69">
        <f>SUM(M4:N4)</f>
        <v>48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58</v>
      </c>
      <c r="AA4" s="50">
        <v>45</v>
      </c>
      <c r="AB4" s="50"/>
      <c r="AC4" s="62">
        <f>+AA4+AB4-Z4</f>
        <v>-13</v>
      </c>
      <c r="AD4" s="50">
        <v>45</v>
      </c>
    </row>
    <row r="5" spans="2:30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46</v>
      </c>
      <c r="H5" s="52"/>
      <c r="I5" s="69">
        <f t="shared" ref="I5:I68" si="1">SUM(G5:H5)</f>
        <v>46</v>
      </c>
      <c r="J5" s="52">
        <v>40</v>
      </c>
      <c r="K5" s="52"/>
      <c r="L5" s="69">
        <f t="shared" ref="L5:L68" si="2">SUM(J5:K5)</f>
        <v>40</v>
      </c>
      <c r="M5" s="52">
        <v>4</v>
      </c>
      <c r="N5" s="52"/>
      <c r="O5" s="69">
        <f t="shared" ref="O5:O68" si="3">SUM(M5:N5)</f>
        <v>4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90</v>
      </c>
      <c r="AA5" s="59">
        <v>70</v>
      </c>
      <c r="AB5" s="59">
        <v>60</v>
      </c>
      <c r="AC5" s="62">
        <f t="shared" ref="AC5:AC68" si="8">+AA5+AB5-Z5</f>
        <v>40</v>
      </c>
      <c r="AD5" s="59">
        <v>70</v>
      </c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6</v>
      </c>
      <c r="H9" s="52"/>
      <c r="I9" s="69">
        <f t="shared" si="1"/>
        <v>6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6</v>
      </c>
      <c r="AA9" s="50"/>
      <c r="AB9" s="50"/>
      <c r="AC9" s="62">
        <f t="shared" si="8"/>
        <v>-6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6</v>
      </c>
      <c r="H10" s="52"/>
      <c r="I10" s="69">
        <f t="shared" si="1"/>
        <v>6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6</v>
      </c>
      <c r="AA10" s="50"/>
      <c r="AB10" s="50"/>
      <c r="AC10" s="62">
        <f t="shared" si="8"/>
        <v>-6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6</v>
      </c>
      <c r="H11" s="52"/>
      <c r="I11" s="69">
        <f t="shared" si="1"/>
        <v>6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6</v>
      </c>
      <c r="AA11" s="50"/>
      <c r="AB11" s="50"/>
      <c r="AC11" s="62">
        <f t="shared" si="8"/>
        <v>-6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6</v>
      </c>
      <c r="H12" s="52"/>
      <c r="I12" s="69">
        <f t="shared" si="1"/>
        <v>6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6</v>
      </c>
      <c r="AA12" s="50"/>
      <c r="AB12" s="50"/>
      <c r="AC12" s="62">
        <f t="shared" si="8"/>
        <v>-6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6</v>
      </c>
      <c r="H13" s="52"/>
      <c r="I13" s="69">
        <f t="shared" si="1"/>
        <v>6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6</v>
      </c>
      <c r="AA13" s="50"/>
      <c r="AB13" s="50"/>
      <c r="AC13" s="62">
        <f t="shared" si="8"/>
        <v>-6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5</v>
      </c>
      <c r="H19" s="52"/>
      <c r="I19" s="69">
        <f t="shared" si="1"/>
        <v>5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5</v>
      </c>
      <c r="AA19" s="50"/>
      <c r="AB19" s="50"/>
      <c r="AC19" s="62">
        <f t="shared" si="8"/>
        <v>-5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5</v>
      </c>
      <c r="H20" s="52"/>
      <c r="I20" s="69">
        <f t="shared" si="1"/>
        <v>5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5</v>
      </c>
      <c r="AA20" s="50"/>
      <c r="AB20" s="50"/>
      <c r="AC20" s="62">
        <f t="shared" si="8"/>
        <v>-5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5</v>
      </c>
      <c r="H21" s="52"/>
      <c r="I21" s="69">
        <f t="shared" si="1"/>
        <v>5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5</v>
      </c>
      <c r="AA21" s="50"/>
      <c r="AB21" s="50"/>
      <c r="AC21" s="62">
        <f t="shared" si="8"/>
        <v>-5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21</v>
      </c>
      <c r="N25" s="52"/>
      <c r="O25" s="69">
        <f t="shared" si="3"/>
        <v>21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21</v>
      </c>
      <c r="AA25" s="50">
        <v>40</v>
      </c>
      <c r="AB25" s="50"/>
      <c r="AC25" s="62">
        <f t="shared" si="8"/>
        <v>19</v>
      </c>
      <c r="AD25" s="50">
        <v>40</v>
      </c>
    </row>
    <row r="26" spans="2:30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>
        <v>7</v>
      </c>
      <c r="K26" s="52"/>
      <c r="L26" s="69">
        <f t="shared" si="2"/>
        <v>7</v>
      </c>
      <c r="M26" s="52">
        <v>4</v>
      </c>
      <c r="N26" s="52"/>
      <c r="O26" s="69">
        <f t="shared" si="3"/>
        <v>4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13</v>
      </c>
      <c r="AA26" s="50">
        <v>35</v>
      </c>
      <c r="AB26" s="50">
        <v>3</v>
      </c>
      <c r="AC26" s="62">
        <f t="shared" si="8"/>
        <v>25</v>
      </c>
      <c r="AD26" s="50">
        <v>20</v>
      </c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</row>
    <row r="41" spans="2:30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/>
      <c r="AB41" s="50">
        <v>17</v>
      </c>
      <c r="AC41" s="62">
        <f t="shared" si="8"/>
        <v>17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3</v>
      </c>
      <c r="H42" s="52"/>
      <c r="I42" s="69">
        <f t="shared" si="1"/>
        <v>3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3</v>
      </c>
      <c r="AA42" s="50"/>
      <c r="AB42" s="50"/>
      <c r="AC42" s="62">
        <f t="shared" si="8"/>
        <v>-3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3</v>
      </c>
      <c r="H43" s="52"/>
      <c r="I43" s="69">
        <f t="shared" si="1"/>
        <v>3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3</v>
      </c>
      <c r="AA43" s="50"/>
      <c r="AB43" s="50"/>
      <c r="AC43" s="62">
        <f t="shared" si="8"/>
        <v>-3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3</v>
      </c>
      <c r="H44" s="52"/>
      <c r="I44" s="69">
        <f t="shared" si="1"/>
        <v>3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3</v>
      </c>
      <c r="AA44" s="50"/>
      <c r="AB44" s="50"/>
      <c r="AC44" s="62">
        <f t="shared" si="8"/>
        <v>-3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3</v>
      </c>
      <c r="H45" s="52"/>
      <c r="I45" s="69">
        <f t="shared" si="1"/>
        <v>3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3</v>
      </c>
      <c r="AA45" s="50"/>
      <c r="AB45" s="50"/>
      <c r="AC45" s="62">
        <f t="shared" si="8"/>
        <v>-3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3</v>
      </c>
      <c r="H46" s="52"/>
      <c r="I46" s="69">
        <f t="shared" si="1"/>
        <v>3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3</v>
      </c>
      <c r="AA46" s="50"/>
      <c r="AB46" s="50"/>
      <c r="AC46" s="62">
        <f t="shared" si="8"/>
        <v>-3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3</v>
      </c>
      <c r="H47" s="52"/>
      <c r="I47" s="69">
        <f t="shared" si="1"/>
        <v>3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3</v>
      </c>
      <c r="AA47" s="50"/>
      <c r="AB47" s="50"/>
      <c r="AC47" s="62">
        <f t="shared" si="8"/>
        <v>-3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3</v>
      </c>
      <c r="H48" s="52"/>
      <c r="I48" s="69">
        <f t="shared" si="1"/>
        <v>3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3</v>
      </c>
      <c r="AA48" s="50"/>
      <c r="AB48" s="50"/>
      <c r="AC48" s="62">
        <f t="shared" si="8"/>
        <v>-3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3</v>
      </c>
      <c r="H49" s="52"/>
      <c r="I49" s="69">
        <f t="shared" si="1"/>
        <v>3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3</v>
      </c>
      <c r="AA49" s="50"/>
      <c r="AB49" s="50"/>
      <c r="AC49" s="62">
        <f t="shared" si="8"/>
        <v>-3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3</v>
      </c>
      <c r="H50" s="52"/>
      <c r="I50" s="69">
        <f t="shared" si="1"/>
        <v>3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3</v>
      </c>
      <c r="AA50" s="50"/>
      <c r="AB50" s="50"/>
      <c r="AC50" s="62">
        <f t="shared" si="8"/>
        <v>-3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3</v>
      </c>
      <c r="H51" s="52"/>
      <c r="I51" s="69">
        <f t="shared" si="1"/>
        <v>3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3</v>
      </c>
      <c r="AA51" s="50"/>
      <c r="AB51" s="50"/>
      <c r="AC51" s="62">
        <f t="shared" si="8"/>
        <v>-3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</row>
    <row r="53" spans="2:32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/>
      <c r="K53" s="52"/>
      <c r="L53" s="69">
        <f t="shared" si="2"/>
        <v>0</v>
      </c>
      <c r="M53" s="52">
        <v>40</v>
      </c>
      <c r="N53" s="52"/>
      <c r="O53" s="69">
        <f t="shared" si="3"/>
        <v>40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41</v>
      </c>
      <c r="AA53" s="50">
        <v>65</v>
      </c>
      <c r="AB53" s="50">
        <v>44</v>
      </c>
      <c r="AC53" s="62">
        <f t="shared" si="8"/>
        <v>68</v>
      </c>
      <c r="AD53" s="50">
        <v>60</v>
      </c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</row>
    <row r="55" spans="2:32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40</v>
      </c>
      <c r="N55" s="52"/>
      <c r="O55" s="69">
        <f t="shared" si="3"/>
        <v>40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40</v>
      </c>
      <c r="AA55" s="50">
        <v>66</v>
      </c>
      <c r="AB55" s="50">
        <v>51</v>
      </c>
      <c r="AC55" s="62">
        <f t="shared" si="8"/>
        <v>77</v>
      </c>
      <c r="AD55" s="50">
        <v>60</v>
      </c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</row>
    <row r="57" spans="2:32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40</v>
      </c>
      <c r="N57" s="52"/>
      <c r="O57" s="69">
        <f t="shared" si="3"/>
        <v>40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40</v>
      </c>
      <c r="AA57" s="50">
        <v>60</v>
      </c>
      <c r="AB57" s="50">
        <v>55</v>
      </c>
      <c r="AC57" s="62">
        <f t="shared" si="8"/>
        <v>75</v>
      </c>
      <c r="AD57" s="50">
        <v>60</v>
      </c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</row>
    <row r="59" spans="2:32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8</v>
      </c>
      <c r="K59" s="52"/>
      <c r="L59" s="69">
        <f t="shared" si="2"/>
        <v>8</v>
      </c>
      <c r="M59" s="52">
        <v>40</v>
      </c>
      <c r="N59" s="52"/>
      <c r="O59" s="69">
        <f t="shared" si="3"/>
        <v>40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48</v>
      </c>
      <c r="AA59" s="50">
        <v>90</v>
      </c>
      <c r="AB59" s="50">
        <v>35</v>
      </c>
      <c r="AC59" s="62">
        <f t="shared" si="8"/>
        <v>77</v>
      </c>
      <c r="AD59" s="50">
        <v>60</v>
      </c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/>
      <c r="AC60" s="62">
        <f t="shared" si="8"/>
        <v>-3</v>
      </c>
      <c r="AD60" s="50"/>
    </row>
    <row r="61" spans="2:32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40</v>
      </c>
      <c r="N61" s="52"/>
      <c r="O61" s="69">
        <f t="shared" si="3"/>
        <v>40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41</v>
      </c>
      <c r="AA61" s="50">
        <v>61</v>
      </c>
      <c r="AB61" s="50">
        <v>43</v>
      </c>
      <c r="AC61" s="62">
        <f t="shared" si="8"/>
        <v>63</v>
      </c>
      <c r="AD61" s="50">
        <v>60</v>
      </c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>
        <v>2</v>
      </c>
      <c r="N62" s="52"/>
      <c r="O62" s="69">
        <f t="shared" si="3"/>
        <v>2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2</v>
      </c>
      <c r="AA62" s="50"/>
      <c r="AB62" s="50"/>
      <c r="AC62" s="62">
        <f t="shared" si="8"/>
        <v>-2</v>
      </c>
      <c r="AD62" s="50"/>
      <c r="AF62" s="53"/>
    </row>
    <row r="63" spans="2:32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40</v>
      </c>
      <c r="N63" s="52"/>
      <c r="O63" s="69">
        <f t="shared" si="3"/>
        <v>40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41</v>
      </c>
      <c r="AA63" s="50">
        <v>62</v>
      </c>
      <c r="AB63" s="50">
        <v>57</v>
      </c>
      <c r="AC63" s="62">
        <f t="shared" si="8"/>
        <v>78</v>
      </c>
      <c r="AD63" s="50">
        <v>60</v>
      </c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21</v>
      </c>
      <c r="N66" s="52"/>
      <c r="O66" s="69">
        <f t="shared" si="3"/>
        <v>21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21</v>
      </c>
      <c r="AA66" s="50"/>
      <c r="AB66" s="50">
        <v>40</v>
      </c>
      <c r="AC66" s="62">
        <f t="shared" si="8"/>
        <v>19</v>
      </c>
      <c r="AD66" s="50">
        <v>60</v>
      </c>
    </row>
    <row r="67" spans="2:30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12</v>
      </c>
      <c r="H67" s="52"/>
      <c r="I67" s="69">
        <f t="shared" si="1"/>
        <v>12</v>
      </c>
      <c r="J67" s="52"/>
      <c r="K67" s="52"/>
      <c r="L67" s="69">
        <f t="shared" si="2"/>
        <v>0</v>
      </c>
      <c r="M67" s="52">
        <v>9</v>
      </c>
      <c r="N67" s="52"/>
      <c r="O67" s="69">
        <f t="shared" si="3"/>
        <v>9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21</v>
      </c>
      <c r="AA67" s="50"/>
      <c r="AB67" s="50">
        <v>11</v>
      </c>
      <c r="AC67" s="62">
        <f t="shared" si="8"/>
        <v>-10</v>
      </c>
      <c r="AD67" s="50"/>
    </row>
    <row r="68" spans="2:30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>
        <v>10</v>
      </c>
      <c r="K68" s="52"/>
      <c r="L68" s="69">
        <f t="shared" si="2"/>
        <v>10</v>
      </c>
      <c r="M68" s="52">
        <v>12</v>
      </c>
      <c r="N68" s="52"/>
      <c r="O68" s="69">
        <f t="shared" si="3"/>
        <v>12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22</v>
      </c>
      <c r="AA68" s="50"/>
      <c r="AB68" s="50">
        <v>65</v>
      </c>
      <c r="AC68" s="62">
        <f t="shared" si="8"/>
        <v>43</v>
      </c>
      <c r="AD68" s="50"/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/>
      <c r="H69" s="52"/>
      <c r="I69" s="69">
        <f t="shared" ref="I69:I99" si="10">SUM(G69:H69)</f>
        <v>0</v>
      </c>
      <c r="J69" s="52">
        <v>8</v>
      </c>
      <c r="K69" s="52"/>
      <c r="L69" s="69">
        <f t="shared" ref="L69:L99" si="11">SUM(J69:K69)</f>
        <v>8</v>
      </c>
      <c r="M69" s="52">
        <v>9</v>
      </c>
      <c r="N69" s="52"/>
      <c r="O69" s="69">
        <f t="shared" ref="O69:O99" si="12">SUM(M69:N69)</f>
        <v>9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8" si="15">SUM(V69:W69)</f>
        <v>0</v>
      </c>
      <c r="Y69" s="52"/>
      <c r="Z69" s="64">
        <f t="shared" ref="Z69:Z99" si="16">+F69+I69+L69+O69+R69+U69+X69+Y69</f>
        <v>17</v>
      </c>
      <c r="AA69" s="50"/>
      <c r="AB69" s="50">
        <v>32</v>
      </c>
      <c r="AC69" s="62">
        <f t="shared" ref="AC69:AC99" si="17">+AA69+AB69-Z69</f>
        <v>15</v>
      </c>
      <c r="AD69" s="50"/>
    </row>
    <row r="70" spans="2:30">
      <c r="B70" s="50">
        <v>1124021</v>
      </c>
      <c r="C70" s="54" t="s">
        <v>190</v>
      </c>
      <c r="D70" s="52"/>
      <c r="E70" s="52"/>
      <c r="F70" s="69">
        <f t="shared" si="9"/>
        <v>0</v>
      </c>
      <c r="G70" s="52">
        <v>29</v>
      </c>
      <c r="H70" s="52"/>
      <c r="I70" s="69">
        <f t="shared" si="10"/>
        <v>29</v>
      </c>
      <c r="J70" s="52"/>
      <c r="K70" s="52"/>
      <c r="L70" s="69">
        <f t="shared" si="11"/>
        <v>0</v>
      </c>
      <c r="M70" s="52">
        <v>58</v>
      </c>
      <c r="N70" s="52"/>
      <c r="O70" s="69">
        <f t="shared" si="12"/>
        <v>58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87</v>
      </c>
      <c r="AA70" s="50">
        <v>50</v>
      </c>
      <c r="AB70" s="50"/>
      <c r="AC70" s="62">
        <f t="shared" si="17"/>
        <v>-37</v>
      </c>
      <c r="AD70" s="50">
        <v>20</v>
      </c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/>
      <c r="E75" s="52"/>
      <c r="F75" s="69">
        <f t="shared" si="9"/>
        <v>0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>
        <v>5</v>
      </c>
      <c r="N75" s="52"/>
      <c r="O75" s="69">
        <f t="shared" si="12"/>
        <v>5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5</v>
      </c>
      <c r="AA75" s="50"/>
      <c r="AB75" s="50">
        <v>25</v>
      </c>
      <c r="AC75" s="62">
        <f t="shared" si="17"/>
        <v>20</v>
      </c>
      <c r="AD75" s="50"/>
    </row>
    <row r="76" spans="2:30">
      <c r="B76" s="50">
        <v>1113171</v>
      </c>
      <c r="C76" s="54" t="s">
        <v>88</v>
      </c>
      <c r="D76" s="52"/>
      <c r="E76" s="52"/>
      <c r="F76" s="69">
        <f t="shared" si="9"/>
        <v>0</v>
      </c>
      <c r="G76" s="52"/>
      <c r="H76" s="52"/>
      <c r="I76" s="69">
        <f t="shared" si="10"/>
        <v>0</v>
      </c>
      <c r="J76" s="52"/>
      <c r="K76" s="52"/>
      <c r="L76" s="69">
        <f t="shared" si="11"/>
        <v>0</v>
      </c>
      <c r="M76" s="52">
        <v>1</v>
      </c>
      <c r="N76" s="52"/>
      <c r="O76" s="69">
        <f t="shared" si="12"/>
        <v>1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1</v>
      </c>
      <c r="AA76" s="50"/>
      <c r="AB76" s="50">
        <v>23</v>
      </c>
      <c r="AC76" s="62">
        <f t="shared" si="17"/>
        <v>22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/>
      <c r="E78" s="52"/>
      <c r="F78" s="69">
        <f t="shared" si="9"/>
        <v>0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>
        <v>3</v>
      </c>
      <c r="N78" s="52"/>
      <c r="O78" s="69">
        <f t="shared" si="12"/>
        <v>3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3</v>
      </c>
      <c r="AA78" s="50"/>
      <c r="AB78" s="50">
        <v>27</v>
      </c>
      <c r="AC78" s="62">
        <f t="shared" si="17"/>
        <v>24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/>
      <c r="Z79" s="64">
        <f t="shared" si="16"/>
        <v>0</v>
      </c>
      <c r="AA79" s="50"/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/>
      <c r="H82" s="52"/>
      <c r="I82" s="69">
        <f t="shared" si="10"/>
        <v>0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0</v>
      </c>
      <c r="AA82" s="50"/>
      <c r="AB82" s="50"/>
      <c r="AC82" s="62">
        <f t="shared" si="17"/>
        <v>0</v>
      </c>
      <c r="AD82" s="50"/>
    </row>
    <row r="83" spans="2:30">
      <c r="B83" s="50">
        <v>200</v>
      </c>
      <c r="C83" s="54" t="s">
        <v>198</v>
      </c>
      <c r="D83" s="52"/>
      <c r="E83" s="52"/>
      <c r="F83" s="69">
        <f t="shared" si="9"/>
        <v>0</v>
      </c>
      <c r="G83" s="52">
        <v>20</v>
      </c>
      <c r="H83" s="52"/>
      <c r="I83" s="69">
        <f t="shared" si="10"/>
        <v>20</v>
      </c>
      <c r="J83" s="52"/>
      <c r="K83" s="52"/>
      <c r="L83" s="69">
        <f t="shared" si="11"/>
        <v>0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20</v>
      </c>
      <c r="AA83" s="50"/>
      <c r="AB83" s="50"/>
      <c r="AC83" s="62">
        <f t="shared" si="17"/>
        <v>-20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si="16"/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6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6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6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6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6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6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6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6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6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6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6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6"/>
        <v>0</v>
      </c>
      <c r="AA96" s="50"/>
      <c r="AB96" s="50"/>
      <c r="AC96" s="62">
        <f t="shared" si="17"/>
        <v>0</v>
      </c>
      <c r="AD96" s="50"/>
    </row>
    <row r="97" spans="2:30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6"/>
        <v>0</v>
      </c>
      <c r="AA97" s="50"/>
      <c r="AB97" s="50"/>
      <c r="AC97" s="62">
        <f t="shared" si="17"/>
        <v>0</v>
      </c>
      <c r="AD97" s="50"/>
    </row>
    <row r="98" spans="2:30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6"/>
        <v>0</v>
      </c>
      <c r="AA98" s="50"/>
      <c r="AB98" s="50"/>
      <c r="AC98" s="62">
        <f t="shared" si="17"/>
        <v>0</v>
      </c>
      <c r="AD98" s="50"/>
    </row>
    <row r="99" spans="2:30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ref="X99" si="18">SUM(V99:W99)</f>
        <v>0</v>
      </c>
      <c r="Y99" s="52"/>
      <c r="Z99" s="64">
        <f t="shared" si="16"/>
        <v>0</v>
      </c>
      <c r="AA99" s="50"/>
      <c r="AB99" s="50"/>
      <c r="AC99" s="62">
        <f t="shared" si="17"/>
        <v>0</v>
      </c>
      <c r="AD99" s="50"/>
    </row>
    <row r="100" spans="2:30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J100" si="19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19"/>
        <v>0</v>
      </c>
      <c r="G100" s="63">
        <f t="shared" si="19"/>
        <v>222</v>
      </c>
      <c r="H100" s="63">
        <f t="shared" si="19"/>
        <v>0</v>
      </c>
      <c r="I100" s="71">
        <f t="shared" si="19"/>
        <v>222</v>
      </c>
      <c r="J100" s="63">
        <f t="shared" si="19"/>
        <v>73</v>
      </c>
      <c r="K100" s="63">
        <f t="shared" ref="K100" si="20">+K4+K5+K6+K7+K8+K9+K10+K11+K12+K13+K14+K15+K16+K17+K18+K19+K20+K21+K22+K23+K24+K25+K26+K27+K28+K29+K30+K31+K32+K33+K34+K35+K36+K37+K38+K39+K40+K41+K42+K43+K44+K45+K46+K47+K48+K49+K50+K51+K52+K53+K54+K55+K56+K57+K58+K59+K60+K61+K62+K63+K64+K65+K66+K67+K68+K69+K70+K71+K72+K73+K74+K75+K76+K77+K78+K79+K80+K81+K82+K83+K84+K85+K86+K87+K88+K89+K90+K91+K92+K93+K94+K95+K96+K97+K98+K99</f>
        <v>0</v>
      </c>
      <c r="L100" s="71">
        <f t="shared" ref="L100" si="21">+L4+L5+L6+L7+L8+L9+L10+L11+L12+L13+L14+L15+L16+L17+L18+L19+L20+L21+L22+L23+L24+L25+L26+L27+L28+L29+L30+L31+L32+L33+L34+L35+L36+L37+L38+L39+L40+L41+L42+L43+L44+L45+L46+L47+L48+L49+L50+L51+L52+L53+L54+L55+L56+L57+L58+L59+L60+L61+L62+L63+L64+L65+L66+L67+L68+L69+L70+L71+L72+L73+L74+L75+L76+L77+L78+L79+L80+L81+L82+L83+L84+L85+L86+L87+L88+L89+L90+L91+L92+L93+L94+L95+L96+L97+L98+L99</f>
        <v>73</v>
      </c>
      <c r="M100" s="71">
        <f t="shared" ref="M100" si="22">+M4+M5+M6+M7+M8+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</f>
        <v>440</v>
      </c>
      <c r="N100" s="71">
        <f t="shared" ref="N100" si="23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</f>
        <v>0</v>
      </c>
      <c r="O100" s="71">
        <f t="shared" ref="O100" si="24">+O4+O5+O6+O7+O8+O9+O10+O11+O12+O13+O14+O15+O16+O17+O18+O19+O20+O21+O22+O23+O24+O25+O26+O27+O28+O29+O30+O31+O32+O33+O34+O35+O36+O37+O38+O39+O40+O41+O42+O43+O44+O45+O46+O47+O48+O49+O50+O51+O52+O53+O54+O55+O56+O57+O58+O59+O60+O61+O62+O63+O64+O65+O66+O67+O68+O69+O70+O71+O72+O73+O74+O75+O76+O77+O78+O79+O80+O81+O82+O83+O84+O85+O86+O87+O88+O89+O90+O91+O92+O93+O94+O95+O96+O97+O98+O99</f>
        <v>440</v>
      </c>
      <c r="P100" s="71">
        <f t="shared" ref="P100" si="25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</f>
        <v>0</v>
      </c>
      <c r="Q100" s="71">
        <f t="shared" ref="Q100" si="26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</f>
        <v>0</v>
      </c>
      <c r="R100" s="71">
        <f t="shared" ref="R100" si="27">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+R78+R79+R80+R81+R82+R83+R84+R85+R86+R87+R88+R89+R90+R91+R92+R93+R94+R95+R96+R97+R98+R99</f>
        <v>0</v>
      </c>
      <c r="S100" s="71">
        <f t="shared" ref="S100" si="28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</f>
        <v>0</v>
      </c>
      <c r="T100" s="71">
        <f t="shared" ref="T100" si="29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0</v>
      </c>
      <c r="U100" s="71">
        <f t="shared" ref="U100" si="30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0</v>
      </c>
      <c r="V100" s="71">
        <f t="shared" ref="V100" si="31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0</v>
      </c>
      <c r="W100" s="71">
        <f t="shared" ref="W100" si="32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  <c r="X100" s="71">
        <f t="shared" ref="X100" si="33">+X4+X5+X6+X7+X8+X9+X10+X11+X12+X13+X14+X15+X16+X17+X18+X19+X20+X21+X22+X23+X24+X25+X26+X27+X28+X29+X30+X31+X32+X33+X34+X35+X36+X37+X38+X39+X40+X41+X42+X43+X44+X45+X46+X47+X48+X49+X50+X51+X52+X53+X54+X55+X56+X57+X58+X59+X60+X61+X62+X63+X64+X65+X66+X67+X68+X69+X70+X71+X72+X73+X74+X75+X76+X77+X78+X79+X80+X81+X82+X83+X84+X85+X86+X87+X88+X89+X90+X91+X92+X93+X94+X95+X96+X97+X98+X99</f>
        <v>0</v>
      </c>
      <c r="Y100" s="71">
        <f t="shared" ref="Y100" si="34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</f>
        <v>0</v>
      </c>
      <c r="Z100" s="71">
        <f>SUM(Z4:Z99)</f>
        <v>735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644</v>
      </c>
      <c r="AB100" s="63">
        <f t="shared" ref="AB100" si="35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588</v>
      </c>
      <c r="AC100" s="63">
        <f t="shared" ref="AC100" si="36">+AC4+AC5+AC6+AC7+AC8+AC9+AC10+AC11+AC12+AC13+AC14+AC15+AC16+AC17+AC18+AC19+AC20+AC21+AC22+AC23+AC24+AC25+AC26+AC27+AC28+AC29+AC30+AC31+AC32+AC33+AC34+AC35+AC36+AC37+AC38+AC39+AC40+AC41+AC42+AC43+AC44+AC45+AC46+AC47+AC48+AC49+AC50+AC51+AC52+AC53+AC54+AC55+AC56+AC57+AC58+AC59+AC60+AC61+AC62+AC63+AC64+AC65+AC66+AC67+AC68+AC69+AC70+AC71+AC72+AC73+AC74+AC75+AC76+AC77+AC78+AC79+AC80+AC81+AC82+AC83+AC84+AC85+AC86+AC87+AC88+AC89+AC90+AC91+AC92+AC93+AC94+AC95+AC96+AC97+AC98+AC99</f>
        <v>497</v>
      </c>
      <c r="AD100" s="63">
        <f t="shared" ref="AD100" si="37">+AD4+AD5+AD6+AD7+AD8+AD9+AD10+AD11+AD12+AD13+AD14+AD15+AD16+AD17+AD18+AD19+AD20+AD21+AD22+AD23+AD24+AD25+AD26+AD27+AD28+AD29+AD30+AD31+AD32+AD33+AD34+AD35+AD36+AD37+AD38+AD39+AD40+AD41+AD42+AD43+AD44+AD45+AD46+AD47+AD48+AD49+AD50+AD51+AD52+AD53+AD54+AD55+AD56+AD57+AD58+AD59+AD60+AD61+AD62+AD63+AD64+AD65+AD66+AD67+AD68+AD69+AD70+AD71+AD72+AD73+AD74+AD75+AD76+AD77+AD78+AD79+AD80+AD81+AD82+AD83+AD84+AD85+AD86+AD87+AD88+AD89+AD90+AD91+AD92+AD93+AD94+AD95+AD96+AD97+AD98+AD99</f>
        <v>615</v>
      </c>
    </row>
    <row r="101" spans="2:30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2:30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2:30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2:30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2:30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2:30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2:30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2:30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2:30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2:30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2:30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2:30"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</sheetData>
  <autoFilter ref="B2:AF2" xr:uid="{3C47631F-A4FA-44D7-ADD8-57CE043BB388}"/>
  <mergeCells count="17">
    <mergeCell ref="B100:C100"/>
    <mergeCell ref="B1:AD1"/>
    <mergeCell ref="B2:B3"/>
    <mergeCell ref="C2:C3"/>
    <mergeCell ref="Y2:Y3"/>
    <mergeCell ref="Z2:Z3"/>
    <mergeCell ref="AA2:AA3"/>
    <mergeCell ref="AB2:AB3"/>
    <mergeCell ref="AD2:AD3"/>
    <mergeCell ref="AC2:AC3"/>
    <mergeCell ref="D2:F2"/>
    <mergeCell ref="G2:I2"/>
    <mergeCell ref="J2:L2"/>
    <mergeCell ref="M2:O2"/>
    <mergeCell ref="P2:R2"/>
    <mergeCell ref="S2:U2"/>
    <mergeCell ref="V2:X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6574-617A-491D-B44D-8209FB7249A6}">
  <sheetPr>
    <pageSetUpPr fitToPage="1"/>
  </sheetPr>
  <dimension ref="B1:AF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5703125" style="58" bestFit="1" customWidth="1"/>
    <col min="27" max="30" width="20.7109375" style="48" customWidth="1"/>
    <col min="31" max="31" width="9.14062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5" t="s">
        <v>207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0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99"/>
      <c r="I2" s="100"/>
      <c r="J2" s="98" t="s">
        <v>7</v>
      </c>
      <c r="K2" s="99"/>
      <c r="L2" s="100"/>
      <c r="M2" s="98" t="s">
        <v>8</v>
      </c>
      <c r="N2" s="99"/>
      <c r="O2" s="100"/>
      <c r="P2" s="98" t="s">
        <v>132</v>
      </c>
      <c r="Q2" s="99"/>
      <c r="R2" s="100"/>
      <c r="S2" s="98" t="s">
        <v>9</v>
      </c>
      <c r="T2" s="99"/>
      <c r="U2" s="100"/>
      <c r="V2" s="66" t="s">
        <v>131</v>
      </c>
      <c r="W2" s="67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0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45</v>
      </c>
      <c r="N4" s="52"/>
      <c r="O4" s="69">
        <f>SUM(M4:N4)</f>
        <v>45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13</v>
      </c>
      <c r="Z4" s="64">
        <f>F4+I4+L4+O4+R4+U4+X4+Y4</f>
        <v>59</v>
      </c>
      <c r="AA4" s="50">
        <v>58</v>
      </c>
      <c r="AB4" s="50">
        <v>1</v>
      </c>
      <c r="AC4" s="62">
        <f>+AA4+AB4-Z4</f>
        <v>0</v>
      </c>
      <c r="AD4" s="50">
        <v>45</v>
      </c>
    </row>
    <row r="5" spans="2:30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25</v>
      </c>
      <c r="H5" s="52"/>
      <c r="I5" s="69">
        <f t="shared" ref="I5:I68" si="1">SUM(G5:H5)</f>
        <v>25</v>
      </c>
      <c r="J5" s="52">
        <v>10</v>
      </c>
      <c r="K5" s="52"/>
      <c r="L5" s="69">
        <f t="shared" ref="L5:L68" si="2">SUM(J5:K5)</f>
        <v>10</v>
      </c>
      <c r="M5" s="52">
        <v>6</v>
      </c>
      <c r="N5" s="52"/>
      <c r="O5" s="69">
        <f t="shared" ref="O5:O68" si="3">SUM(M5:N5)</f>
        <v>6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13</v>
      </c>
      <c r="Z5" s="64">
        <f t="shared" ref="Z5:Z68" si="7">F5+I5+L5+O5+R5+U5+X5+Y5</f>
        <v>54</v>
      </c>
      <c r="AA5" s="59">
        <v>83</v>
      </c>
      <c r="AB5" s="59">
        <v>24</v>
      </c>
      <c r="AC5" s="62">
        <f t="shared" ref="AC5:AC68" si="8">+AA5+AB5-Z5</f>
        <v>53</v>
      </c>
      <c r="AD5" s="59">
        <v>70</v>
      </c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3</v>
      </c>
      <c r="H9" s="52"/>
      <c r="I9" s="69">
        <f t="shared" si="1"/>
        <v>3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3</v>
      </c>
      <c r="AA9" s="50"/>
      <c r="AB9" s="50"/>
      <c r="AC9" s="62">
        <f t="shared" si="8"/>
        <v>-3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</v>
      </c>
      <c r="H16" s="52"/>
      <c r="I16" s="69">
        <f t="shared" si="1"/>
        <v>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2</v>
      </c>
      <c r="AA16" s="50"/>
      <c r="AB16" s="50"/>
      <c r="AC16" s="62">
        <f t="shared" si="8"/>
        <v>-2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</v>
      </c>
      <c r="H17" s="52"/>
      <c r="I17" s="69">
        <f t="shared" si="1"/>
        <v>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2</v>
      </c>
      <c r="AA17" s="50"/>
      <c r="AB17" s="50"/>
      <c r="AC17" s="62">
        <f t="shared" si="8"/>
        <v>-2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</v>
      </c>
      <c r="H18" s="52"/>
      <c r="I18" s="69">
        <f t="shared" si="1"/>
        <v>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2</v>
      </c>
      <c r="AA18" s="50"/>
      <c r="AB18" s="50"/>
      <c r="AC18" s="62">
        <f t="shared" si="8"/>
        <v>-2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2</v>
      </c>
      <c r="H19" s="52"/>
      <c r="I19" s="69">
        <f t="shared" si="1"/>
        <v>2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2</v>
      </c>
      <c r="AA19" s="50"/>
      <c r="AB19" s="50"/>
      <c r="AC19" s="62">
        <f t="shared" si="8"/>
        <v>-2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2</v>
      </c>
      <c r="H20" s="52"/>
      <c r="I20" s="69">
        <f t="shared" si="1"/>
        <v>2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2</v>
      </c>
      <c r="AA20" s="50"/>
      <c r="AB20" s="50"/>
      <c r="AC20" s="62">
        <f t="shared" si="8"/>
        <v>-2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2</v>
      </c>
      <c r="H21" s="52"/>
      <c r="I21" s="69">
        <f t="shared" si="1"/>
        <v>2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2</v>
      </c>
      <c r="AA21" s="50"/>
      <c r="AB21" s="50"/>
      <c r="AC21" s="62">
        <f t="shared" si="8"/>
        <v>-2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/>
      <c r="N25" s="52"/>
      <c r="O25" s="69">
        <f t="shared" si="3"/>
        <v>0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1</v>
      </c>
      <c r="AA25" s="50">
        <v>40</v>
      </c>
      <c r="AB25" s="50">
        <v>17</v>
      </c>
      <c r="AC25" s="62">
        <f t="shared" si="8"/>
        <v>56</v>
      </c>
      <c r="AD25" s="50">
        <v>40</v>
      </c>
    </row>
    <row r="26" spans="2:30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2</v>
      </c>
      <c r="AA26" s="50">
        <v>20</v>
      </c>
      <c r="AB26" s="50">
        <v>10</v>
      </c>
      <c r="AC26" s="62">
        <f t="shared" si="8"/>
        <v>28</v>
      </c>
      <c r="AD26" s="50">
        <v>20</v>
      </c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>
        <v>5</v>
      </c>
      <c r="Z32" s="64">
        <f t="shared" si="7"/>
        <v>5</v>
      </c>
      <c r="AA32" s="50">
        <v>5</v>
      </c>
      <c r="AB32" s="50"/>
      <c r="AC32" s="62">
        <f t="shared" si="8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</row>
    <row r="41" spans="2:30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</v>
      </c>
      <c r="H41" s="52"/>
      <c r="I41" s="69">
        <f t="shared" si="1"/>
        <v>1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</v>
      </c>
      <c r="AA41" s="50">
        <v>10</v>
      </c>
      <c r="AB41" s="50">
        <v>14</v>
      </c>
      <c r="AC41" s="62">
        <f t="shared" si="8"/>
        <v>23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8</v>
      </c>
      <c r="H42" s="52"/>
      <c r="I42" s="69">
        <f t="shared" si="1"/>
        <v>8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8</v>
      </c>
      <c r="AA42" s="50"/>
      <c r="AB42" s="50"/>
      <c r="AC42" s="62">
        <f t="shared" si="8"/>
        <v>-8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8</v>
      </c>
      <c r="H43" s="52"/>
      <c r="I43" s="69">
        <f t="shared" si="1"/>
        <v>8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8</v>
      </c>
      <c r="AA43" s="50"/>
      <c r="AB43" s="50"/>
      <c r="AC43" s="62">
        <f t="shared" si="8"/>
        <v>-8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8</v>
      </c>
      <c r="H44" s="52"/>
      <c r="I44" s="69">
        <f t="shared" si="1"/>
        <v>8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8</v>
      </c>
      <c r="AA44" s="50"/>
      <c r="AB44" s="50"/>
      <c r="AC44" s="62">
        <f t="shared" si="8"/>
        <v>-8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8</v>
      </c>
      <c r="H45" s="52"/>
      <c r="I45" s="69">
        <f t="shared" si="1"/>
        <v>8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8</v>
      </c>
      <c r="AA45" s="50"/>
      <c r="AB45" s="50"/>
      <c r="AC45" s="62">
        <f t="shared" si="8"/>
        <v>-8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8</v>
      </c>
      <c r="H46" s="52"/>
      <c r="I46" s="69">
        <f t="shared" si="1"/>
        <v>8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8</v>
      </c>
      <c r="AA46" s="50"/>
      <c r="AB46" s="50"/>
      <c r="AC46" s="62">
        <f t="shared" si="8"/>
        <v>-8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8</v>
      </c>
      <c r="H47" s="52"/>
      <c r="I47" s="69">
        <f t="shared" si="1"/>
        <v>8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8</v>
      </c>
      <c r="AA47" s="50"/>
      <c r="AB47" s="50"/>
      <c r="AC47" s="62">
        <f t="shared" si="8"/>
        <v>-8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8</v>
      </c>
      <c r="H48" s="52"/>
      <c r="I48" s="69">
        <f t="shared" si="1"/>
        <v>8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8</v>
      </c>
      <c r="AA48" s="50"/>
      <c r="AB48" s="50"/>
      <c r="AC48" s="62">
        <f t="shared" si="8"/>
        <v>-8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8</v>
      </c>
      <c r="H49" s="52"/>
      <c r="I49" s="69">
        <f t="shared" si="1"/>
        <v>8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8</v>
      </c>
      <c r="AA49" s="50"/>
      <c r="AB49" s="50"/>
      <c r="AC49" s="62">
        <f t="shared" si="8"/>
        <v>-8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8</v>
      </c>
      <c r="H50" s="52"/>
      <c r="I50" s="69">
        <f t="shared" si="1"/>
        <v>8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8</v>
      </c>
      <c r="AA50" s="50"/>
      <c r="AB50" s="50"/>
      <c r="AC50" s="62">
        <f t="shared" si="8"/>
        <v>-8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8</v>
      </c>
      <c r="H51" s="52"/>
      <c r="I51" s="69">
        <f t="shared" si="1"/>
        <v>8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8</v>
      </c>
      <c r="AA51" s="50"/>
      <c r="AB51" s="50"/>
      <c r="AC51" s="62">
        <f t="shared" si="8"/>
        <v>-8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>
        <v>10</v>
      </c>
      <c r="Z52" s="64">
        <f t="shared" si="7"/>
        <v>10</v>
      </c>
      <c r="AA52" s="50">
        <v>10</v>
      </c>
      <c r="AB52" s="50"/>
      <c r="AC52" s="62">
        <f t="shared" si="8"/>
        <v>0</v>
      </c>
      <c r="AD52" s="50"/>
    </row>
    <row r="53" spans="2:32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3</v>
      </c>
      <c r="H53" s="52"/>
      <c r="I53" s="69">
        <f t="shared" si="1"/>
        <v>3</v>
      </c>
      <c r="J53" s="52">
        <v>1</v>
      </c>
      <c r="K53" s="52"/>
      <c r="L53" s="69">
        <f t="shared" si="2"/>
        <v>1</v>
      </c>
      <c r="M53" s="52">
        <v>61</v>
      </c>
      <c r="N53" s="52"/>
      <c r="O53" s="69">
        <f t="shared" si="3"/>
        <v>61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>
        <v>2</v>
      </c>
      <c r="Z53" s="64">
        <f t="shared" si="7"/>
        <v>67</v>
      </c>
      <c r="AA53" s="50">
        <v>62</v>
      </c>
      <c r="AB53" s="50">
        <v>81</v>
      </c>
      <c r="AC53" s="62">
        <f t="shared" si="8"/>
        <v>76</v>
      </c>
      <c r="AD53" s="50">
        <v>45</v>
      </c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>
        <v>100</v>
      </c>
      <c r="Z54" s="64">
        <f t="shared" si="7"/>
        <v>100</v>
      </c>
      <c r="AA54" s="50">
        <v>100</v>
      </c>
      <c r="AB54" s="50"/>
      <c r="AC54" s="62">
        <f t="shared" si="8"/>
        <v>0</v>
      </c>
      <c r="AD54" s="50"/>
    </row>
    <row r="55" spans="2:32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2</v>
      </c>
      <c r="H55" s="52"/>
      <c r="I55" s="69">
        <f t="shared" si="1"/>
        <v>2</v>
      </c>
      <c r="J55" s="52">
        <v>1</v>
      </c>
      <c r="K55" s="52"/>
      <c r="L55" s="69">
        <f t="shared" si="2"/>
        <v>1</v>
      </c>
      <c r="M55" s="52">
        <v>61</v>
      </c>
      <c r="N55" s="52"/>
      <c r="O55" s="69">
        <f t="shared" si="3"/>
        <v>61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64</v>
      </c>
      <c r="AA55" s="50">
        <v>60</v>
      </c>
      <c r="AB55" s="50">
        <v>78</v>
      </c>
      <c r="AC55" s="62">
        <f t="shared" si="8"/>
        <v>74</v>
      </c>
      <c r="AD55" s="50">
        <v>45</v>
      </c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>
        <v>20</v>
      </c>
      <c r="Z56" s="64">
        <f t="shared" si="7"/>
        <v>20</v>
      </c>
      <c r="AA56" s="50">
        <v>20</v>
      </c>
      <c r="AB56" s="50"/>
      <c r="AC56" s="62">
        <f t="shared" si="8"/>
        <v>0</v>
      </c>
      <c r="AD56" s="50"/>
    </row>
    <row r="57" spans="2:32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2</v>
      </c>
      <c r="H57" s="52"/>
      <c r="I57" s="69">
        <f t="shared" si="1"/>
        <v>2</v>
      </c>
      <c r="J57" s="52">
        <v>1</v>
      </c>
      <c r="K57" s="52"/>
      <c r="L57" s="69">
        <f t="shared" si="2"/>
        <v>1</v>
      </c>
      <c r="M57" s="52">
        <v>61</v>
      </c>
      <c r="N57" s="52"/>
      <c r="O57" s="69">
        <f t="shared" si="3"/>
        <v>61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69</v>
      </c>
      <c r="AA57" s="50">
        <v>65</v>
      </c>
      <c r="AB57" s="50">
        <v>68</v>
      </c>
      <c r="AC57" s="62">
        <f t="shared" si="8"/>
        <v>64</v>
      </c>
      <c r="AD57" s="50">
        <v>45</v>
      </c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>
        <v>20</v>
      </c>
      <c r="Z58" s="64">
        <f t="shared" si="7"/>
        <v>20</v>
      </c>
      <c r="AA58" s="50">
        <v>20</v>
      </c>
      <c r="AB58" s="50"/>
      <c r="AC58" s="62">
        <f t="shared" si="8"/>
        <v>0</v>
      </c>
      <c r="AD58" s="50"/>
    </row>
    <row r="59" spans="2:32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>
        <v>2</v>
      </c>
      <c r="H59" s="52"/>
      <c r="I59" s="69">
        <f t="shared" si="1"/>
        <v>2</v>
      </c>
      <c r="J59" s="52">
        <v>5</v>
      </c>
      <c r="K59" s="52"/>
      <c r="L59" s="69">
        <f t="shared" si="2"/>
        <v>5</v>
      </c>
      <c r="M59" s="52">
        <v>61</v>
      </c>
      <c r="N59" s="52"/>
      <c r="O59" s="69">
        <f t="shared" si="3"/>
        <v>61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73</v>
      </c>
      <c r="AA59" s="50">
        <v>65</v>
      </c>
      <c r="AB59" s="50">
        <v>89</v>
      </c>
      <c r="AC59" s="62">
        <f t="shared" si="8"/>
        <v>81</v>
      </c>
      <c r="AD59" s="50">
        <v>45</v>
      </c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2</v>
      </c>
      <c r="N60" s="52"/>
      <c r="O60" s="69">
        <f t="shared" si="3"/>
        <v>2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2</v>
      </c>
      <c r="AA60" s="50"/>
      <c r="AB60" s="50">
        <v>40</v>
      </c>
      <c r="AC60" s="62">
        <f t="shared" si="8"/>
        <v>38</v>
      </c>
      <c r="AD60" s="50"/>
    </row>
    <row r="61" spans="2:32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3</v>
      </c>
      <c r="H61" s="52"/>
      <c r="I61" s="69">
        <f t="shared" si="1"/>
        <v>3</v>
      </c>
      <c r="J61" s="52">
        <v>1</v>
      </c>
      <c r="K61" s="52"/>
      <c r="L61" s="69">
        <f t="shared" si="2"/>
        <v>1</v>
      </c>
      <c r="M61" s="52">
        <v>57</v>
      </c>
      <c r="N61" s="52"/>
      <c r="O61" s="69">
        <f t="shared" si="3"/>
        <v>57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5</v>
      </c>
      <c r="Z61" s="64">
        <f t="shared" si="7"/>
        <v>66</v>
      </c>
      <c r="AA61" s="50">
        <v>65</v>
      </c>
      <c r="AB61" s="50">
        <v>66</v>
      </c>
      <c r="AC61" s="62">
        <f t="shared" si="8"/>
        <v>65</v>
      </c>
      <c r="AD61" s="50">
        <v>45</v>
      </c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</row>
    <row r="63" spans="2:32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3</v>
      </c>
      <c r="H63" s="52"/>
      <c r="I63" s="69">
        <f t="shared" si="1"/>
        <v>3</v>
      </c>
      <c r="J63" s="52">
        <v>1</v>
      </c>
      <c r="K63" s="52"/>
      <c r="L63" s="69">
        <f t="shared" si="2"/>
        <v>1</v>
      </c>
      <c r="M63" s="52">
        <v>65</v>
      </c>
      <c r="N63" s="52"/>
      <c r="O63" s="69">
        <f t="shared" si="3"/>
        <v>65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69</v>
      </c>
      <c r="AA63" s="50">
        <v>60</v>
      </c>
      <c r="AB63" s="50">
        <v>69</v>
      </c>
      <c r="AC63" s="62">
        <f t="shared" si="8"/>
        <v>60</v>
      </c>
      <c r="AD63" s="50">
        <v>45</v>
      </c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21</v>
      </c>
      <c r="N66" s="52"/>
      <c r="O66" s="69">
        <f t="shared" si="3"/>
        <v>21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21</v>
      </c>
      <c r="AA66" s="50">
        <v>60</v>
      </c>
      <c r="AB66" s="50">
        <v>19</v>
      </c>
      <c r="AC66" s="62">
        <f t="shared" si="8"/>
        <v>58</v>
      </c>
      <c r="AD66" s="50"/>
    </row>
    <row r="67" spans="2:30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7</v>
      </c>
      <c r="H67" s="52"/>
      <c r="I67" s="69">
        <f t="shared" si="1"/>
        <v>7</v>
      </c>
      <c r="J67" s="52">
        <v>3</v>
      </c>
      <c r="K67" s="52"/>
      <c r="L67" s="69">
        <f t="shared" si="2"/>
        <v>3</v>
      </c>
      <c r="M67" s="52">
        <v>26</v>
      </c>
      <c r="N67" s="52"/>
      <c r="O67" s="69">
        <f t="shared" si="3"/>
        <v>26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36</v>
      </c>
      <c r="AA67" s="50"/>
      <c r="AB67" s="50"/>
      <c r="AC67" s="62">
        <f t="shared" si="8"/>
        <v>-36</v>
      </c>
      <c r="AD67" s="50">
        <v>150</v>
      </c>
    </row>
    <row r="68" spans="2:30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1</v>
      </c>
      <c r="H68" s="52"/>
      <c r="I68" s="69">
        <f t="shared" si="1"/>
        <v>1</v>
      </c>
      <c r="J68" s="52">
        <v>2</v>
      </c>
      <c r="K68" s="52"/>
      <c r="L68" s="69">
        <f t="shared" si="2"/>
        <v>2</v>
      </c>
      <c r="M68" s="52">
        <v>26</v>
      </c>
      <c r="N68" s="52"/>
      <c r="O68" s="69">
        <f t="shared" si="3"/>
        <v>26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29</v>
      </c>
      <c r="AA68" s="50"/>
      <c r="AB68" s="50">
        <v>35</v>
      </c>
      <c r="AC68" s="62">
        <f t="shared" si="8"/>
        <v>6</v>
      </c>
      <c r="AD68" s="50">
        <v>150</v>
      </c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>
        <v>1</v>
      </c>
      <c r="H69" s="52"/>
      <c r="I69" s="69">
        <f t="shared" ref="I69:I99" si="10">SUM(G69:H69)</f>
        <v>1</v>
      </c>
      <c r="J69" s="52"/>
      <c r="K69" s="52"/>
      <c r="L69" s="69">
        <f t="shared" ref="L69:L99" si="11">SUM(J69:K69)</f>
        <v>0</v>
      </c>
      <c r="M69" s="52">
        <v>41</v>
      </c>
      <c r="N69" s="52"/>
      <c r="O69" s="69">
        <f t="shared" ref="O69:O99" si="12">SUM(M69:N69)</f>
        <v>41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9" si="15">SUM(V69:W69)</f>
        <v>0</v>
      </c>
      <c r="Y69" s="52"/>
      <c r="Z69" s="64">
        <f t="shared" ref="Z69:Z83" si="16">F69+I69+L69+O69+R69+U69+X69+Y69</f>
        <v>42</v>
      </c>
      <c r="AA69" s="50"/>
      <c r="AB69" s="50">
        <v>16</v>
      </c>
      <c r="AC69" s="62">
        <f t="shared" ref="AC69:AC99" si="17">+AA69+AB69-Z69</f>
        <v>-26</v>
      </c>
      <c r="AD69" s="50">
        <v>150</v>
      </c>
    </row>
    <row r="70" spans="2:30">
      <c r="B70" s="50">
        <v>1124021</v>
      </c>
      <c r="C70" s="54" t="s">
        <v>190</v>
      </c>
      <c r="D70" s="52">
        <v>3</v>
      </c>
      <c r="E70" s="52"/>
      <c r="F70" s="69">
        <f t="shared" si="9"/>
        <v>3</v>
      </c>
      <c r="G70" s="52">
        <v>13</v>
      </c>
      <c r="H70" s="52"/>
      <c r="I70" s="69">
        <f t="shared" si="10"/>
        <v>13</v>
      </c>
      <c r="J70" s="52"/>
      <c r="K70" s="52"/>
      <c r="L70" s="69">
        <f t="shared" si="11"/>
        <v>0</v>
      </c>
      <c r="M70" s="52">
        <v>16</v>
      </c>
      <c r="N70" s="52"/>
      <c r="O70" s="69">
        <f t="shared" si="12"/>
        <v>16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32</v>
      </c>
      <c r="AA70" s="50">
        <v>20</v>
      </c>
      <c r="AB70" s="50">
        <v>20</v>
      </c>
      <c r="AC70" s="62">
        <f t="shared" si="17"/>
        <v>8</v>
      </c>
      <c r="AD70" s="50">
        <v>50</v>
      </c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/>
      <c r="E75" s="52"/>
      <c r="F75" s="69">
        <f t="shared" si="9"/>
        <v>0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>
        <v>4</v>
      </c>
      <c r="N75" s="52"/>
      <c r="O75" s="69">
        <f t="shared" si="12"/>
        <v>4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4</v>
      </c>
      <c r="AA75" s="50"/>
      <c r="AB75" s="50">
        <v>20</v>
      </c>
      <c r="AC75" s="62">
        <f t="shared" si="17"/>
        <v>16</v>
      </c>
      <c r="AD75" s="50"/>
    </row>
    <row r="76" spans="2:30">
      <c r="B76" s="50">
        <v>1113171</v>
      </c>
      <c r="C76" s="54" t="s">
        <v>88</v>
      </c>
      <c r="D76" s="52"/>
      <c r="E76" s="52"/>
      <c r="F76" s="69">
        <f t="shared" si="9"/>
        <v>0</v>
      </c>
      <c r="G76" s="52"/>
      <c r="H76" s="52"/>
      <c r="I76" s="69">
        <f t="shared" si="10"/>
        <v>0</v>
      </c>
      <c r="J76" s="52">
        <v>1</v>
      </c>
      <c r="K76" s="52"/>
      <c r="L76" s="69">
        <f t="shared" si="11"/>
        <v>1</v>
      </c>
      <c r="M76" s="52">
        <v>3</v>
      </c>
      <c r="N76" s="52"/>
      <c r="O76" s="69">
        <f t="shared" si="12"/>
        <v>3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4</v>
      </c>
      <c r="AA76" s="50"/>
      <c r="AB76" s="50">
        <v>22</v>
      </c>
      <c r="AC76" s="62">
        <f t="shared" si="17"/>
        <v>18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/>
      <c r="E78" s="52"/>
      <c r="F78" s="69">
        <f t="shared" si="9"/>
        <v>0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>
        <v>3</v>
      </c>
      <c r="N78" s="52"/>
      <c r="O78" s="69">
        <f t="shared" si="12"/>
        <v>3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3</v>
      </c>
      <c r="AA78" s="50"/>
      <c r="AB78" s="50">
        <v>24</v>
      </c>
      <c r="AC78" s="62">
        <f t="shared" si="17"/>
        <v>21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>
        <v>5</v>
      </c>
      <c r="Z79" s="64">
        <f t="shared" si="16"/>
        <v>5</v>
      </c>
      <c r="AA79" s="50">
        <v>5</v>
      </c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/>
      <c r="H82" s="52"/>
      <c r="I82" s="69">
        <f t="shared" si="10"/>
        <v>0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0</v>
      </c>
      <c r="AA82" s="50"/>
      <c r="AB82" s="50"/>
      <c r="AC82" s="62">
        <f t="shared" si="17"/>
        <v>0</v>
      </c>
      <c r="AD82" s="50"/>
    </row>
    <row r="83" spans="2:30">
      <c r="B83" s="50">
        <v>200</v>
      </c>
      <c r="C83" s="54" t="s">
        <v>198</v>
      </c>
      <c r="D83" s="52"/>
      <c r="E83" s="52"/>
      <c r="F83" s="69">
        <f t="shared" si="9"/>
        <v>0</v>
      </c>
      <c r="G83" s="52">
        <v>19</v>
      </c>
      <c r="H83" s="52"/>
      <c r="I83" s="69">
        <f t="shared" si="10"/>
        <v>19</v>
      </c>
      <c r="J83" s="52">
        <v>6</v>
      </c>
      <c r="K83" s="52"/>
      <c r="L83" s="69">
        <f t="shared" si="11"/>
        <v>6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25</v>
      </c>
      <c r="AA83" s="50"/>
      <c r="AB83" s="50"/>
      <c r="AC83" s="62">
        <f t="shared" si="17"/>
        <v>-25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ref="Z84:Z99" si="18">SUM(D84:Y84)</f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8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8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8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8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8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8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8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8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8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8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8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8"/>
        <v>0</v>
      </c>
      <c r="AA96" s="50"/>
      <c r="AB96" s="50"/>
      <c r="AC96" s="62">
        <f t="shared" si="17"/>
        <v>0</v>
      </c>
      <c r="AD96" s="50"/>
    </row>
    <row r="97" spans="2:32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8"/>
        <v>0</v>
      </c>
      <c r="AA97" s="50"/>
      <c r="AB97" s="50"/>
      <c r="AC97" s="62">
        <f t="shared" si="17"/>
        <v>0</v>
      </c>
      <c r="AD97" s="50"/>
    </row>
    <row r="98" spans="2:32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8"/>
        <v>0</v>
      </c>
      <c r="AA98" s="50"/>
      <c r="AB98" s="50"/>
      <c r="AC98" s="62">
        <f t="shared" si="17"/>
        <v>0</v>
      </c>
      <c r="AD98" s="50"/>
    </row>
    <row r="99" spans="2:32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si="15"/>
        <v>0</v>
      </c>
      <c r="Y99" s="52"/>
      <c r="Z99" s="64">
        <f t="shared" si="18"/>
        <v>0</v>
      </c>
      <c r="AA99" s="50"/>
      <c r="AB99" s="50"/>
      <c r="AC99" s="62">
        <f t="shared" si="17"/>
        <v>0</v>
      </c>
      <c r="AD99" s="50"/>
    </row>
    <row r="100" spans="2:32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</v>
      </c>
      <c r="E100" s="63">
        <f t="shared" ref="E100:Y100" si="19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19"/>
        <v>3</v>
      </c>
      <c r="G100" s="63">
        <f t="shared" si="19"/>
        <v>196</v>
      </c>
      <c r="H100" s="63">
        <f t="shared" si="19"/>
        <v>0</v>
      </c>
      <c r="I100" s="71">
        <f t="shared" si="19"/>
        <v>196</v>
      </c>
      <c r="J100" s="63">
        <f t="shared" si="19"/>
        <v>32</v>
      </c>
      <c r="K100" s="63">
        <f t="shared" si="19"/>
        <v>0</v>
      </c>
      <c r="L100" s="71">
        <f t="shared" si="19"/>
        <v>32</v>
      </c>
      <c r="M100" s="63">
        <f t="shared" si="19"/>
        <v>559</v>
      </c>
      <c r="N100" s="63">
        <f t="shared" si="19"/>
        <v>0</v>
      </c>
      <c r="O100" s="71">
        <f t="shared" si="19"/>
        <v>559</v>
      </c>
      <c r="P100" s="63">
        <f t="shared" si="19"/>
        <v>0</v>
      </c>
      <c r="Q100" s="63">
        <f t="shared" si="19"/>
        <v>0</v>
      </c>
      <c r="R100" s="71">
        <f t="shared" si="19"/>
        <v>0</v>
      </c>
      <c r="S100" s="63">
        <f t="shared" si="19"/>
        <v>0</v>
      </c>
      <c r="T100" s="63">
        <f t="shared" si="19"/>
        <v>0</v>
      </c>
      <c r="U100" s="71">
        <f t="shared" si="19"/>
        <v>0</v>
      </c>
      <c r="V100" s="63">
        <f t="shared" si="19"/>
        <v>0</v>
      </c>
      <c r="W100" s="63">
        <f t="shared" si="19"/>
        <v>0</v>
      </c>
      <c r="X100" s="71">
        <f t="shared" si="19"/>
        <v>0</v>
      </c>
      <c r="Y100" s="63">
        <f t="shared" si="19"/>
        <v>203</v>
      </c>
      <c r="Z100" s="63">
        <f>SUM(Z4:Z99)</f>
        <v>993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828</v>
      </c>
      <c r="AB100" s="63">
        <f t="shared" ref="AB100:AD100" si="20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713</v>
      </c>
      <c r="AC100" s="63">
        <f t="shared" si="20"/>
        <v>548</v>
      </c>
      <c r="AD100" s="63">
        <f t="shared" si="20"/>
        <v>945</v>
      </c>
    </row>
    <row r="101" spans="2:32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72">
        <f>SUM(Z100)</f>
        <v>993</v>
      </c>
    </row>
    <row r="102" spans="2:32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2:32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2:32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2:32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2:32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2:32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2:32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2:32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2:32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2:32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2:32" s="57" customFormat="1"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</row>
  </sheetData>
  <autoFilter ref="B2:AF2" xr:uid="{3C47631F-A4FA-44D7-ADD8-57CE043BB388}"/>
  <mergeCells count="16">
    <mergeCell ref="B100:C100"/>
    <mergeCell ref="Y2:Y3"/>
    <mergeCell ref="Z2:Z3"/>
    <mergeCell ref="AA2:AA3"/>
    <mergeCell ref="D2:F2"/>
    <mergeCell ref="G2:I2"/>
    <mergeCell ref="J2:L2"/>
    <mergeCell ref="M2:O2"/>
    <mergeCell ref="P2:R2"/>
    <mergeCell ref="AB2:AB3"/>
    <mergeCell ref="AC2:AC3"/>
    <mergeCell ref="AD2:AD3"/>
    <mergeCell ref="B1:AD1"/>
    <mergeCell ref="B2:B3"/>
    <mergeCell ref="C2:C3"/>
    <mergeCell ref="S2: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BD4D-1861-4BCF-A571-94354D39DF7E}">
  <sheetPr>
    <pageSetUpPr fitToPage="1"/>
  </sheetPr>
  <dimension ref="A1:AG112"/>
  <sheetViews>
    <sheetView topLeftCell="L1"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bestFit="1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5" t="s">
        <v>208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0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99"/>
      <c r="I2" s="100"/>
      <c r="J2" s="98" t="s">
        <v>7</v>
      </c>
      <c r="K2" s="99"/>
      <c r="L2" s="100"/>
      <c r="M2" s="98" t="s">
        <v>8</v>
      </c>
      <c r="N2" s="99"/>
      <c r="O2" s="100"/>
      <c r="P2" s="98" t="s">
        <v>132</v>
      </c>
      <c r="Q2" s="99"/>
      <c r="R2" s="100"/>
      <c r="S2" s="98" t="s">
        <v>9</v>
      </c>
      <c r="T2" s="99"/>
      <c r="U2" s="100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0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30</v>
      </c>
      <c r="N4" s="52"/>
      <c r="O4" s="69">
        <f>SUM(M4:N4)</f>
        <v>30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F4+I4+L4+O4+R4+U4+X4+Y4</f>
        <v>31</v>
      </c>
      <c r="AA4" s="50"/>
      <c r="AB4" s="50">
        <v>54</v>
      </c>
      <c r="AC4" s="62">
        <f>+AA4+AB4-Z4</f>
        <v>23</v>
      </c>
      <c r="AD4" s="50"/>
    </row>
    <row r="5" spans="2:30">
      <c r="B5" s="50">
        <v>1111002</v>
      </c>
      <c r="C5" s="51" t="s">
        <v>150</v>
      </c>
      <c r="D5" s="52">
        <v>2</v>
      </c>
      <c r="E5" s="52"/>
      <c r="F5" s="69">
        <f t="shared" ref="F5:F68" si="0">SUM(D5:E5)</f>
        <v>2</v>
      </c>
      <c r="G5" s="52">
        <v>26</v>
      </c>
      <c r="H5" s="52"/>
      <c r="I5" s="69">
        <f t="shared" ref="I5:I68" si="1">SUM(G5:H5)</f>
        <v>26</v>
      </c>
      <c r="J5" s="52">
        <v>18</v>
      </c>
      <c r="K5" s="52"/>
      <c r="L5" s="69">
        <f t="shared" ref="L5:L68" si="2">SUM(J5:K5)</f>
        <v>18</v>
      </c>
      <c r="M5" s="52">
        <v>24</v>
      </c>
      <c r="N5" s="52"/>
      <c r="O5" s="69">
        <f t="shared" ref="O5:O68" si="3">SUM(M5:N5)</f>
        <v>24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2</v>
      </c>
      <c r="Z5" s="64">
        <f>F5+I5+L5+O5+R5+U5+X5+Y5</f>
        <v>72</v>
      </c>
      <c r="AA5" s="59"/>
      <c r="AB5" s="59"/>
      <c r="AC5" s="62">
        <f t="shared" ref="AC5:AC68" si="7">+AA5+AB5-Z5</f>
        <v>-72</v>
      </c>
      <c r="AD5" s="59"/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ref="Z6:Z68" si="8">F6+I6+L6+O6+R6+U6+X6+Y6</f>
        <v>0</v>
      </c>
      <c r="AA6" s="50"/>
      <c r="AB6" s="50"/>
      <c r="AC6" s="62">
        <f t="shared" si="7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8"/>
        <v>0</v>
      </c>
      <c r="AA7" s="50"/>
      <c r="AB7" s="50"/>
      <c r="AC7" s="62">
        <f t="shared" si="7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8"/>
        <v>0</v>
      </c>
      <c r="AA8" s="50"/>
      <c r="AB8" s="50"/>
      <c r="AC8" s="62">
        <f t="shared" si="7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22</v>
      </c>
      <c r="H9" s="52"/>
      <c r="I9" s="69">
        <f t="shared" si="1"/>
        <v>22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8"/>
        <v>22</v>
      </c>
      <c r="AA9" s="50"/>
      <c r="AB9" s="50"/>
      <c r="AC9" s="62">
        <f t="shared" si="7"/>
        <v>-22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22</v>
      </c>
      <c r="H10" s="52"/>
      <c r="I10" s="69">
        <f t="shared" si="1"/>
        <v>22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8"/>
        <v>22</v>
      </c>
      <c r="AA10" s="50"/>
      <c r="AB10" s="50"/>
      <c r="AC10" s="62">
        <f t="shared" si="7"/>
        <v>-22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22</v>
      </c>
      <c r="H11" s="52"/>
      <c r="I11" s="69">
        <f t="shared" si="1"/>
        <v>22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8"/>
        <v>22</v>
      </c>
      <c r="AA11" s="50"/>
      <c r="AB11" s="50"/>
      <c r="AC11" s="62">
        <f t="shared" si="7"/>
        <v>-22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22</v>
      </c>
      <c r="H12" s="52"/>
      <c r="I12" s="69">
        <f t="shared" si="1"/>
        <v>22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8"/>
        <v>22</v>
      </c>
      <c r="AA12" s="50"/>
      <c r="AB12" s="50"/>
      <c r="AC12" s="62">
        <f t="shared" si="7"/>
        <v>-22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22</v>
      </c>
      <c r="H13" s="52"/>
      <c r="I13" s="69">
        <f t="shared" si="1"/>
        <v>22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8"/>
        <v>22</v>
      </c>
      <c r="AA13" s="50"/>
      <c r="AB13" s="50"/>
      <c r="AC13" s="62">
        <f t="shared" si="7"/>
        <v>-22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22</v>
      </c>
      <c r="H14" s="52"/>
      <c r="I14" s="69">
        <f t="shared" si="1"/>
        <v>22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8"/>
        <v>22</v>
      </c>
      <c r="AA14" s="50"/>
      <c r="AB14" s="50"/>
      <c r="AC14" s="62">
        <f t="shared" si="7"/>
        <v>-22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22</v>
      </c>
      <c r="H15" s="52"/>
      <c r="I15" s="69">
        <f t="shared" si="1"/>
        <v>22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8"/>
        <v>22</v>
      </c>
      <c r="AA15" s="50"/>
      <c r="AB15" s="50"/>
      <c r="AC15" s="62">
        <f t="shared" si="7"/>
        <v>-22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22</v>
      </c>
      <c r="H16" s="52"/>
      <c r="I16" s="69">
        <f t="shared" si="1"/>
        <v>22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8"/>
        <v>22</v>
      </c>
      <c r="AA16" s="50"/>
      <c r="AB16" s="50"/>
      <c r="AC16" s="62">
        <f t="shared" si="7"/>
        <v>-22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22</v>
      </c>
      <c r="H17" s="52"/>
      <c r="I17" s="69">
        <f t="shared" si="1"/>
        <v>22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8"/>
        <v>22</v>
      </c>
      <c r="AA17" s="50"/>
      <c r="AB17" s="50"/>
      <c r="AC17" s="62">
        <f t="shared" si="7"/>
        <v>-22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22</v>
      </c>
      <c r="H18" s="52"/>
      <c r="I18" s="69">
        <f t="shared" si="1"/>
        <v>22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8"/>
        <v>22</v>
      </c>
      <c r="AA18" s="50"/>
      <c r="AB18" s="50"/>
      <c r="AC18" s="62">
        <f t="shared" si="7"/>
        <v>-22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8"/>
        <v>0</v>
      </c>
      <c r="AA19" s="50"/>
      <c r="AB19" s="50"/>
      <c r="AC19" s="62">
        <f t="shared" si="7"/>
        <v>0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8"/>
        <v>0</v>
      </c>
      <c r="AA20" s="50"/>
      <c r="AB20" s="50"/>
      <c r="AC20" s="62">
        <f t="shared" si="7"/>
        <v>0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8"/>
        <v>0</v>
      </c>
      <c r="AA21" s="50"/>
      <c r="AB21" s="50"/>
      <c r="AC21" s="62">
        <f t="shared" si="7"/>
        <v>0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8"/>
        <v>0</v>
      </c>
      <c r="AA22" s="50"/>
      <c r="AB22" s="50"/>
      <c r="AC22" s="62">
        <f t="shared" si="7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8"/>
        <v>0</v>
      </c>
      <c r="AA23" s="50"/>
      <c r="AB23" s="50"/>
      <c r="AC23" s="62">
        <f t="shared" si="7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8"/>
        <v>0</v>
      </c>
      <c r="AA24" s="50"/>
      <c r="AB24" s="50"/>
      <c r="AC24" s="62">
        <f t="shared" si="7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51</v>
      </c>
      <c r="N25" s="52"/>
      <c r="O25" s="69">
        <f t="shared" si="3"/>
        <v>51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8"/>
        <v>51</v>
      </c>
      <c r="AA25" s="50"/>
      <c r="AB25" s="50">
        <v>28</v>
      </c>
      <c r="AC25" s="62">
        <f t="shared" si="7"/>
        <v>-23</v>
      </c>
      <c r="AD25" s="50"/>
    </row>
    <row r="26" spans="2:30">
      <c r="B26" s="50">
        <v>1111009</v>
      </c>
      <c r="C26" s="51" t="s">
        <v>157</v>
      </c>
      <c r="D26" s="52">
        <v>2</v>
      </c>
      <c r="E26" s="52"/>
      <c r="F26" s="69">
        <f t="shared" si="0"/>
        <v>2</v>
      </c>
      <c r="G26" s="52">
        <v>5</v>
      </c>
      <c r="H26" s="52"/>
      <c r="I26" s="69">
        <f t="shared" si="1"/>
        <v>5</v>
      </c>
      <c r="J26" s="52">
        <v>1</v>
      </c>
      <c r="K26" s="52"/>
      <c r="L26" s="69">
        <f t="shared" si="2"/>
        <v>1</v>
      </c>
      <c r="M26" s="52">
        <v>2</v>
      </c>
      <c r="N26" s="52"/>
      <c r="O26" s="69">
        <f t="shared" si="3"/>
        <v>2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8"/>
        <v>10</v>
      </c>
      <c r="AA26" s="50"/>
      <c r="AB26" s="50">
        <v>23</v>
      </c>
      <c r="AC26" s="62">
        <f t="shared" si="7"/>
        <v>13</v>
      </c>
      <c r="AD26" s="50"/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8"/>
        <v>0</v>
      </c>
      <c r="AA27" s="50"/>
      <c r="AB27" s="50"/>
      <c r="AC27" s="62">
        <f t="shared" si="7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8"/>
        <v>0</v>
      </c>
      <c r="AA28" s="50"/>
      <c r="AB28" s="50"/>
      <c r="AC28" s="62">
        <f t="shared" si="7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8"/>
        <v>0</v>
      </c>
      <c r="AA29" s="50"/>
      <c r="AB29" s="50"/>
      <c r="AC29" s="62">
        <f t="shared" si="7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8"/>
        <v>0</v>
      </c>
      <c r="AA30" s="50"/>
      <c r="AB30" s="50"/>
      <c r="AC30" s="62">
        <f t="shared" si="7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8"/>
        <v>0</v>
      </c>
      <c r="AA31" s="50"/>
      <c r="AB31" s="50"/>
      <c r="AC31" s="62">
        <f t="shared" si="7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8"/>
        <v>0</v>
      </c>
      <c r="AA32" s="50"/>
      <c r="AB32" s="50"/>
      <c r="AC32" s="62">
        <f t="shared" si="7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8"/>
        <v>0</v>
      </c>
      <c r="AA33" s="50"/>
      <c r="AB33" s="50"/>
      <c r="AC33" s="62">
        <f t="shared" si="7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8"/>
        <v>0</v>
      </c>
      <c r="AA34" s="50"/>
      <c r="AB34" s="50"/>
      <c r="AC34" s="62">
        <f t="shared" si="7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8"/>
        <v>0</v>
      </c>
      <c r="AA35" s="50"/>
      <c r="AB35" s="50"/>
      <c r="AC35" s="62">
        <f t="shared" si="7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8"/>
        <v>0</v>
      </c>
      <c r="AA36" s="50"/>
      <c r="AB36" s="50"/>
      <c r="AC36" s="62">
        <f t="shared" si="7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8"/>
        <v>0</v>
      </c>
      <c r="AA37" s="50"/>
      <c r="AB37" s="50"/>
      <c r="AC37" s="62">
        <f t="shared" si="7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8"/>
        <v>0</v>
      </c>
      <c r="AA38" s="50"/>
      <c r="AB38" s="50"/>
      <c r="AC38" s="62">
        <f t="shared" si="7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8"/>
        <v>0</v>
      </c>
      <c r="AA39" s="50"/>
      <c r="AB39" s="50"/>
      <c r="AC39" s="62">
        <f t="shared" si="7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8"/>
        <v>0</v>
      </c>
      <c r="AA40" s="50"/>
      <c r="AB40" s="50"/>
      <c r="AC40" s="62">
        <f t="shared" si="7"/>
        <v>0</v>
      </c>
      <c r="AD40" s="50"/>
    </row>
    <row r="41" spans="2:30">
      <c r="B41" s="50">
        <v>1111056</v>
      </c>
      <c r="C41" s="51" t="s">
        <v>172</v>
      </c>
      <c r="D41" s="52">
        <v>7</v>
      </c>
      <c r="E41" s="52"/>
      <c r="F41" s="69">
        <f t="shared" si="0"/>
        <v>7</v>
      </c>
      <c r="G41" s="52">
        <v>9</v>
      </c>
      <c r="H41" s="52"/>
      <c r="I41" s="69">
        <f t="shared" si="1"/>
        <v>9</v>
      </c>
      <c r="J41" s="52">
        <v>1</v>
      </c>
      <c r="K41" s="52"/>
      <c r="L41" s="69">
        <f t="shared" si="2"/>
        <v>1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8"/>
        <v>17</v>
      </c>
      <c r="AA41" s="50"/>
      <c r="AB41" s="50">
        <v>13</v>
      </c>
      <c r="AC41" s="62">
        <f t="shared" si="7"/>
        <v>-4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8</v>
      </c>
      <c r="H42" s="52"/>
      <c r="I42" s="69">
        <f t="shared" si="1"/>
        <v>8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8"/>
        <v>8</v>
      </c>
      <c r="AA42" s="50"/>
      <c r="AB42" s="50"/>
      <c r="AC42" s="62">
        <f t="shared" si="7"/>
        <v>-8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8</v>
      </c>
      <c r="H43" s="52"/>
      <c r="I43" s="69">
        <f t="shared" si="1"/>
        <v>8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8"/>
        <v>8</v>
      </c>
      <c r="AA43" s="50"/>
      <c r="AB43" s="50"/>
      <c r="AC43" s="62">
        <f t="shared" si="7"/>
        <v>-8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8</v>
      </c>
      <c r="H44" s="52"/>
      <c r="I44" s="69">
        <f t="shared" si="1"/>
        <v>8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8"/>
        <v>8</v>
      </c>
      <c r="AA44" s="50"/>
      <c r="AB44" s="50"/>
      <c r="AC44" s="62">
        <f t="shared" si="7"/>
        <v>-8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8</v>
      </c>
      <c r="H45" s="52"/>
      <c r="I45" s="69">
        <f t="shared" si="1"/>
        <v>8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8"/>
        <v>8</v>
      </c>
      <c r="AA45" s="50"/>
      <c r="AB45" s="50"/>
      <c r="AC45" s="62">
        <f t="shared" si="7"/>
        <v>-8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8</v>
      </c>
      <c r="H46" s="52"/>
      <c r="I46" s="69">
        <f t="shared" si="1"/>
        <v>8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8"/>
        <v>8</v>
      </c>
      <c r="AA46" s="50"/>
      <c r="AB46" s="50"/>
      <c r="AC46" s="62">
        <f t="shared" si="7"/>
        <v>-8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8</v>
      </c>
      <c r="H47" s="52"/>
      <c r="I47" s="69">
        <f t="shared" si="1"/>
        <v>8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8"/>
        <v>8</v>
      </c>
      <c r="AA47" s="50"/>
      <c r="AB47" s="50"/>
      <c r="AC47" s="62">
        <f t="shared" si="7"/>
        <v>-8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8</v>
      </c>
      <c r="H48" s="52"/>
      <c r="I48" s="69">
        <f t="shared" si="1"/>
        <v>8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8"/>
        <v>8</v>
      </c>
      <c r="AA48" s="50"/>
      <c r="AB48" s="50"/>
      <c r="AC48" s="62">
        <f t="shared" si="7"/>
        <v>-8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8</v>
      </c>
      <c r="H49" s="52"/>
      <c r="I49" s="69">
        <f t="shared" si="1"/>
        <v>8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8"/>
        <v>8</v>
      </c>
      <c r="AA49" s="50"/>
      <c r="AB49" s="50"/>
      <c r="AC49" s="62">
        <f t="shared" si="7"/>
        <v>-8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8</v>
      </c>
      <c r="H50" s="52"/>
      <c r="I50" s="69">
        <f t="shared" si="1"/>
        <v>8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8"/>
        <v>8</v>
      </c>
      <c r="AA50" s="50"/>
      <c r="AB50" s="50"/>
      <c r="AC50" s="62">
        <f t="shared" si="7"/>
        <v>-8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8</v>
      </c>
      <c r="H51" s="52"/>
      <c r="I51" s="69">
        <f t="shared" si="1"/>
        <v>8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8"/>
        <v>8</v>
      </c>
      <c r="AA51" s="50"/>
      <c r="AB51" s="50"/>
      <c r="AC51" s="62">
        <f t="shared" si="7"/>
        <v>-8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8"/>
        <v>0</v>
      </c>
      <c r="AA52" s="50"/>
      <c r="AB52" s="50"/>
      <c r="AC52" s="62">
        <f t="shared" si="7"/>
        <v>0</v>
      </c>
      <c r="AD52" s="50"/>
    </row>
    <row r="53" spans="2:32">
      <c r="B53" s="50">
        <v>1112003</v>
      </c>
      <c r="C53" s="51" t="s">
        <v>174</v>
      </c>
      <c r="D53" s="52">
        <v>2</v>
      </c>
      <c r="E53" s="52"/>
      <c r="F53" s="69">
        <f t="shared" si="0"/>
        <v>2</v>
      </c>
      <c r="G53" s="52">
        <v>1</v>
      </c>
      <c r="H53" s="52"/>
      <c r="I53" s="69">
        <f t="shared" si="1"/>
        <v>1</v>
      </c>
      <c r="J53" s="52">
        <v>1</v>
      </c>
      <c r="K53" s="52"/>
      <c r="L53" s="69">
        <f t="shared" si="2"/>
        <v>1</v>
      </c>
      <c r="M53" s="52">
        <v>80</v>
      </c>
      <c r="N53" s="52"/>
      <c r="O53" s="69">
        <f t="shared" si="3"/>
        <v>80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8"/>
        <v>84</v>
      </c>
      <c r="AA53" s="50"/>
      <c r="AB53" s="50">
        <v>70</v>
      </c>
      <c r="AC53" s="62">
        <f t="shared" si="7"/>
        <v>-14</v>
      </c>
      <c r="AD53" s="50"/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8"/>
        <v>0</v>
      </c>
      <c r="AA54" s="50"/>
      <c r="AB54" s="50"/>
      <c r="AC54" s="62">
        <f t="shared" si="7"/>
        <v>0</v>
      </c>
      <c r="AD54" s="50"/>
    </row>
    <row r="55" spans="2:32">
      <c r="B55" s="50">
        <v>1112005</v>
      </c>
      <c r="C55" s="51" t="s">
        <v>176</v>
      </c>
      <c r="D55" s="52">
        <v>2</v>
      </c>
      <c r="E55" s="52"/>
      <c r="F55" s="69">
        <f t="shared" si="0"/>
        <v>2</v>
      </c>
      <c r="G55" s="52">
        <v>1</v>
      </c>
      <c r="H55" s="52"/>
      <c r="I55" s="69">
        <f t="shared" si="1"/>
        <v>1</v>
      </c>
      <c r="J55" s="52">
        <v>1</v>
      </c>
      <c r="K55" s="52"/>
      <c r="L55" s="69">
        <f t="shared" si="2"/>
        <v>1</v>
      </c>
      <c r="M55" s="52">
        <v>81</v>
      </c>
      <c r="N55" s="52"/>
      <c r="O55" s="69">
        <f t="shared" si="3"/>
        <v>81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8"/>
        <v>85</v>
      </c>
      <c r="AA55" s="50"/>
      <c r="AB55" s="50">
        <v>67</v>
      </c>
      <c r="AC55" s="62">
        <f t="shared" si="7"/>
        <v>-18</v>
      </c>
      <c r="AD55" s="50"/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8"/>
        <v>0</v>
      </c>
      <c r="AA56" s="50"/>
      <c r="AB56" s="50"/>
      <c r="AC56" s="62">
        <f t="shared" si="7"/>
        <v>0</v>
      </c>
      <c r="AD56" s="50"/>
    </row>
    <row r="57" spans="2:32">
      <c r="B57" s="50">
        <v>1112009</v>
      </c>
      <c r="C57" s="51" t="s">
        <v>178</v>
      </c>
      <c r="D57" s="52">
        <v>4</v>
      </c>
      <c r="E57" s="52"/>
      <c r="F57" s="69">
        <f t="shared" si="0"/>
        <v>4</v>
      </c>
      <c r="G57" s="52">
        <v>1</v>
      </c>
      <c r="H57" s="52"/>
      <c r="I57" s="69">
        <f t="shared" si="1"/>
        <v>1</v>
      </c>
      <c r="J57" s="52">
        <v>1</v>
      </c>
      <c r="K57" s="52"/>
      <c r="L57" s="69">
        <f t="shared" si="2"/>
        <v>1</v>
      </c>
      <c r="M57" s="52">
        <v>80</v>
      </c>
      <c r="N57" s="52"/>
      <c r="O57" s="69">
        <f t="shared" si="3"/>
        <v>80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8"/>
        <v>86</v>
      </c>
      <c r="AA57" s="50"/>
      <c r="AB57" s="50">
        <v>67</v>
      </c>
      <c r="AC57" s="62">
        <f t="shared" si="7"/>
        <v>-19</v>
      </c>
      <c r="AD57" s="50"/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8"/>
        <v>0</v>
      </c>
      <c r="AA58" s="50"/>
      <c r="AB58" s="50"/>
      <c r="AC58" s="62">
        <f t="shared" si="7"/>
        <v>0</v>
      </c>
      <c r="AD58" s="50"/>
    </row>
    <row r="59" spans="2:32">
      <c r="B59" s="50">
        <v>1112011</v>
      </c>
      <c r="C59" s="51" t="s">
        <v>180</v>
      </c>
      <c r="D59" s="52">
        <v>9</v>
      </c>
      <c r="E59" s="52"/>
      <c r="F59" s="69">
        <f t="shared" si="0"/>
        <v>9</v>
      </c>
      <c r="G59" s="52">
        <v>1</v>
      </c>
      <c r="H59" s="52"/>
      <c r="I59" s="69">
        <f t="shared" si="1"/>
        <v>1</v>
      </c>
      <c r="J59" s="52">
        <v>3</v>
      </c>
      <c r="K59" s="52"/>
      <c r="L59" s="69">
        <f t="shared" si="2"/>
        <v>3</v>
      </c>
      <c r="M59" s="52">
        <v>80</v>
      </c>
      <c r="N59" s="52"/>
      <c r="O59" s="69">
        <f t="shared" si="3"/>
        <v>80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8"/>
        <v>93</v>
      </c>
      <c r="AA59" s="50"/>
      <c r="AB59" s="50">
        <v>78</v>
      </c>
      <c r="AC59" s="62">
        <f t="shared" si="7"/>
        <v>-15</v>
      </c>
      <c r="AD59" s="50"/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8"/>
        <v>1</v>
      </c>
      <c r="AA60" s="50"/>
      <c r="AB60" s="50">
        <v>22</v>
      </c>
      <c r="AC60" s="62">
        <f t="shared" si="7"/>
        <v>21</v>
      </c>
      <c r="AD60" s="50"/>
    </row>
    <row r="61" spans="2:32">
      <c r="B61" s="50">
        <v>1112013</v>
      </c>
      <c r="C61" s="51" t="s">
        <v>182</v>
      </c>
      <c r="D61" s="52">
        <v>2</v>
      </c>
      <c r="E61" s="52"/>
      <c r="F61" s="69">
        <f t="shared" si="0"/>
        <v>2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80</v>
      </c>
      <c r="N61" s="52"/>
      <c r="O61" s="69">
        <f t="shared" si="3"/>
        <v>80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8"/>
        <v>84</v>
      </c>
      <c r="AA61" s="50"/>
      <c r="AB61" s="50">
        <v>6</v>
      </c>
      <c r="AC61" s="62">
        <f t="shared" si="7"/>
        <v>-78</v>
      </c>
      <c r="AD61" s="50"/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8"/>
        <v>0</v>
      </c>
      <c r="AA62" s="50"/>
      <c r="AB62" s="50"/>
      <c r="AC62" s="62">
        <f t="shared" si="7"/>
        <v>0</v>
      </c>
      <c r="AD62" s="50"/>
      <c r="AF62" s="53"/>
    </row>
    <row r="63" spans="2:32">
      <c r="B63" s="50">
        <v>1112015</v>
      </c>
      <c r="C63" s="51" t="s">
        <v>184</v>
      </c>
      <c r="D63" s="52">
        <v>1</v>
      </c>
      <c r="E63" s="52"/>
      <c r="F63" s="69">
        <f t="shared" si="0"/>
        <v>1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80</v>
      </c>
      <c r="N63" s="52"/>
      <c r="O63" s="69">
        <f t="shared" si="3"/>
        <v>80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8"/>
        <v>83</v>
      </c>
      <c r="AA63" s="50"/>
      <c r="AB63" s="50">
        <v>6</v>
      </c>
      <c r="AC63" s="62">
        <f t="shared" si="7"/>
        <v>-77</v>
      </c>
      <c r="AD63" s="50"/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8"/>
        <v>0</v>
      </c>
      <c r="AA64" s="50"/>
      <c r="AB64" s="50"/>
      <c r="AC64" s="62">
        <f t="shared" si="7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8"/>
        <v>0</v>
      </c>
      <c r="AA65" s="59"/>
      <c r="AB65" s="59"/>
      <c r="AC65" s="62">
        <f t="shared" si="7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24</v>
      </c>
      <c r="N66" s="52"/>
      <c r="O66" s="69">
        <f t="shared" si="3"/>
        <v>24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8"/>
        <v>24</v>
      </c>
      <c r="AA66" s="50"/>
      <c r="AB66" s="50">
        <v>70</v>
      </c>
      <c r="AC66" s="62">
        <f t="shared" si="7"/>
        <v>46</v>
      </c>
      <c r="AD66" s="50"/>
    </row>
    <row r="67" spans="2:30">
      <c r="B67" s="50">
        <v>1114501</v>
      </c>
      <c r="C67" s="54" t="s">
        <v>187</v>
      </c>
      <c r="D67" s="52">
        <v>9</v>
      </c>
      <c r="E67" s="52"/>
      <c r="F67" s="69">
        <f t="shared" si="0"/>
        <v>9</v>
      </c>
      <c r="G67" s="52">
        <v>17</v>
      </c>
      <c r="H67" s="52"/>
      <c r="I67" s="69">
        <f t="shared" si="1"/>
        <v>17</v>
      </c>
      <c r="J67" s="52"/>
      <c r="K67" s="52"/>
      <c r="L67" s="69">
        <f t="shared" si="2"/>
        <v>0</v>
      </c>
      <c r="M67" s="52">
        <v>143</v>
      </c>
      <c r="N67" s="52"/>
      <c r="O67" s="69">
        <f t="shared" si="3"/>
        <v>143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8"/>
        <v>169</v>
      </c>
      <c r="AA67" s="50"/>
      <c r="AB67" s="50">
        <v>144</v>
      </c>
      <c r="AC67" s="62">
        <f t="shared" si="7"/>
        <v>-25</v>
      </c>
      <c r="AD67" s="50"/>
    </row>
    <row r="68" spans="2:30">
      <c r="B68" s="50">
        <v>1114502</v>
      </c>
      <c r="C68" s="54" t="s">
        <v>188</v>
      </c>
      <c r="D68" s="52">
        <v>3</v>
      </c>
      <c r="E68" s="52"/>
      <c r="F68" s="69">
        <f t="shared" si="0"/>
        <v>3</v>
      </c>
      <c r="G68" s="52">
        <v>16</v>
      </c>
      <c r="H68" s="52"/>
      <c r="I68" s="69">
        <f t="shared" si="1"/>
        <v>16</v>
      </c>
      <c r="J68" s="52"/>
      <c r="K68" s="52"/>
      <c r="L68" s="69">
        <f t="shared" si="2"/>
        <v>0</v>
      </c>
      <c r="M68" s="52">
        <v>143</v>
      </c>
      <c r="N68" s="52"/>
      <c r="O68" s="69">
        <f t="shared" si="3"/>
        <v>143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8"/>
        <v>162</v>
      </c>
      <c r="AA68" s="50"/>
      <c r="AB68" s="50">
        <v>190</v>
      </c>
      <c r="AC68" s="62">
        <f t="shared" si="7"/>
        <v>28</v>
      </c>
      <c r="AD68" s="50"/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>
        <v>16</v>
      </c>
      <c r="H69" s="52"/>
      <c r="I69" s="69">
        <f t="shared" ref="I69:I99" si="10">SUM(G69:H69)</f>
        <v>16</v>
      </c>
      <c r="J69" s="52"/>
      <c r="K69" s="52"/>
      <c r="L69" s="69">
        <f t="shared" ref="L69:L99" si="11">SUM(J69:K69)</f>
        <v>0</v>
      </c>
      <c r="M69" s="52">
        <v>143</v>
      </c>
      <c r="N69" s="52"/>
      <c r="O69" s="69">
        <f t="shared" ref="O69:O99" si="12">SUM(M69:N69)</f>
        <v>143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9" si="15">SUM(V69:W69)</f>
        <v>0</v>
      </c>
      <c r="Y69" s="52"/>
      <c r="Z69" s="64">
        <f t="shared" ref="Z69:Z99" si="16">F69+I69+L69+O69+R69+U69+X69+Y69</f>
        <v>159</v>
      </c>
      <c r="AA69" s="50"/>
      <c r="AB69" s="50">
        <v>153</v>
      </c>
      <c r="AC69" s="62">
        <f t="shared" ref="AC69:AC99" si="17">+AA69+AB69-Z69</f>
        <v>-6</v>
      </c>
      <c r="AD69" s="50"/>
    </row>
    <row r="70" spans="2:30">
      <c r="B70" s="50">
        <v>1124021</v>
      </c>
      <c r="C70" s="54" t="s">
        <v>190</v>
      </c>
      <c r="D70" s="52"/>
      <c r="E70" s="52"/>
      <c r="F70" s="69">
        <f t="shared" si="9"/>
        <v>0</v>
      </c>
      <c r="G70" s="52">
        <v>9</v>
      </c>
      <c r="H70" s="52"/>
      <c r="I70" s="69">
        <f t="shared" si="10"/>
        <v>9</v>
      </c>
      <c r="J70" s="52">
        <v>6</v>
      </c>
      <c r="K70" s="52"/>
      <c r="L70" s="69">
        <f t="shared" si="11"/>
        <v>6</v>
      </c>
      <c r="M70" s="52">
        <v>37</v>
      </c>
      <c r="N70" s="52"/>
      <c r="O70" s="69">
        <f t="shared" si="12"/>
        <v>37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52</v>
      </c>
      <c r="AA70" s="50"/>
      <c r="AB70" s="50">
        <v>6</v>
      </c>
      <c r="AC70" s="62">
        <f t="shared" si="17"/>
        <v>-46</v>
      </c>
      <c r="AD70" s="50"/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>
        <v>16</v>
      </c>
      <c r="E75" s="52"/>
      <c r="F75" s="69">
        <f t="shared" si="9"/>
        <v>16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/>
      <c r="N75" s="52"/>
      <c r="O75" s="69">
        <f t="shared" si="12"/>
        <v>0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16</v>
      </c>
      <c r="AA75" s="50"/>
      <c r="AB75" s="50">
        <v>16</v>
      </c>
      <c r="AC75" s="62">
        <f t="shared" si="17"/>
        <v>0</v>
      </c>
      <c r="AD75" s="50"/>
    </row>
    <row r="76" spans="2:30">
      <c r="B76" s="50">
        <v>1113171</v>
      </c>
      <c r="C76" s="54" t="s">
        <v>88</v>
      </c>
      <c r="D76" s="52">
        <v>18</v>
      </c>
      <c r="E76" s="52"/>
      <c r="F76" s="69">
        <f t="shared" si="9"/>
        <v>18</v>
      </c>
      <c r="G76" s="52"/>
      <c r="H76" s="52"/>
      <c r="I76" s="69">
        <f t="shared" si="10"/>
        <v>0</v>
      </c>
      <c r="J76" s="52"/>
      <c r="K76" s="52"/>
      <c r="L76" s="69">
        <f t="shared" si="11"/>
        <v>0</v>
      </c>
      <c r="M76" s="52">
        <v>1</v>
      </c>
      <c r="N76" s="52"/>
      <c r="O76" s="69">
        <f t="shared" si="12"/>
        <v>1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19</v>
      </c>
      <c r="AA76" s="50"/>
      <c r="AB76" s="50">
        <v>18</v>
      </c>
      <c r="AC76" s="62">
        <f t="shared" si="17"/>
        <v>-1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>
        <v>16</v>
      </c>
      <c r="E78" s="52"/>
      <c r="F78" s="69">
        <f t="shared" si="9"/>
        <v>16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/>
      <c r="N78" s="52"/>
      <c r="O78" s="69">
        <f t="shared" si="12"/>
        <v>0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16</v>
      </c>
      <c r="AA78" s="50"/>
      <c r="AB78" s="50"/>
      <c r="AC78" s="62">
        <f t="shared" si="17"/>
        <v>-16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/>
      <c r="Z79" s="64">
        <f t="shared" si="16"/>
        <v>0</v>
      </c>
      <c r="AA79" s="50"/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>
        <v>6</v>
      </c>
      <c r="H82" s="52"/>
      <c r="I82" s="69">
        <f t="shared" si="10"/>
        <v>6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6</v>
      </c>
      <c r="AA82" s="50"/>
      <c r="AB82" s="50"/>
      <c r="AC82" s="62">
        <f t="shared" si="17"/>
        <v>-6</v>
      </c>
      <c r="AD82" s="50"/>
    </row>
    <row r="83" spans="2:30">
      <c r="B83" s="50">
        <v>200</v>
      </c>
      <c r="C83" s="54" t="s">
        <v>198</v>
      </c>
      <c r="D83" s="52">
        <v>10</v>
      </c>
      <c r="E83" s="52"/>
      <c r="F83" s="69">
        <f t="shared" si="9"/>
        <v>10</v>
      </c>
      <c r="G83" s="52">
        <v>5</v>
      </c>
      <c r="H83" s="52"/>
      <c r="I83" s="69">
        <f t="shared" si="10"/>
        <v>5</v>
      </c>
      <c r="J83" s="52">
        <v>3</v>
      </c>
      <c r="K83" s="52"/>
      <c r="L83" s="69">
        <f t="shared" si="11"/>
        <v>3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18</v>
      </c>
      <c r="AA83" s="50"/>
      <c r="AB83" s="50"/>
      <c r="AC83" s="62">
        <f t="shared" si="17"/>
        <v>-18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si="16"/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6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6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6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6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6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6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6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6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6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6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6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6"/>
        <v>0</v>
      </c>
      <c r="AA96" s="50"/>
      <c r="AB96" s="50"/>
      <c r="AC96" s="62">
        <f t="shared" si="17"/>
        <v>0</v>
      </c>
      <c r="AD96" s="50"/>
    </row>
    <row r="97" spans="1:33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6"/>
        <v>0</v>
      </c>
      <c r="AA97" s="50"/>
      <c r="AB97" s="50"/>
      <c r="AC97" s="62">
        <f t="shared" si="17"/>
        <v>0</v>
      </c>
      <c r="AD97" s="50"/>
    </row>
    <row r="98" spans="1:33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6"/>
        <v>0</v>
      </c>
      <c r="AA98" s="50"/>
      <c r="AB98" s="50"/>
      <c r="AC98" s="62">
        <f t="shared" si="17"/>
        <v>0</v>
      </c>
      <c r="AD98" s="50"/>
    </row>
    <row r="99" spans="1:33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si="15"/>
        <v>0</v>
      </c>
      <c r="Y99" s="52"/>
      <c r="Z99" s="64">
        <f t="shared" si="16"/>
        <v>0</v>
      </c>
      <c r="AA99" s="50"/>
      <c r="AB99" s="50"/>
      <c r="AC99" s="62">
        <f t="shared" si="17"/>
        <v>0</v>
      </c>
      <c r="AD99" s="50"/>
    </row>
    <row r="100" spans="1:33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103</v>
      </c>
      <c r="E100" s="63">
        <f t="shared" ref="E100:M100" si="18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18"/>
        <v>103</v>
      </c>
      <c r="G100" s="63">
        <f t="shared" si="18"/>
        <v>416</v>
      </c>
      <c r="H100" s="63">
        <f t="shared" si="18"/>
        <v>0</v>
      </c>
      <c r="I100" s="71">
        <f t="shared" si="18"/>
        <v>416</v>
      </c>
      <c r="J100" s="63">
        <f t="shared" si="18"/>
        <v>37</v>
      </c>
      <c r="K100" s="63">
        <f t="shared" si="18"/>
        <v>0</v>
      </c>
      <c r="L100" s="71">
        <f t="shared" si="18"/>
        <v>37</v>
      </c>
      <c r="M100" s="63">
        <f t="shared" si="18"/>
        <v>1080</v>
      </c>
      <c r="N100" s="63">
        <f t="shared" ref="N100" si="19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</f>
        <v>0</v>
      </c>
      <c r="O100" s="71">
        <f t="shared" ref="O100" si="20">+O4+O5+O6+O7+O8+O9+O10+O11+O12+O13+O14+O15+O16+O17+O18+O19+O20+O21+O22+O23+O24+O25+O26+O27+O28+O29+O30+O31+O32+O33+O34+O35+O36+O37+O38+O39+O40+O41+O42+O43+O44+O45+O46+O47+O48+O49+O50+O51+O52+O53+O54+O55+O56+O57+O58+O59+O60+O61+O62+O63+O64+O65+O66+O67+O68+O69+O70+O71+O72+O73+O74+O75+O76+O77+O78+O79+O80+O81+O82+O83+O84+O85+O86+O87+O88+O89+O90+O91+O92+O93+O94+O95+O96+O97+O98+O99</f>
        <v>1080</v>
      </c>
      <c r="P100" s="63">
        <f t="shared" ref="P100" si="21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</f>
        <v>0</v>
      </c>
      <c r="Q100" s="63">
        <f t="shared" ref="Q100" si="22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</f>
        <v>0</v>
      </c>
      <c r="R100" s="71">
        <f t="shared" ref="R100" si="23">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+R78+R79+R80+R81+R82+R83+R84+R85+R86+R87+R88+R89+R90+R91+R92+R93+R94+R95+R96+R97+R98+R99</f>
        <v>0</v>
      </c>
      <c r="S100" s="63">
        <f t="shared" ref="S100" si="24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</f>
        <v>0</v>
      </c>
      <c r="T100" s="63">
        <f t="shared" ref="T100" si="25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0</v>
      </c>
      <c r="U100" s="71">
        <f t="shared" ref="U100" si="26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0</v>
      </c>
      <c r="V100" s="63">
        <f t="shared" ref="V100" si="27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0</v>
      </c>
      <c r="W100" s="63">
        <f t="shared" ref="W100" si="28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  <c r="X100" s="71">
        <f t="shared" ref="X100" si="29">+X4+X5+X6+X7+X8+X9+X10+X11+X12+X13+X14+X15+X16+X17+X18+X19+X20+X21+X22+X23+X24+X25+X26+X27+X28+X29+X30+X31+X32+X33+X34+X35+X36+X37+X38+X39+X40+X41+X42+X43+X44+X45+X46+X47+X48+X49+X50+X51+X52+X53+X54+X55+X56+X57+X58+X59+X60+X61+X62+X63+X64+X65+X66+X67+X68+X69+X70+X71+X72+X73+X74+X75+X76+X77+X78+X79+X80+X81+X82+X83+X84+X85+X86+X87+X88+X89+X90+X91+X92+X93+X94+X95+X96+X97+X98+X99</f>
        <v>0</v>
      </c>
      <c r="Y100" s="63">
        <f t="shared" ref="Y100" si="30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</f>
        <v>2</v>
      </c>
      <c r="Z100" s="63">
        <f>SUM(Z4:Z99)</f>
        <v>1638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3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1031</v>
      </c>
      <c r="AC100" s="63">
        <f t="shared" si="31"/>
        <v>-607</v>
      </c>
      <c r="AD100" s="63">
        <f t="shared" si="31"/>
        <v>0</v>
      </c>
    </row>
    <row r="101" spans="1:33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33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33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33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33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33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33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33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33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33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33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33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</row>
  </sheetData>
  <autoFilter ref="B2:AF2" xr:uid="{3C47631F-A4FA-44D7-ADD8-57CE043BB388}"/>
  <mergeCells count="17">
    <mergeCell ref="B100:C100"/>
    <mergeCell ref="Y2:Y3"/>
    <mergeCell ref="Z2:Z3"/>
    <mergeCell ref="AA2:AA3"/>
    <mergeCell ref="AB2:AB3"/>
    <mergeCell ref="S2:U2"/>
    <mergeCell ref="J2:L2"/>
    <mergeCell ref="D2:F2"/>
    <mergeCell ref="G2:I2"/>
    <mergeCell ref="M2:O2"/>
    <mergeCell ref="P2:R2"/>
    <mergeCell ref="AC2:AC3"/>
    <mergeCell ref="AD2:AD3"/>
    <mergeCell ref="B1:AD1"/>
    <mergeCell ref="B2:B3"/>
    <mergeCell ref="C2:C3"/>
    <mergeCell ref="V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52C1-1630-4BA8-9D30-30EB343D22FB}">
  <sheetPr>
    <pageSetUpPr fitToPage="1"/>
  </sheetPr>
  <dimension ref="A1:AO112"/>
  <sheetViews>
    <sheetView topLeftCell="B1" zoomScale="50" zoomScaleNormal="50" workbookViewId="0">
      <selection activeCell="B10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41" width="8.85546875" style="49" customWidth="1"/>
    <col min="42" max="16384" width="8.85546875" style="49"/>
  </cols>
  <sheetData>
    <row r="1" spans="2:33" ht="68.25">
      <c r="B1" s="85" t="s">
        <v>209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45</v>
      </c>
      <c r="N4" s="52"/>
      <c r="O4" s="69">
        <f>SUM(M4:N4)</f>
        <v>45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30</v>
      </c>
      <c r="Z4" s="64">
        <f>+F4+I4+L4+O4+R4+U4+X4+Y4</f>
        <v>76</v>
      </c>
      <c r="AA4" s="50">
        <v>75</v>
      </c>
      <c r="AB4" s="50"/>
      <c r="AC4" s="62">
        <f>+AA4+AB4-Z4</f>
        <v>-1</v>
      </c>
      <c r="AD4" s="50">
        <v>45</v>
      </c>
      <c r="AG4" s="53">
        <f>AD4+AC4</f>
        <v>44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29</v>
      </c>
      <c r="H5" s="52"/>
      <c r="I5" s="69">
        <f t="shared" ref="I5:I68" si="1">SUM(G5:H5)</f>
        <v>29</v>
      </c>
      <c r="J5" s="52">
        <v>24</v>
      </c>
      <c r="K5" s="52"/>
      <c r="L5" s="69">
        <f t="shared" ref="L5:L68" si="2">SUM(J5:K5)</f>
        <v>24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3</v>
      </c>
      <c r="Z5" s="64">
        <f t="shared" ref="Z5:Z68" si="7">+F5+I5+L5+O5+R5+U5+X5+Y5</f>
        <v>59</v>
      </c>
      <c r="AA5" s="59">
        <v>70</v>
      </c>
      <c r="AB5" s="59">
        <v>87</v>
      </c>
      <c r="AC5" s="62">
        <f t="shared" ref="AC5:AC68" si="8">+AA5+AB5-Z5</f>
        <v>98</v>
      </c>
      <c r="AD5" s="59">
        <v>73</v>
      </c>
      <c r="AG5" s="53">
        <f t="shared" ref="AG5:AG68" si="9">AD5+AC5</f>
        <v>171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5</v>
      </c>
      <c r="H9" s="52"/>
      <c r="I9" s="69">
        <f t="shared" si="1"/>
        <v>5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5</v>
      </c>
      <c r="AA9" s="50"/>
      <c r="AB9" s="50"/>
      <c r="AC9" s="62">
        <f t="shared" si="8"/>
        <v>-5</v>
      </c>
      <c r="AD9" s="50"/>
      <c r="AG9" s="53">
        <f t="shared" si="9"/>
        <v>-5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5</v>
      </c>
      <c r="H10" s="52"/>
      <c r="I10" s="69">
        <f t="shared" si="1"/>
        <v>5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5</v>
      </c>
      <c r="AA10" s="50"/>
      <c r="AB10" s="50"/>
      <c r="AC10" s="62">
        <f t="shared" si="8"/>
        <v>-5</v>
      </c>
      <c r="AD10" s="50"/>
      <c r="AG10" s="53">
        <f t="shared" si="9"/>
        <v>-5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5</v>
      </c>
      <c r="H11" s="52"/>
      <c r="I11" s="69">
        <f t="shared" si="1"/>
        <v>5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5</v>
      </c>
      <c r="AA11" s="50"/>
      <c r="AB11" s="50"/>
      <c r="AC11" s="62">
        <f t="shared" si="8"/>
        <v>-5</v>
      </c>
      <c r="AD11" s="50"/>
      <c r="AG11" s="53">
        <f t="shared" si="9"/>
        <v>-5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5</v>
      </c>
      <c r="H12" s="52"/>
      <c r="I12" s="69">
        <f t="shared" si="1"/>
        <v>5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5</v>
      </c>
      <c r="AA12" s="50"/>
      <c r="AB12" s="50"/>
      <c r="AC12" s="62">
        <f t="shared" si="8"/>
        <v>-5</v>
      </c>
      <c r="AD12" s="50"/>
      <c r="AG12" s="53">
        <f t="shared" si="9"/>
        <v>-5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5</v>
      </c>
      <c r="H13" s="52"/>
      <c r="I13" s="69">
        <f t="shared" si="1"/>
        <v>5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5</v>
      </c>
      <c r="AA13" s="50"/>
      <c r="AB13" s="50"/>
      <c r="AC13" s="62">
        <f t="shared" si="8"/>
        <v>-5</v>
      </c>
      <c r="AD13" s="50"/>
      <c r="AG13" s="53">
        <f t="shared" si="9"/>
        <v>-5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  <c r="AG14" s="53">
        <f t="shared" si="9"/>
        <v>-5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  <c r="AG15" s="53">
        <f t="shared" si="9"/>
        <v>-5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  <c r="AG16" s="53">
        <f t="shared" si="9"/>
        <v>-5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  <c r="AG17" s="53">
        <f t="shared" si="9"/>
        <v>-5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  <c r="AG18" s="53">
        <f t="shared" si="9"/>
        <v>-5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24</v>
      </c>
      <c r="N25" s="52"/>
      <c r="O25" s="69">
        <f t="shared" si="3"/>
        <v>24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24</v>
      </c>
      <c r="AA25" s="50">
        <v>40</v>
      </c>
      <c r="AB25" s="50">
        <v>9</v>
      </c>
      <c r="AC25" s="62">
        <f t="shared" si="8"/>
        <v>25</v>
      </c>
      <c r="AD25" s="50">
        <v>40</v>
      </c>
      <c r="AG25" s="53">
        <f t="shared" si="9"/>
        <v>65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10</v>
      </c>
      <c r="H26" s="52"/>
      <c r="I26" s="69">
        <f t="shared" si="1"/>
        <v>10</v>
      </c>
      <c r="J26" s="52">
        <v>2</v>
      </c>
      <c r="K26" s="52"/>
      <c r="L26" s="69">
        <f t="shared" si="2"/>
        <v>2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12</v>
      </c>
      <c r="AA26" s="50">
        <v>20</v>
      </c>
      <c r="AB26" s="50">
        <v>26</v>
      </c>
      <c r="AC26" s="62">
        <f t="shared" si="8"/>
        <v>34</v>
      </c>
      <c r="AD26" s="50">
        <v>20</v>
      </c>
      <c r="AG26" s="53">
        <f t="shared" si="9"/>
        <v>54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2</v>
      </c>
      <c r="H41" s="52"/>
      <c r="I41" s="69">
        <f t="shared" si="1"/>
        <v>2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>
        <v>10</v>
      </c>
      <c r="AB41" s="50">
        <v>6</v>
      </c>
      <c r="AC41" s="62">
        <f t="shared" si="8"/>
        <v>14</v>
      </c>
      <c r="AD41" s="50"/>
      <c r="AG41" s="53">
        <f t="shared" si="9"/>
        <v>14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1</v>
      </c>
      <c r="AA42" s="50"/>
      <c r="AB42" s="50"/>
      <c r="AC42" s="62">
        <f t="shared" si="8"/>
        <v>-1</v>
      </c>
      <c r="AD42" s="50"/>
      <c r="AG42" s="53">
        <f t="shared" si="9"/>
        <v>-1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1</v>
      </c>
      <c r="AA43" s="50"/>
      <c r="AB43" s="50"/>
      <c r="AC43" s="62">
        <f t="shared" si="8"/>
        <v>-1</v>
      </c>
      <c r="AD43" s="50"/>
      <c r="AG43" s="53">
        <f t="shared" si="9"/>
        <v>-1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1</v>
      </c>
      <c r="AA44" s="50"/>
      <c r="AB44" s="50"/>
      <c r="AC44" s="62">
        <f t="shared" si="8"/>
        <v>-1</v>
      </c>
      <c r="AD44" s="50"/>
      <c r="AG44" s="53">
        <f t="shared" si="9"/>
        <v>-1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1</v>
      </c>
      <c r="AA45" s="50"/>
      <c r="AB45" s="50"/>
      <c r="AC45" s="62">
        <f t="shared" si="8"/>
        <v>-1</v>
      </c>
      <c r="AD45" s="50"/>
      <c r="AG45" s="53">
        <f t="shared" si="9"/>
        <v>-1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1</v>
      </c>
      <c r="AA46" s="50"/>
      <c r="AB46" s="50"/>
      <c r="AC46" s="62">
        <f t="shared" si="8"/>
        <v>-1</v>
      </c>
      <c r="AD46" s="50"/>
      <c r="AG46" s="53">
        <f t="shared" si="9"/>
        <v>-1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1</v>
      </c>
      <c r="AA47" s="50"/>
      <c r="AB47" s="50"/>
      <c r="AC47" s="62">
        <f t="shared" si="8"/>
        <v>-1</v>
      </c>
      <c r="AD47" s="50"/>
      <c r="AG47" s="53">
        <f t="shared" si="9"/>
        <v>-1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1</v>
      </c>
      <c r="AA48" s="50"/>
      <c r="AB48" s="50"/>
      <c r="AC48" s="62">
        <f t="shared" si="8"/>
        <v>-1</v>
      </c>
      <c r="AD48" s="50"/>
      <c r="AG48" s="53">
        <f t="shared" si="9"/>
        <v>-1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1</v>
      </c>
      <c r="AA49" s="50"/>
      <c r="AB49" s="50"/>
      <c r="AC49" s="62">
        <f t="shared" si="8"/>
        <v>-1</v>
      </c>
      <c r="AD49" s="50"/>
      <c r="AF49" s="53"/>
      <c r="AG49" s="53">
        <f t="shared" si="9"/>
        <v>-1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1</v>
      </c>
      <c r="AA50" s="50"/>
      <c r="AB50" s="50"/>
      <c r="AC50" s="62">
        <f t="shared" si="8"/>
        <v>-1</v>
      </c>
      <c r="AD50" s="50"/>
      <c r="AG50" s="53">
        <f t="shared" si="9"/>
        <v>-1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1</v>
      </c>
      <c r="AA51" s="50"/>
      <c r="AB51" s="50"/>
      <c r="AC51" s="62">
        <f t="shared" si="8"/>
        <v>-1</v>
      </c>
      <c r="AD51" s="50"/>
      <c r="AG51" s="53">
        <f t="shared" si="9"/>
        <v>-1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2</v>
      </c>
      <c r="H53" s="52"/>
      <c r="I53" s="69">
        <f t="shared" si="1"/>
        <v>2</v>
      </c>
      <c r="J53" s="52">
        <v>1</v>
      </c>
      <c r="K53" s="52"/>
      <c r="L53" s="69">
        <f t="shared" si="2"/>
        <v>1</v>
      </c>
      <c r="M53" s="52">
        <v>81</v>
      </c>
      <c r="N53" s="52"/>
      <c r="O53" s="69">
        <f t="shared" si="3"/>
        <v>81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84</v>
      </c>
      <c r="AA53" s="50">
        <v>95</v>
      </c>
      <c r="AB53" s="50">
        <v>33</v>
      </c>
      <c r="AC53" s="62">
        <f t="shared" si="8"/>
        <v>44</v>
      </c>
      <c r="AD53" s="50">
        <v>45</v>
      </c>
      <c r="AG53" s="53">
        <f t="shared" si="9"/>
        <v>89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>
        <v>45</v>
      </c>
      <c r="AG54" s="53">
        <f t="shared" si="9"/>
        <v>45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2</v>
      </c>
      <c r="H55" s="52"/>
      <c r="I55" s="69">
        <f t="shared" si="1"/>
        <v>2</v>
      </c>
      <c r="J55" s="52">
        <v>1</v>
      </c>
      <c r="K55" s="52"/>
      <c r="L55" s="69">
        <f t="shared" si="2"/>
        <v>1</v>
      </c>
      <c r="M55" s="52">
        <v>80</v>
      </c>
      <c r="N55" s="52"/>
      <c r="O55" s="69">
        <f t="shared" si="3"/>
        <v>80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83</v>
      </c>
      <c r="AA55" s="50">
        <v>95</v>
      </c>
      <c r="AB55" s="50">
        <v>32</v>
      </c>
      <c r="AC55" s="62">
        <f t="shared" si="8"/>
        <v>44</v>
      </c>
      <c r="AD55" s="50">
        <v>45</v>
      </c>
      <c r="AG55" s="53">
        <f t="shared" si="9"/>
        <v>89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>
        <v>45</v>
      </c>
      <c r="AG56" s="53">
        <f t="shared" si="9"/>
        <v>45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2</v>
      </c>
      <c r="H57" s="52"/>
      <c r="I57" s="69">
        <f t="shared" si="1"/>
        <v>2</v>
      </c>
      <c r="J57" s="52">
        <v>1</v>
      </c>
      <c r="K57" s="52"/>
      <c r="L57" s="69">
        <f t="shared" si="2"/>
        <v>1</v>
      </c>
      <c r="M57" s="52">
        <v>80</v>
      </c>
      <c r="N57" s="52"/>
      <c r="O57" s="69">
        <f t="shared" si="3"/>
        <v>80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83</v>
      </c>
      <c r="AA57" s="50">
        <v>95</v>
      </c>
      <c r="AB57" s="50">
        <v>33</v>
      </c>
      <c r="AC57" s="62">
        <f t="shared" si="8"/>
        <v>45</v>
      </c>
      <c r="AD57" s="50">
        <v>45</v>
      </c>
      <c r="AG57" s="53">
        <f t="shared" si="9"/>
        <v>90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>
        <v>45</v>
      </c>
      <c r="AG58" s="53">
        <f t="shared" si="9"/>
        <v>45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>
        <v>1</v>
      </c>
      <c r="H59" s="52"/>
      <c r="I59" s="69">
        <f t="shared" si="1"/>
        <v>1</v>
      </c>
      <c r="J59" s="52">
        <v>3</v>
      </c>
      <c r="K59" s="52"/>
      <c r="L59" s="69">
        <f t="shared" si="2"/>
        <v>3</v>
      </c>
      <c r="M59" s="52">
        <v>80</v>
      </c>
      <c r="N59" s="52"/>
      <c r="O59" s="69">
        <f t="shared" si="3"/>
        <v>80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84</v>
      </c>
      <c r="AA59" s="50">
        <v>95</v>
      </c>
      <c r="AB59" s="50">
        <v>33</v>
      </c>
      <c r="AC59" s="62">
        <f t="shared" si="8"/>
        <v>44</v>
      </c>
      <c r="AD59" s="50">
        <v>45</v>
      </c>
      <c r="AG59" s="53">
        <f t="shared" si="9"/>
        <v>89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>
        <v>37</v>
      </c>
      <c r="AC60" s="62">
        <f t="shared" si="8"/>
        <v>37</v>
      </c>
      <c r="AD60" s="50"/>
      <c r="AG60" s="53">
        <f t="shared" si="9"/>
        <v>37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80</v>
      </c>
      <c r="N61" s="52"/>
      <c r="O61" s="69">
        <f t="shared" si="3"/>
        <v>80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82</v>
      </c>
      <c r="AA61" s="50">
        <v>95</v>
      </c>
      <c r="AB61" s="50">
        <v>32</v>
      </c>
      <c r="AC61" s="62">
        <f t="shared" si="8"/>
        <v>45</v>
      </c>
      <c r="AD61" s="50">
        <v>45</v>
      </c>
      <c r="AG61" s="53">
        <f t="shared" si="9"/>
        <v>90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>
        <v>45</v>
      </c>
      <c r="AF62" s="53"/>
      <c r="AG62" s="53">
        <f t="shared" si="9"/>
        <v>45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80</v>
      </c>
      <c r="N63" s="52"/>
      <c r="O63" s="69">
        <f t="shared" si="3"/>
        <v>80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82</v>
      </c>
      <c r="AA63" s="50">
        <v>95</v>
      </c>
      <c r="AB63" s="50">
        <v>33</v>
      </c>
      <c r="AC63" s="62">
        <f t="shared" si="8"/>
        <v>46</v>
      </c>
      <c r="AD63" s="50">
        <v>45</v>
      </c>
      <c r="AG63" s="53">
        <f t="shared" si="9"/>
        <v>91</v>
      </c>
      <c r="AI63" s="53">
        <f>SUM(AG53:AG63)</f>
        <v>755</v>
      </c>
      <c r="AJ63" s="49">
        <v>237</v>
      </c>
      <c r="AK63" s="53">
        <f>+AI63+AJ63</f>
        <v>992</v>
      </c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6</v>
      </c>
      <c r="N66" s="52"/>
      <c r="O66" s="69">
        <f t="shared" si="3"/>
        <v>6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6</v>
      </c>
      <c r="AA66" s="50"/>
      <c r="AB66" s="50">
        <v>46</v>
      </c>
      <c r="AC66" s="62">
        <f t="shared" si="8"/>
        <v>40</v>
      </c>
      <c r="AD66" s="50"/>
      <c r="AG66" s="53">
        <f t="shared" si="9"/>
        <v>40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8</v>
      </c>
      <c r="H67" s="52"/>
      <c r="I67" s="69">
        <f t="shared" si="1"/>
        <v>8</v>
      </c>
      <c r="J67" s="52">
        <v>5</v>
      </c>
      <c r="K67" s="52"/>
      <c r="L67" s="69">
        <f t="shared" si="2"/>
        <v>5</v>
      </c>
      <c r="M67" s="52">
        <v>91</v>
      </c>
      <c r="N67" s="52"/>
      <c r="O67" s="69">
        <f t="shared" si="3"/>
        <v>91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104</v>
      </c>
      <c r="AA67" s="50">
        <v>150</v>
      </c>
      <c r="AB67" s="50">
        <v>5</v>
      </c>
      <c r="AC67" s="62">
        <f t="shared" si="8"/>
        <v>51</v>
      </c>
      <c r="AD67" s="50"/>
      <c r="AG67" s="53">
        <f t="shared" si="9"/>
        <v>51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2</v>
      </c>
      <c r="K68" s="52"/>
      <c r="L68" s="69">
        <f t="shared" si="2"/>
        <v>2</v>
      </c>
      <c r="M68" s="52">
        <v>91</v>
      </c>
      <c r="N68" s="52"/>
      <c r="O68" s="69">
        <f t="shared" si="3"/>
        <v>91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95</v>
      </c>
      <c r="AA68" s="50">
        <v>150</v>
      </c>
      <c r="AB68" s="50">
        <v>34</v>
      </c>
      <c r="AC68" s="62">
        <f t="shared" si="8"/>
        <v>89</v>
      </c>
      <c r="AD68" s="50"/>
      <c r="AG68" s="53">
        <f t="shared" si="9"/>
        <v>89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3</v>
      </c>
      <c r="H69" s="52"/>
      <c r="I69" s="69">
        <f t="shared" ref="I69:I99" si="11">SUM(G69:H69)</f>
        <v>3</v>
      </c>
      <c r="J69" s="52">
        <v>1</v>
      </c>
      <c r="K69" s="52"/>
      <c r="L69" s="69">
        <f t="shared" ref="L69:L99" si="12">SUM(J69:K69)</f>
        <v>1</v>
      </c>
      <c r="M69" s="52">
        <v>91</v>
      </c>
      <c r="N69" s="52"/>
      <c r="O69" s="69">
        <f t="shared" ref="O69:O99" si="13">SUM(M69:N69)</f>
        <v>91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95</v>
      </c>
      <c r="AA69" s="50">
        <v>150</v>
      </c>
      <c r="AB69" s="50">
        <v>1</v>
      </c>
      <c r="AC69" s="62">
        <f t="shared" ref="AC69:AC99" si="18">+AA69+AB69-Z69</f>
        <v>56</v>
      </c>
      <c r="AD69" s="50"/>
      <c r="AG69" s="53">
        <f t="shared" ref="AG69:AG100" si="19">AD69+AC69</f>
        <v>56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13</v>
      </c>
      <c r="H70" s="52"/>
      <c r="I70" s="69">
        <f t="shared" si="11"/>
        <v>13</v>
      </c>
      <c r="J70" s="52"/>
      <c r="K70" s="52"/>
      <c r="L70" s="69">
        <f t="shared" si="12"/>
        <v>0</v>
      </c>
      <c r="M70" s="52">
        <v>6</v>
      </c>
      <c r="N70" s="52"/>
      <c r="O70" s="69">
        <f t="shared" si="13"/>
        <v>6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19</v>
      </c>
      <c r="AA70" s="50">
        <v>20</v>
      </c>
      <c r="AB70" s="50">
        <v>4</v>
      </c>
      <c r="AC70" s="62">
        <f t="shared" si="18"/>
        <v>5</v>
      </c>
      <c r="AD70" s="50">
        <v>50</v>
      </c>
      <c r="AG70" s="53">
        <f t="shared" si="19"/>
        <v>55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>
        <v>10</v>
      </c>
      <c r="Z74" s="64">
        <f t="shared" si="17"/>
        <v>10</v>
      </c>
      <c r="AA74" s="59">
        <v>10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13</v>
      </c>
      <c r="E75" s="52"/>
      <c r="F75" s="69">
        <f t="shared" si="10"/>
        <v>13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1</v>
      </c>
      <c r="N75" s="52"/>
      <c r="O75" s="69">
        <f t="shared" si="13"/>
        <v>1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14</v>
      </c>
      <c r="AA75" s="50">
        <v>20</v>
      </c>
      <c r="AB75" s="50"/>
      <c r="AC75" s="62">
        <f t="shared" si="18"/>
        <v>6</v>
      </c>
      <c r="AD75" s="50"/>
      <c r="AG75" s="53">
        <f t="shared" si="19"/>
        <v>6</v>
      </c>
    </row>
    <row r="76" spans="2:33">
      <c r="B76" s="50">
        <v>1113171</v>
      </c>
      <c r="C76" s="54" t="s">
        <v>88</v>
      </c>
      <c r="D76" s="52">
        <v>10</v>
      </c>
      <c r="E76" s="52"/>
      <c r="F76" s="69">
        <f t="shared" si="10"/>
        <v>10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>
        <v>2</v>
      </c>
      <c r="N76" s="52"/>
      <c r="O76" s="69">
        <f t="shared" si="13"/>
        <v>2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12</v>
      </c>
      <c r="AA76" s="50">
        <v>20</v>
      </c>
      <c r="AB76" s="50"/>
      <c r="AC76" s="62">
        <f t="shared" si="18"/>
        <v>8</v>
      </c>
      <c r="AD76" s="50"/>
      <c r="AG76" s="53">
        <f t="shared" si="19"/>
        <v>8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8</v>
      </c>
      <c r="E78" s="52"/>
      <c r="F78" s="69">
        <f t="shared" si="10"/>
        <v>8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>
        <v>2</v>
      </c>
      <c r="N78" s="52"/>
      <c r="O78" s="69">
        <f t="shared" si="13"/>
        <v>2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10</v>
      </c>
      <c r="AA78" s="50">
        <v>20</v>
      </c>
      <c r="AB78" s="50">
        <v>5</v>
      </c>
      <c r="AC78" s="62">
        <f t="shared" si="18"/>
        <v>15</v>
      </c>
      <c r="AD78" s="50"/>
      <c r="AG78" s="53">
        <f t="shared" si="19"/>
        <v>15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4</v>
      </c>
      <c r="H82" s="52"/>
      <c r="I82" s="69">
        <f t="shared" si="11"/>
        <v>4</v>
      </c>
      <c r="J82" s="52">
        <v>2</v>
      </c>
      <c r="K82" s="52"/>
      <c r="L82" s="69">
        <f t="shared" si="12"/>
        <v>2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6</v>
      </c>
      <c r="AA82" s="50"/>
      <c r="AB82" s="50"/>
      <c r="AC82" s="62">
        <f t="shared" si="18"/>
        <v>-6</v>
      </c>
      <c r="AD82" s="50"/>
      <c r="AG82" s="53">
        <f t="shared" si="19"/>
        <v>-6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31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31</v>
      </c>
      <c r="G100" s="63">
        <f t="shared" si="20"/>
        <v>145</v>
      </c>
      <c r="H100" s="63">
        <f t="shared" si="20"/>
        <v>0</v>
      </c>
      <c r="I100" s="71">
        <f t="shared" si="20"/>
        <v>145</v>
      </c>
      <c r="J100" s="63">
        <f t="shared" si="20"/>
        <v>44</v>
      </c>
      <c r="K100" s="63">
        <f t="shared" si="20"/>
        <v>0</v>
      </c>
      <c r="L100" s="71">
        <f t="shared" si="20"/>
        <v>44</v>
      </c>
      <c r="M100" s="63">
        <f t="shared" si="20"/>
        <v>843</v>
      </c>
      <c r="N100" s="63">
        <f t="shared" si="20"/>
        <v>0</v>
      </c>
      <c r="O100" s="71">
        <f t="shared" si="20"/>
        <v>843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43</v>
      </c>
      <c r="Z100" s="63">
        <f>SUM(Z4:Z99)</f>
        <v>1106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1325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484</v>
      </c>
      <c r="AC100" s="63">
        <f t="shared" si="21"/>
        <v>703</v>
      </c>
      <c r="AD100" s="63">
        <f t="shared" si="21"/>
        <v>678</v>
      </c>
      <c r="AG100" s="53">
        <f t="shared" si="19"/>
        <v>1381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autoFilter ref="B2:AF2" xr:uid="{3C47631F-A4FA-44D7-ADD8-57CE043BB388}"/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G2:H2"/>
    <mergeCell ref="J2:K2"/>
    <mergeCell ref="M2:N2"/>
    <mergeCell ref="P2:Q2"/>
    <mergeCell ref="S2:T2"/>
    <mergeCell ref="V2:W2"/>
    <mergeCell ref="D2:F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F7A9-A77A-4DC0-8229-E950DCE42FF1}">
  <sheetPr>
    <pageSetUpPr fitToPage="1"/>
  </sheetPr>
  <dimension ref="A1:AO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48</v>
      </c>
      <c r="N4" s="52"/>
      <c r="O4" s="69">
        <f>SUM(M4:N4)</f>
        <v>48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74"/>
      <c r="Z4" s="64">
        <f>+F4+I4+L4+O4+R4+U4+X4+Y4</f>
        <v>48</v>
      </c>
      <c r="AA4" s="50">
        <v>45</v>
      </c>
      <c r="AB4" s="50"/>
      <c r="AC4" s="62">
        <f>+AA4+AB4-Z4</f>
        <v>-3</v>
      </c>
      <c r="AD4" s="50">
        <v>50</v>
      </c>
      <c r="AG4" s="53">
        <f>AD4+AC4</f>
        <v>47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41</v>
      </c>
      <c r="H5" s="52"/>
      <c r="I5" s="69">
        <f t="shared" ref="I5:I68" si="1">SUM(G5:H5)</f>
        <v>41</v>
      </c>
      <c r="J5" s="52">
        <v>23</v>
      </c>
      <c r="K5" s="52"/>
      <c r="L5" s="69">
        <f t="shared" ref="L5:L68" si="2">SUM(J5:K5)</f>
        <v>23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73">
        <v>33</v>
      </c>
      <c r="Z5" s="64">
        <f t="shared" ref="Z5:Z68" si="7">+F5+I5+L5+O5+R5+U5+X5+Y5</f>
        <v>100</v>
      </c>
      <c r="AA5" s="59">
        <v>73</v>
      </c>
      <c r="AB5" s="59">
        <v>91</v>
      </c>
      <c r="AC5" s="62">
        <f t="shared" ref="AC5:AC68" si="8">+AA5+AB5-Z5</f>
        <v>64</v>
      </c>
      <c r="AD5" s="59">
        <v>70</v>
      </c>
      <c r="AG5" s="53">
        <f t="shared" ref="AG5:AG68" si="9">AD5+AC5</f>
        <v>134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4</v>
      </c>
      <c r="H9" s="52"/>
      <c r="I9" s="69">
        <f t="shared" si="1"/>
        <v>4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4</v>
      </c>
      <c r="AA9" s="50"/>
      <c r="AB9" s="50"/>
      <c r="AC9" s="62">
        <f t="shared" si="8"/>
        <v>-4</v>
      </c>
      <c r="AD9" s="50"/>
      <c r="AG9" s="53">
        <f t="shared" si="9"/>
        <v>-4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  <c r="AG10" s="53">
        <f t="shared" si="9"/>
        <v>-3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  <c r="AG11" s="53">
        <f t="shared" si="9"/>
        <v>-3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  <c r="AG12" s="53">
        <f t="shared" si="9"/>
        <v>-3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3</v>
      </c>
      <c r="H13" s="52"/>
      <c r="I13" s="69">
        <f t="shared" si="1"/>
        <v>3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3</v>
      </c>
      <c r="AA13" s="50"/>
      <c r="AB13" s="50"/>
      <c r="AC13" s="62">
        <f t="shared" si="8"/>
        <v>-3</v>
      </c>
      <c r="AD13" s="50"/>
      <c r="AG13" s="53">
        <f t="shared" si="9"/>
        <v>-3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3</v>
      </c>
      <c r="H14" s="52"/>
      <c r="I14" s="69">
        <f t="shared" si="1"/>
        <v>3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3</v>
      </c>
      <c r="AA14" s="50"/>
      <c r="AB14" s="50"/>
      <c r="AC14" s="62">
        <f t="shared" si="8"/>
        <v>-3</v>
      </c>
      <c r="AD14" s="50"/>
      <c r="AG14" s="53">
        <f t="shared" si="9"/>
        <v>-3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3</v>
      </c>
      <c r="H15" s="52"/>
      <c r="I15" s="69">
        <f t="shared" si="1"/>
        <v>3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3</v>
      </c>
      <c r="AA15" s="50"/>
      <c r="AB15" s="50"/>
      <c r="AC15" s="62">
        <f t="shared" si="8"/>
        <v>-3</v>
      </c>
      <c r="AD15" s="50"/>
      <c r="AG15" s="53">
        <f t="shared" si="9"/>
        <v>-3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3</v>
      </c>
      <c r="H16" s="52"/>
      <c r="I16" s="69">
        <f t="shared" si="1"/>
        <v>3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3</v>
      </c>
      <c r="AA16" s="50"/>
      <c r="AB16" s="50"/>
      <c r="AC16" s="62">
        <f t="shared" si="8"/>
        <v>-3</v>
      </c>
      <c r="AD16" s="50"/>
      <c r="AG16" s="53">
        <f t="shared" si="9"/>
        <v>-3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3</v>
      </c>
      <c r="H17" s="52"/>
      <c r="I17" s="69">
        <f t="shared" si="1"/>
        <v>3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3</v>
      </c>
      <c r="AA17" s="50"/>
      <c r="AB17" s="50"/>
      <c r="AC17" s="62">
        <f t="shared" si="8"/>
        <v>-3</v>
      </c>
      <c r="AD17" s="50"/>
      <c r="AG17" s="53">
        <f t="shared" si="9"/>
        <v>-3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3</v>
      </c>
      <c r="H18" s="52"/>
      <c r="I18" s="69">
        <f t="shared" si="1"/>
        <v>3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3</v>
      </c>
      <c r="AA18" s="50"/>
      <c r="AB18" s="50"/>
      <c r="AC18" s="62">
        <f t="shared" si="8"/>
        <v>-3</v>
      </c>
      <c r="AD18" s="50"/>
      <c r="AG18" s="53">
        <f t="shared" si="9"/>
        <v>-3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3</v>
      </c>
      <c r="H19" s="52"/>
      <c r="I19" s="69">
        <f t="shared" si="1"/>
        <v>3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3</v>
      </c>
      <c r="AA19" s="50"/>
      <c r="AB19" s="50"/>
      <c r="AC19" s="62">
        <f t="shared" si="8"/>
        <v>-3</v>
      </c>
      <c r="AD19" s="50"/>
      <c r="AG19" s="53">
        <f t="shared" si="9"/>
        <v>-3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3</v>
      </c>
      <c r="H20" s="52"/>
      <c r="I20" s="69">
        <f t="shared" si="1"/>
        <v>3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3</v>
      </c>
      <c r="AA20" s="50"/>
      <c r="AB20" s="50"/>
      <c r="AC20" s="62">
        <f t="shared" si="8"/>
        <v>-3</v>
      </c>
      <c r="AD20" s="50"/>
      <c r="AG20" s="53">
        <f t="shared" si="9"/>
        <v>-3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3</v>
      </c>
      <c r="H21" s="52"/>
      <c r="I21" s="69">
        <f t="shared" si="1"/>
        <v>3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3</v>
      </c>
      <c r="AA21" s="50"/>
      <c r="AB21" s="50"/>
      <c r="AC21" s="62">
        <f t="shared" si="8"/>
        <v>-3</v>
      </c>
      <c r="AD21" s="50"/>
      <c r="AG21" s="53">
        <f t="shared" si="9"/>
        <v>-3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3</v>
      </c>
      <c r="H25" s="52"/>
      <c r="I25" s="69">
        <f t="shared" si="1"/>
        <v>3</v>
      </c>
      <c r="J25" s="52"/>
      <c r="K25" s="52"/>
      <c r="L25" s="69">
        <f t="shared" si="2"/>
        <v>0</v>
      </c>
      <c r="M25" s="52">
        <v>57</v>
      </c>
      <c r="N25" s="52"/>
      <c r="O25" s="69">
        <f t="shared" si="3"/>
        <v>57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60</v>
      </c>
      <c r="AA25" s="50">
        <v>40</v>
      </c>
      <c r="AB25" s="50">
        <v>25</v>
      </c>
      <c r="AC25" s="62">
        <f t="shared" si="8"/>
        <v>5</v>
      </c>
      <c r="AD25" s="50">
        <v>40</v>
      </c>
      <c r="AG25" s="53">
        <f t="shared" si="9"/>
        <v>45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3</v>
      </c>
      <c r="K26" s="52"/>
      <c r="L26" s="69">
        <f t="shared" si="2"/>
        <v>3</v>
      </c>
      <c r="M26" s="52">
        <v>4</v>
      </c>
      <c r="N26" s="52"/>
      <c r="O26" s="69">
        <f t="shared" si="3"/>
        <v>4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10</v>
      </c>
      <c r="AA26" s="50">
        <v>20</v>
      </c>
      <c r="AB26" s="50">
        <v>29</v>
      </c>
      <c r="AC26" s="62">
        <f t="shared" si="8"/>
        <v>39</v>
      </c>
      <c r="AD26" s="50">
        <v>20</v>
      </c>
      <c r="AG26" s="53">
        <f t="shared" si="9"/>
        <v>59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>
        <v>1</v>
      </c>
      <c r="E41" s="52"/>
      <c r="F41" s="69">
        <f t="shared" si="0"/>
        <v>1</v>
      </c>
      <c r="G41" s="52"/>
      <c r="H41" s="52"/>
      <c r="I41" s="69">
        <f t="shared" si="1"/>
        <v>0</v>
      </c>
      <c r="J41" s="52">
        <v>1</v>
      </c>
      <c r="K41" s="52"/>
      <c r="L41" s="69">
        <f t="shared" si="2"/>
        <v>1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/>
      <c r="AB41" s="50">
        <v>14</v>
      </c>
      <c r="AC41" s="62">
        <f t="shared" si="8"/>
        <v>12</v>
      </c>
      <c r="AD41" s="50">
        <v>10</v>
      </c>
      <c r="AG41" s="53">
        <f t="shared" si="9"/>
        <v>22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7</v>
      </c>
      <c r="H42" s="52"/>
      <c r="I42" s="69">
        <f t="shared" si="1"/>
        <v>7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7</v>
      </c>
      <c r="AA42" s="50"/>
      <c r="AB42" s="50"/>
      <c r="AC42" s="62">
        <f t="shared" si="8"/>
        <v>-7</v>
      </c>
      <c r="AD42" s="50"/>
      <c r="AG42" s="53">
        <f t="shared" si="9"/>
        <v>-7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7</v>
      </c>
      <c r="H43" s="52"/>
      <c r="I43" s="69">
        <f t="shared" si="1"/>
        <v>7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7</v>
      </c>
      <c r="AA43" s="50"/>
      <c r="AB43" s="50"/>
      <c r="AC43" s="62">
        <f t="shared" si="8"/>
        <v>-7</v>
      </c>
      <c r="AD43" s="50"/>
      <c r="AG43" s="53">
        <f t="shared" si="9"/>
        <v>-7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7</v>
      </c>
      <c r="H44" s="52"/>
      <c r="I44" s="69">
        <f t="shared" si="1"/>
        <v>7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7</v>
      </c>
      <c r="AA44" s="50"/>
      <c r="AB44" s="50"/>
      <c r="AC44" s="62">
        <f t="shared" si="8"/>
        <v>-7</v>
      </c>
      <c r="AD44" s="50"/>
      <c r="AG44" s="53">
        <f t="shared" si="9"/>
        <v>-7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7</v>
      </c>
      <c r="H45" s="52"/>
      <c r="I45" s="69">
        <f t="shared" si="1"/>
        <v>7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7</v>
      </c>
      <c r="AA45" s="50"/>
      <c r="AB45" s="50"/>
      <c r="AC45" s="62">
        <f t="shared" si="8"/>
        <v>-7</v>
      </c>
      <c r="AD45" s="50"/>
      <c r="AG45" s="53">
        <f t="shared" si="9"/>
        <v>-7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7</v>
      </c>
      <c r="H46" s="52"/>
      <c r="I46" s="69">
        <f t="shared" si="1"/>
        <v>7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7</v>
      </c>
      <c r="AA46" s="50"/>
      <c r="AB46" s="50"/>
      <c r="AC46" s="62">
        <f t="shared" si="8"/>
        <v>-7</v>
      </c>
      <c r="AD46" s="50"/>
      <c r="AG46" s="53">
        <f t="shared" si="9"/>
        <v>-7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7</v>
      </c>
      <c r="H47" s="52"/>
      <c r="I47" s="69">
        <f t="shared" si="1"/>
        <v>7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7</v>
      </c>
      <c r="AA47" s="50"/>
      <c r="AB47" s="50"/>
      <c r="AC47" s="62">
        <f t="shared" si="8"/>
        <v>-7</v>
      </c>
      <c r="AD47" s="50"/>
      <c r="AG47" s="53">
        <f t="shared" si="9"/>
        <v>-7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7</v>
      </c>
      <c r="H48" s="52"/>
      <c r="I48" s="69">
        <f t="shared" si="1"/>
        <v>7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7</v>
      </c>
      <c r="AA48" s="50"/>
      <c r="AB48" s="50"/>
      <c r="AC48" s="62">
        <f t="shared" si="8"/>
        <v>-7</v>
      </c>
      <c r="AD48" s="50"/>
      <c r="AG48" s="53">
        <f t="shared" si="9"/>
        <v>-7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7</v>
      </c>
      <c r="H49" s="52"/>
      <c r="I49" s="69">
        <f t="shared" si="1"/>
        <v>7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7</v>
      </c>
      <c r="AA49" s="50"/>
      <c r="AB49" s="50"/>
      <c r="AC49" s="62">
        <f t="shared" si="8"/>
        <v>-7</v>
      </c>
      <c r="AD49" s="50"/>
      <c r="AF49" s="53"/>
      <c r="AG49" s="53">
        <f t="shared" si="9"/>
        <v>-7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7</v>
      </c>
      <c r="H50" s="52"/>
      <c r="I50" s="69">
        <f t="shared" si="1"/>
        <v>7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7</v>
      </c>
      <c r="AA50" s="50"/>
      <c r="AB50" s="50"/>
      <c r="AC50" s="62">
        <f t="shared" si="8"/>
        <v>-7</v>
      </c>
      <c r="AD50" s="50"/>
      <c r="AG50" s="53">
        <f t="shared" si="9"/>
        <v>-7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7</v>
      </c>
      <c r="H51" s="52"/>
      <c r="I51" s="69">
        <f t="shared" si="1"/>
        <v>7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7</v>
      </c>
      <c r="AA51" s="50"/>
      <c r="AB51" s="50"/>
      <c r="AC51" s="62">
        <f t="shared" si="8"/>
        <v>-7</v>
      </c>
      <c r="AD51" s="50"/>
      <c r="AG51" s="53">
        <f t="shared" si="9"/>
        <v>-7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>
        <v>1</v>
      </c>
      <c r="E53" s="52"/>
      <c r="F53" s="69">
        <f t="shared" si="0"/>
        <v>1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75</v>
      </c>
      <c r="N53" s="52"/>
      <c r="O53" s="69">
        <f t="shared" si="3"/>
        <v>75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76</v>
      </c>
      <c r="AA53" s="50">
        <v>45</v>
      </c>
      <c r="AB53" s="50">
        <v>39</v>
      </c>
      <c r="AC53" s="62">
        <f t="shared" si="8"/>
        <v>8</v>
      </c>
      <c r="AD53" s="50">
        <v>60</v>
      </c>
      <c r="AG53" s="53">
        <f t="shared" si="9"/>
        <v>68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75</v>
      </c>
      <c r="N55" s="52"/>
      <c r="O55" s="69">
        <f t="shared" si="3"/>
        <v>75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75</v>
      </c>
      <c r="AA55" s="50">
        <v>45</v>
      </c>
      <c r="AB55" s="50">
        <v>38</v>
      </c>
      <c r="AC55" s="62">
        <f t="shared" si="8"/>
        <v>8</v>
      </c>
      <c r="AD55" s="50">
        <v>60</v>
      </c>
      <c r="AG55" s="53">
        <f t="shared" si="9"/>
        <v>68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1</v>
      </c>
      <c r="E57" s="52"/>
      <c r="F57" s="69">
        <f t="shared" si="0"/>
        <v>1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75</v>
      </c>
      <c r="N57" s="52"/>
      <c r="O57" s="69">
        <f t="shared" si="3"/>
        <v>75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76</v>
      </c>
      <c r="AA57" s="50">
        <v>76</v>
      </c>
      <c r="AB57" s="50">
        <v>39</v>
      </c>
      <c r="AC57" s="62">
        <f t="shared" si="8"/>
        <v>39</v>
      </c>
      <c r="AD57" s="50">
        <v>60</v>
      </c>
      <c r="AG57" s="53">
        <f t="shared" si="9"/>
        <v>99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>
        <v>2</v>
      </c>
      <c r="E59" s="52"/>
      <c r="F59" s="69">
        <f t="shared" si="0"/>
        <v>2</v>
      </c>
      <c r="G59" s="52"/>
      <c r="H59" s="52"/>
      <c r="I59" s="69">
        <f t="shared" si="1"/>
        <v>0</v>
      </c>
      <c r="J59" s="52">
        <v>6</v>
      </c>
      <c r="K59" s="52"/>
      <c r="L59" s="69">
        <f t="shared" si="2"/>
        <v>6</v>
      </c>
      <c r="M59" s="52">
        <v>75</v>
      </c>
      <c r="N59" s="52"/>
      <c r="O59" s="69">
        <f t="shared" si="3"/>
        <v>75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83</v>
      </c>
      <c r="AA59" s="50">
        <v>45</v>
      </c>
      <c r="AB59" s="50">
        <v>50</v>
      </c>
      <c r="AC59" s="62">
        <f t="shared" si="8"/>
        <v>12</v>
      </c>
      <c r="AD59" s="50">
        <v>60</v>
      </c>
      <c r="AG59" s="53">
        <f t="shared" si="9"/>
        <v>72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>
        <v>37</v>
      </c>
      <c r="AC60" s="62">
        <f t="shared" si="8"/>
        <v>34</v>
      </c>
      <c r="AD60" s="50"/>
      <c r="AG60" s="53">
        <f t="shared" si="9"/>
        <v>34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>
        <v>75</v>
      </c>
      <c r="N61" s="52"/>
      <c r="O61" s="69">
        <f t="shared" si="3"/>
        <v>75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75</v>
      </c>
      <c r="AA61" s="50">
        <v>45</v>
      </c>
      <c r="AB61" s="50">
        <v>49</v>
      </c>
      <c r="AC61" s="62">
        <f t="shared" si="8"/>
        <v>19</v>
      </c>
      <c r="AD61" s="50">
        <v>60</v>
      </c>
      <c r="AG61" s="53">
        <f t="shared" si="9"/>
        <v>79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75</v>
      </c>
      <c r="N63" s="52"/>
      <c r="O63" s="69">
        <f t="shared" si="3"/>
        <v>75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76</v>
      </c>
      <c r="AA63" s="50">
        <v>74</v>
      </c>
      <c r="AB63" s="50">
        <v>20</v>
      </c>
      <c r="AC63" s="62">
        <f t="shared" si="8"/>
        <v>18</v>
      </c>
      <c r="AD63" s="50">
        <v>60</v>
      </c>
      <c r="AG63" s="53">
        <f t="shared" si="9"/>
        <v>78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3</v>
      </c>
      <c r="N66" s="52"/>
      <c r="O66" s="69">
        <f t="shared" si="3"/>
        <v>3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3</v>
      </c>
      <c r="AA66" s="50"/>
      <c r="AB66" s="50">
        <v>40</v>
      </c>
      <c r="AC66" s="62">
        <f t="shared" si="8"/>
        <v>37</v>
      </c>
      <c r="AD66" s="50"/>
      <c r="AG66" s="53">
        <f t="shared" si="9"/>
        <v>37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10</v>
      </c>
      <c r="H67" s="52"/>
      <c r="I67" s="69">
        <f t="shared" si="1"/>
        <v>10</v>
      </c>
      <c r="J67" s="52"/>
      <c r="K67" s="52"/>
      <c r="L67" s="69">
        <f t="shared" si="2"/>
        <v>0</v>
      </c>
      <c r="M67" s="52">
        <v>118</v>
      </c>
      <c r="N67" s="52"/>
      <c r="O67" s="69">
        <f t="shared" si="3"/>
        <v>118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128</v>
      </c>
      <c r="AA67" s="50"/>
      <c r="AB67" s="50">
        <v>22</v>
      </c>
      <c r="AC67" s="62">
        <f t="shared" si="8"/>
        <v>-106</v>
      </c>
      <c r="AD67" s="50">
        <v>150</v>
      </c>
      <c r="AG67" s="53">
        <f t="shared" si="9"/>
        <v>44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>
        <v>1</v>
      </c>
      <c r="K68" s="52"/>
      <c r="L68" s="69">
        <f t="shared" si="2"/>
        <v>1</v>
      </c>
      <c r="M68" s="52">
        <v>118</v>
      </c>
      <c r="N68" s="52"/>
      <c r="O68" s="69">
        <f t="shared" si="3"/>
        <v>118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119</v>
      </c>
      <c r="AA68" s="50"/>
      <c r="AB68" s="50">
        <v>56</v>
      </c>
      <c r="AC68" s="62">
        <f t="shared" si="8"/>
        <v>-63</v>
      </c>
      <c r="AD68" s="50">
        <v>150</v>
      </c>
      <c r="AG68" s="53">
        <f t="shared" si="9"/>
        <v>87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/>
      <c r="K69" s="52"/>
      <c r="L69" s="69">
        <f t="shared" ref="L69:L99" si="12">SUM(J69:K69)</f>
        <v>0</v>
      </c>
      <c r="M69" s="52">
        <v>118</v>
      </c>
      <c r="N69" s="52"/>
      <c r="O69" s="69">
        <f t="shared" ref="O69:O99" si="13">SUM(M69:N69)</f>
        <v>118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118</v>
      </c>
      <c r="AA69" s="50"/>
      <c r="AB69" s="50">
        <v>90</v>
      </c>
      <c r="AC69" s="62">
        <f t="shared" ref="AC69:AC99" si="18">+AA69+AB69-Z69</f>
        <v>-28</v>
      </c>
      <c r="AD69" s="50">
        <v>150</v>
      </c>
      <c r="AG69" s="53">
        <f t="shared" ref="AG69:AG100" si="19">AD69+AC69</f>
        <v>122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>
        <v>4</v>
      </c>
      <c r="K70" s="52"/>
      <c r="L70" s="69">
        <f t="shared" si="12"/>
        <v>4</v>
      </c>
      <c r="M70" s="52">
        <v>8</v>
      </c>
      <c r="N70" s="52"/>
      <c r="O70" s="69">
        <f t="shared" si="13"/>
        <v>8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12</v>
      </c>
      <c r="AA70" s="50">
        <v>50</v>
      </c>
      <c r="AB70" s="50">
        <v>46</v>
      </c>
      <c r="AC70" s="62">
        <f t="shared" si="18"/>
        <v>84</v>
      </c>
      <c r="AD70" s="50">
        <v>30</v>
      </c>
      <c r="AG70" s="53">
        <f t="shared" si="19"/>
        <v>114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>
        <v>40</v>
      </c>
      <c r="AG74" s="53">
        <f t="shared" si="19"/>
        <v>40</v>
      </c>
    </row>
    <row r="75" spans="2:33">
      <c r="B75" s="50">
        <v>1113170</v>
      </c>
      <c r="C75" s="54" t="s">
        <v>87</v>
      </c>
      <c r="D75" s="52">
        <v>4</v>
      </c>
      <c r="E75" s="52"/>
      <c r="F75" s="69">
        <f t="shared" si="10"/>
        <v>4</v>
      </c>
      <c r="G75" s="52"/>
      <c r="H75" s="52"/>
      <c r="I75" s="69">
        <f t="shared" si="11"/>
        <v>0</v>
      </c>
      <c r="J75" s="52">
        <v>1</v>
      </c>
      <c r="K75" s="52"/>
      <c r="L75" s="69">
        <f t="shared" si="12"/>
        <v>1</v>
      </c>
      <c r="M75" s="52">
        <v>5</v>
      </c>
      <c r="N75" s="52"/>
      <c r="O75" s="69">
        <f t="shared" si="13"/>
        <v>5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10</v>
      </c>
      <c r="AA75" s="50"/>
      <c r="AB75" s="50">
        <v>6</v>
      </c>
      <c r="AC75" s="62">
        <f t="shared" si="18"/>
        <v>-4</v>
      </c>
      <c r="AD75" s="50"/>
      <c r="AG75" s="53">
        <f t="shared" si="19"/>
        <v>-4</v>
      </c>
    </row>
    <row r="76" spans="2:33">
      <c r="B76" s="50">
        <v>1113171</v>
      </c>
      <c r="C76" s="54" t="s">
        <v>88</v>
      </c>
      <c r="D76" s="52">
        <v>4</v>
      </c>
      <c r="E76" s="52"/>
      <c r="F76" s="69">
        <f t="shared" si="10"/>
        <v>4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4</v>
      </c>
      <c r="AA76" s="50"/>
      <c r="AB76" s="50">
        <v>8</v>
      </c>
      <c r="AC76" s="62">
        <f t="shared" si="18"/>
        <v>4</v>
      </c>
      <c r="AD76" s="50"/>
      <c r="AG76" s="53">
        <f t="shared" si="19"/>
        <v>4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>
        <v>14</v>
      </c>
      <c r="AC78" s="62">
        <f t="shared" si="18"/>
        <v>14</v>
      </c>
      <c r="AD78" s="50"/>
      <c r="AG78" s="53">
        <f t="shared" si="19"/>
        <v>14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1</v>
      </c>
      <c r="H82" s="52"/>
      <c r="I82" s="69">
        <f t="shared" si="11"/>
        <v>1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1</v>
      </c>
      <c r="AA82" s="50"/>
      <c r="AB82" s="50"/>
      <c r="AC82" s="62">
        <f t="shared" si="18"/>
        <v>-1</v>
      </c>
      <c r="AD82" s="50"/>
      <c r="AG82" s="53">
        <f t="shared" si="19"/>
        <v>-1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6</v>
      </c>
      <c r="H83" s="52"/>
      <c r="I83" s="69">
        <f t="shared" si="11"/>
        <v>6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6</v>
      </c>
      <c r="AA83" s="50"/>
      <c r="AB83" s="50"/>
      <c r="AC83" s="62">
        <f t="shared" si="18"/>
        <v>-6</v>
      </c>
      <c r="AD83" s="50"/>
      <c r="AG83" s="53">
        <f t="shared" si="19"/>
        <v>-6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13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13</v>
      </c>
      <c r="G100" s="63">
        <f t="shared" si="20"/>
        <v>175</v>
      </c>
      <c r="H100" s="63">
        <f t="shared" si="20"/>
        <v>0</v>
      </c>
      <c r="I100" s="71">
        <f t="shared" si="20"/>
        <v>175</v>
      </c>
      <c r="J100" s="63">
        <f t="shared" si="20"/>
        <v>39</v>
      </c>
      <c r="K100" s="63">
        <f t="shared" si="20"/>
        <v>0</v>
      </c>
      <c r="L100" s="71">
        <f t="shared" si="20"/>
        <v>39</v>
      </c>
      <c r="M100" s="63">
        <f t="shared" si="20"/>
        <v>935</v>
      </c>
      <c r="N100" s="63">
        <f t="shared" si="20"/>
        <v>0</v>
      </c>
      <c r="O100" s="71">
        <f t="shared" si="20"/>
        <v>935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33</v>
      </c>
      <c r="Z100" s="63">
        <f>SUM(Z4:Z99)</f>
        <v>1195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558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741</v>
      </c>
      <c r="AC100" s="63">
        <f t="shared" si="21"/>
        <v>104</v>
      </c>
      <c r="AD100" s="63">
        <f t="shared" si="21"/>
        <v>1070</v>
      </c>
      <c r="AG100" s="53">
        <f t="shared" si="19"/>
        <v>1174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6286-4C26-49A3-A374-1EF4A67BE9E3}">
  <sheetPr>
    <pageSetUpPr fitToPage="1"/>
  </sheetPr>
  <dimension ref="A1:AO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9</v>
      </c>
      <c r="N4" s="52"/>
      <c r="O4" s="69">
        <f>SUM(M4:N4)</f>
        <v>9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10</v>
      </c>
      <c r="AA4" s="50">
        <v>50</v>
      </c>
      <c r="AB4" s="50"/>
      <c r="AC4" s="62">
        <f>+AA4+AB4-Z4</f>
        <v>40</v>
      </c>
      <c r="AD4" s="50">
        <v>50</v>
      </c>
      <c r="AG4" s="53">
        <f>AD4+AC4</f>
        <v>90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16</v>
      </c>
      <c r="H5" s="52"/>
      <c r="I5" s="69">
        <f t="shared" ref="I5:I68" si="1">SUM(G5:H5)</f>
        <v>16</v>
      </c>
      <c r="J5" s="52">
        <v>16</v>
      </c>
      <c r="K5" s="52"/>
      <c r="L5" s="69">
        <f t="shared" ref="L5:L68" si="2">SUM(J5:K5)</f>
        <v>16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11</v>
      </c>
      <c r="Z5" s="64">
        <f t="shared" ref="Z5:Z68" si="7">+F5+I5+L5+O5+R5+U5+X5+Y5</f>
        <v>46</v>
      </c>
      <c r="AA5" s="59">
        <v>78</v>
      </c>
      <c r="AB5" s="59">
        <v>50</v>
      </c>
      <c r="AC5" s="62">
        <f t="shared" ref="AC5:AC68" si="8">+AA5+AB5-Z5</f>
        <v>82</v>
      </c>
      <c r="AD5" s="59">
        <v>70</v>
      </c>
      <c r="AG5" s="53">
        <f t="shared" ref="AG5:AG68" si="9">AD5+AC5</f>
        <v>152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6</v>
      </c>
      <c r="H9" s="52"/>
      <c r="I9" s="69">
        <f t="shared" si="1"/>
        <v>6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6</v>
      </c>
      <c r="AA9" s="50"/>
      <c r="AB9" s="50"/>
      <c r="AC9" s="62">
        <f t="shared" si="8"/>
        <v>-6</v>
      </c>
      <c r="AD9" s="50"/>
      <c r="AG9" s="53">
        <f t="shared" si="9"/>
        <v>-6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6</v>
      </c>
      <c r="H10" s="52"/>
      <c r="I10" s="69">
        <f t="shared" si="1"/>
        <v>6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6</v>
      </c>
      <c r="AA10" s="50"/>
      <c r="AB10" s="50"/>
      <c r="AC10" s="62">
        <f t="shared" si="8"/>
        <v>-6</v>
      </c>
      <c r="AD10" s="50"/>
      <c r="AG10" s="53">
        <f t="shared" si="9"/>
        <v>-6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6</v>
      </c>
      <c r="H11" s="52"/>
      <c r="I11" s="69">
        <f t="shared" si="1"/>
        <v>6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6</v>
      </c>
      <c r="AA11" s="50"/>
      <c r="AB11" s="50"/>
      <c r="AC11" s="62">
        <f t="shared" si="8"/>
        <v>-6</v>
      </c>
      <c r="AD11" s="50"/>
      <c r="AG11" s="53">
        <f t="shared" si="9"/>
        <v>-6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6</v>
      </c>
      <c r="H12" s="52"/>
      <c r="I12" s="69">
        <f t="shared" si="1"/>
        <v>6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6</v>
      </c>
      <c r="AA12" s="50"/>
      <c r="AB12" s="50"/>
      <c r="AC12" s="62">
        <f t="shared" si="8"/>
        <v>-6</v>
      </c>
      <c r="AD12" s="50"/>
      <c r="AG12" s="53">
        <f t="shared" si="9"/>
        <v>-6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6</v>
      </c>
      <c r="H13" s="52"/>
      <c r="I13" s="69">
        <f t="shared" si="1"/>
        <v>6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6</v>
      </c>
      <c r="AA13" s="50"/>
      <c r="AB13" s="50"/>
      <c r="AC13" s="62">
        <f t="shared" si="8"/>
        <v>-6</v>
      </c>
      <c r="AD13" s="50"/>
      <c r="AG13" s="53">
        <f t="shared" si="9"/>
        <v>-6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  <c r="AG14" s="53">
        <f t="shared" si="9"/>
        <v>-5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  <c r="AG15" s="53">
        <f t="shared" si="9"/>
        <v>-5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  <c r="AG16" s="53">
        <f t="shared" si="9"/>
        <v>-5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  <c r="AG17" s="53">
        <f t="shared" si="9"/>
        <v>-5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  <c r="AG18" s="53">
        <f t="shared" si="9"/>
        <v>-5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5</v>
      </c>
      <c r="H19" s="52"/>
      <c r="I19" s="69">
        <f t="shared" si="1"/>
        <v>5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5</v>
      </c>
      <c r="AA19" s="50"/>
      <c r="AB19" s="50"/>
      <c r="AC19" s="62">
        <f t="shared" si="8"/>
        <v>-5</v>
      </c>
      <c r="AD19" s="50"/>
      <c r="AG19" s="53">
        <f t="shared" si="9"/>
        <v>-5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5</v>
      </c>
      <c r="H20" s="52"/>
      <c r="I20" s="69">
        <f t="shared" si="1"/>
        <v>5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5</v>
      </c>
      <c r="AA20" s="50"/>
      <c r="AB20" s="50"/>
      <c r="AC20" s="62">
        <f t="shared" si="8"/>
        <v>-5</v>
      </c>
      <c r="AD20" s="50"/>
      <c r="AG20" s="53">
        <f t="shared" si="9"/>
        <v>-5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5</v>
      </c>
      <c r="H21" s="52"/>
      <c r="I21" s="69">
        <f t="shared" si="1"/>
        <v>5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5</v>
      </c>
      <c r="AA21" s="50"/>
      <c r="AB21" s="50"/>
      <c r="AC21" s="62">
        <f t="shared" si="8"/>
        <v>-5</v>
      </c>
      <c r="AD21" s="50"/>
      <c r="AG21" s="53">
        <f t="shared" si="9"/>
        <v>-5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>
        <v>45</v>
      </c>
      <c r="N25" s="52"/>
      <c r="O25" s="69">
        <f t="shared" si="3"/>
        <v>45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46</v>
      </c>
      <c r="AA25" s="50">
        <v>40</v>
      </c>
      <c r="AB25" s="50">
        <v>6</v>
      </c>
      <c r="AC25" s="62">
        <f t="shared" si="8"/>
        <v>0</v>
      </c>
      <c r="AD25" s="50">
        <v>40</v>
      </c>
      <c r="AG25" s="53">
        <f t="shared" si="9"/>
        <v>40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2</v>
      </c>
      <c r="K26" s="52"/>
      <c r="L26" s="69">
        <f t="shared" si="2"/>
        <v>2</v>
      </c>
      <c r="M26" s="52">
        <v>1</v>
      </c>
      <c r="N26" s="52"/>
      <c r="O26" s="69">
        <f t="shared" si="3"/>
        <v>1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6</v>
      </c>
      <c r="AA26" s="50">
        <v>20</v>
      </c>
      <c r="AB26" s="50">
        <v>36</v>
      </c>
      <c r="AC26" s="62">
        <f t="shared" si="8"/>
        <v>50</v>
      </c>
      <c r="AD26" s="50">
        <v>20</v>
      </c>
      <c r="AG26" s="53">
        <f t="shared" si="9"/>
        <v>70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10</v>
      </c>
      <c r="H41" s="52"/>
      <c r="I41" s="69">
        <f t="shared" si="1"/>
        <v>10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10</v>
      </c>
      <c r="AA41" s="50">
        <v>10</v>
      </c>
      <c r="AB41" s="50">
        <v>10</v>
      </c>
      <c r="AC41" s="62">
        <f t="shared" si="8"/>
        <v>10</v>
      </c>
      <c r="AD41" s="50"/>
      <c r="AG41" s="53">
        <f t="shared" si="9"/>
        <v>10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1</v>
      </c>
      <c r="AA42" s="50"/>
      <c r="AB42" s="50"/>
      <c r="AC42" s="62">
        <f t="shared" si="8"/>
        <v>-1</v>
      </c>
      <c r="AD42" s="50"/>
      <c r="AG42" s="53">
        <f t="shared" si="9"/>
        <v>-1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1</v>
      </c>
      <c r="AA43" s="50"/>
      <c r="AB43" s="50"/>
      <c r="AC43" s="62">
        <f t="shared" si="8"/>
        <v>-1</v>
      </c>
      <c r="AD43" s="50"/>
      <c r="AG43" s="53">
        <f t="shared" si="9"/>
        <v>-1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1</v>
      </c>
      <c r="AA44" s="50"/>
      <c r="AB44" s="50"/>
      <c r="AC44" s="62">
        <f t="shared" si="8"/>
        <v>-1</v>
      </c>
      <c r="AD44" s="50"/>
      <c r="AG44" s="53">
        <f t="shared" si="9"/>
        <v>-1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1</v>
      </c>
      <c r="AA45" s="50"/>
      <c r="AB45" s="50"/>
      <c r="AC45" s="62">
        <f t="shared" si="8"/>
        <v>-1</v>
      </c>
      <c r="AD45" s="50"/>
      <c r="AG45" s="53">
        <f t="shared" si="9"/>
        <v>-1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1</v>
      </c>
      <c r="AA46" s="50"/>
      <c r="AB46" s="50"/>
      <c r="AC46" s="62">
        <f t="shared" si="8"/>
        <v>-1</v>
      </c>
      <c r="AD46" s="50"/>
      <c r="AG46" s="53">
        <f t="shared" si="9"/>
        <v>-1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1</v>
      </c>
      <c r="AA47" s="50"/>
      <c r="AB47" s="50"/>
      <c r="AC47" s="62">
        <f t="shared" si="8"/>
        <v>-1</v>
      </c>
      <c r="AD47" s="50"/>
      <c r="AG47" s="53">
        <f t="shared" si="9"/>
        <v>-1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1</v>
      </c>
      <c r="AA48" s="50"/>
      <c r="AB48" s="50"/>
      <c r="AC48" s="62">
        <f t="shared" si="8"/>
        <v>-1</v>
      </c>
      <c r="AD48" s="50"/>
      <c r="AG48" s="53">
        <f t="shared" si="9"/>
        <v>-1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1</v>
      </c>
      <c r="AA49" s="50"/>
      <c r="AB49" s="50"/>
      <c r="AC49" s="62">
        <f t="shared" si="8"/>
        <v>-1</v>
      </c>
      <c r="AD49" s="50"/>
      <c r="AF49" s="53"/>
      <c r="AG49" s="53">
        <f t="shared" si="9"/>
        <v>-1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1</v>
      </c>
      <c r="AA50" s="50"/>
      <c r="AB50" s="50"/>
      <c r="AC50" s="62">
        <f t="shared" si="8"/>
        <v>-1</v>
      </c>
      <c r="AD50" s="50"/>
      <c r="AG50" s="53">
        <f t="shared" si="9"/>
        <v>-1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1</v>
      </c>
      <c r="AA51" s="50"/>
      <c r="AB51" s="50"/>
      <c r="AC51" s="62">
        <f t="shared" si="8"/>
        <v>-1</v>
      </c>
      <c r="AD51" s="50"/>
      <c r="AG51" s="53">
        <f t="shared" si="9"/>
        <v>-1</v>
      </c>
    </row>
    <row r="52" spans="2:37" hidden="1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>
        <v>2</v>
      </c>
      <c r="K53" s="52"/>
      <c r="L53" s="69">
        <f t="shared" si="2"/>
        <v>2</v>
      </c>
      <c r="M53" s="52">
        <v>64</v>
      </c>
      <c r="N53" s="52"/>
      <c r="O53" s="69">
        <f t="shared" si="3"/>
        <v>64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66</v>
      </c>
      <c r="AA53" s="50">
        <v>60</v>
      </c>
      <c r="AB53" s="50">
        <v>13</v>
      </c>
      <c r="AC53" s="62">
        <f t="shared" si="8"/>
        <v>7</v>
      </c>
      <c r="AD53" s="50">
        <v>60</v>
      </c>
      <c r="AG53" s="53">
        <f t="shared" si="9"/>
        <v>67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>
        <v>2</v>
      </c>
      <c r="K55" s="52"/>
      <c r="L55" s="69">
        <f t="shared" si="2"/>
        <v>2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66</v>
      </c>
      <c r="AA55" s="50">
        <v>60</v>
      </c>
      <c r="AB55" s="50">
        <v>13</v>
      </c>
      <c r="AC55" s="62">
        <f t="shared" si="8"/>
        <v>7</v>
      </c>
      <c r="AD55" s="50">
        <v>60</v>
      </c>
      <c r="AG55" s="53">
        <f t="shared" si="9"/>
        <v>67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64</v>
      </c>
      <c r="N57" s="52"/>
      <c r="O57" s="69">
        <f t="shared" si="3"/>
        <v>64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66</v>
      </c>
      <c r="AA57" s="50">
        <v>60</v>
      </c>
      <c r="AB57" s="50">
        <v>33</v>
      </c>
      <c r="AC57" s="62">
        <f t="shared" si="8"/>
        <v>27</v>
      </c>
      <c r="AD57" s="50">
        <v>60</v>
      </c>
      <c r="AG57" s="53">
        <f t="shared" si="9"/>
        <v>87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2</v>
      </c>
      <c r="K59" s="52"/>
      <c r="L59" s="69">
        <f t="shared" si="2"/>
        <v>2</v>
      </c>
      <c r="M59" s="52">
        <v>64</v>
      </c>
      <c r="N59" s="52"/>
      <c r="O59" s="69">
        <f t="shared" si="3"/>
        <v>64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66</v>
      </c>
      <c r="AA59" s="50">
        <v>60</v>
      </c>
      <c r="AB59" s="50">
        <v>13</v>
      </c>
      <c r="AC59" s="62">
        <f t="shared" si="8"/>
        <v>7</v>
      </c>
      <c r="AD59" s="50">
        <v>60</v>
      </c>
      <c r="AG59" s="53">
        <f t="shared" si="9"/>
        <v>67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2</v>
      </c>
      <c r="N60" s="52"/>
      <c r="O60" s="69">
        <f t="shared" si="3"/>
        <v>2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2</v>
      </c>
      <c r="AA60" s="50"/>
      <c r="AB60" s="50">
        <v>34</v>
      </c>
      <c r="AC60" s="62">
        <f t="shared" si="8"/>
        <v>32</v>
      </c>
      <c r="AD60" s="50"/>
      <c r="AG60" s="53">
        <f t="shared" si="9"/>
        <v>32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>
        <v>2</v>
      </c>
      <c r="K61" s="52"/>
      <c r="L61" s="69">
        <f t="shared" si="2"/>
        <v>2</v>
      </c>
      <c r="M61" s="52">
        <v>64</v>
      </c>
      <c r="N61" s="52"/>
      <c r="O61" s="69">
        <f t="shared" si="3"/>
        <v>64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66</v>
      </c>
      <c r="AA61" s="50">
        <v>60</v>
      </c>
      <c r="AB61" s="50">
        <v>20</v>
      </c>
      <c r="AC61" s="62">
        <f t="shared" si="8"/>
        <v>14</v>
      </c>
      <c r="AD61" s="50">
        <v>60</v>
      </c>
      <c r="AG61" s="53">
        <f t="shared" si="9"/>
        <v>74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>
        <v>2</v>
      </c>
      <c r="K63" s="52"/>
      <c r="L63" s="69">
        <f t="shared" si="2"/>
        <v>2</v>
      </c>
      <c r="M63" s="52">
        <v>64</v>
      </c>
      <c r="N63" s="52"/>
      <c r="O63" s="69">
        <f t="shared" si="3"/>
        <v>64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66</v>
      </c>
      <c r="AA63" s="50">
        <v>60</v>
      </c>
      <c r="AB63" s="50">
        <v>18</v>
      </c>
      <c r="AC63" s="62">
        <f t="shared" si="8"/>
        <v>12</v>
      </c>
      <c r="AD63" s="50">
        <v>60</v>
      </c>
      <c r="AG63" s="53">
        <f t="shared" si="9"/>
        <v>72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>
        <v>37</v>
      </c>
      <c r="AC66" s="62">
        <f t="shared" si="8"/>
        <v>37</v>
      </c>
      <c r="AD66" s="50"/>
      <c r="AG66" s="53">
        <f t="shared" si="9"/>
        <v>37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2</v>
      </c>
      <c r="H67" s="52"/>
      <c r="I67" s="69">
        <f t="shared" si="1"/>
        <v>2</v>
      </c>
      <c r="J67" s="52">
        <v>10</v>
      </c>
      <c r="K67" s="52"/>
      <c r="L67" s="69">
        <f t="shared" si="2"/>
        <v>10</v>
      </c>
      <c r="M67" s="52">
        <v>48</v>
      </c>
      <c r="N67" s="52"/>
      <c r="O67" s="69">
        <f t="shared" si="3"/>
        <v>48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60</v>
      </c>
      <c r="AA67" s="50">
        <v>121</v>
      </c>
      <c r="AB67" s="50">
        <v>43</v>
      </c>
      <c r="AC67" s="62">
        <f t="shared" si="8"/>
        <v>104</v>
      </c>
      <c r="AD67" s="50"/>
      <c r="AG67" s="53">
        <f t="shared" si="9"/>
        <v>104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3</v>
      </c>
      <c r="K68" s="52"/>
      <c r="L68" s="69">
        <f t="shared" si="2"/>
        <v>3</v>
      </c>
      <c r="M68" s="52">
        <v>48</v>
      </c>
      <c r="N68" s="52"/>
      <c r="O68" s="69">
        <f t="shared" si="3"/>
        <v>48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53</v>
      </c>
      <c r="AA68" s="50">
        <v>120</v>
      </c>
      <c r="AB68" s="50">
        <v>123</v>
      </c>
      <c r="AC68" s="62">
        <f t="shared" si="8"/>
        <v>190</v>
      </c>
      <c r="AD68" s="50"/>
      <c r="AG68" s="53">
        <f t="shared" si="9"/>
        <v>190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3</v>
      </c>
      <c r="H69" s="52"/>
      <c r="I69" s="69">
        <f t="shared" ref="I69:I99" si="11">SUM(G69:H69)</f>
        <v>3</v>
      </c>
      <c r="J69" s="52">
        <v>2</v>
      </c>
      <c r="K69" s="52"/>
      <c r="L69" s="69">
        <f t="shared" ref="L69:L99" si="12">SUM(J69:K69)</f>
        <v>2</v>
      </c>
      <c r="M69" s="52">
        <v>69</v>
      </c>
      <c r="N69" s="52"/>
      <c r="O69" s="69">
        <f t="shared" ref="O69:O99" si="13">SUM(M69:N69)</f>
        <v>69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74</v>
      </c>
      <c r="AA69" s="50">
        <v>125</v>
      </c>
      <c r="AB69" s="50">
        <v>61</v>
      </c>
      <c r="AC69" s="62">
        <f t="shared" ref="AC69:AC99" si="18">+AA69+AB69-Z69</f>
        <v>112</v>
      </c>
      <c r="AD69" s="50"/>
      <c r="AG69" s="53">
        <f t="shared" ref="AG69:AG100" si="19">AD69+AC69</f>
        <v>112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36</v>
      </c>
      <c r="H70" s="52"/>
      <c r="I70" s="69">
        <f t="shared" si="11"/>
        <v>36</v>
      </c>
      <c r="J70" s="52"/>
      <c r="K70" s="52"/>
      <c r="L70" s="69">
        <f t="shared" si="12"/>
        <v>0</v>
      </c>
      <c r="M70" s="52">
        <v>26</v>
      </c>
      <c r="N70" s="52"/>
      <c r="O70" s="69">
        <f t="shared" si="13"/>
        <v>26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62</v>
      </c>
      <c r="AA70" s="50">
        <v>30</v>
      </c>
      <c r="AB70" s="50">
        <v>88</v>
      </c>
      <c r="AC70" s="62">
        <f t="shared" si="18"/>
        <v>56</v>
      </c>
      <c r="AD70" s="50">
        <v>50</v>
      </c>
      <c r="AG70" s="53">
        <f t="shared" si="19"/>
        <v>106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>
        <v>40</v>
      </c>
      <c r="AB74" s="59"/>
      <c r="AC74" s="62">
        <f t="shared" si="18"/>
        <v>40</v>
      </c>
      <c r="AD74" s="59"/>
      <c r="AG74" s="53">
        <f t="shared" si="19"/>
        <v>40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4</v>
      </c>
      <c r="N75" s="52"/>
      <c r="O75" s="69">
        <f t="shared" si="13"/>
        <v>4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4</v>
      </c>
      <c r="AA75" s="50"/>
      <c r="AB75" s="50"/>
      <c r="AC75" s="62">
        <f t="shared" si="18"/>
        <v>-4</v>
      </c>
      <c r="AD75" s="50">
        <v>10</v>
      </c>
      <c r="AG75" s="53">
        <f t="shared" si="19"/>
        <v>6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>
        <v>3</v>
      </c>
      <c r="AC76" s="62">
        <f t="shared" si="18"/>
        <v>3</v>
      </c>
      <c r="AD76" s="50">
        <v>10</v>
      </c>
      <c r="AG76" s="53">
        <f t="shared" si="19"/>
        <v>13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>
        <v>13</v>
      </c>
      <c r="AC78" s="62">
        <f t="shared" si="18"/>
        <v>13</v>
      </c>
      <c r="AD78" s="50">
        <v>10</v>
      </c>
      <c r="AG78" s="53">
        <f t="shared" si="19"/>
        <v>23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 hidden="1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158</v>
      </c>
      <c r="H100" s="63">
        <f t="shared" si="20"/>
        <v>0</v>
      </c>
      <c r="I100" s="71">
        <f t="shared" si="20"/>
        <v>158</v>
      </c>
      <c r="J100" s="63">
        <f t="shared" si="20"/>
        <v>45</v>
      </c>
      <c r="K100" s="63">
        <f t="shared" si="20"/>
        <v>0</v>
      </c>
      <c r="L100" s="71">
        <f t="shared" si="20"/>
        <v>45</v>
      </c>
      <c r="M100" s="63">
        <f t="shared" si="20"/>
        <v>639</v>
      </c>
      <c r="N100" s="63">
        <f t="shared" si="20"/>
        <v>0</v>
      </c>
      <c r="O100" s="71">
        <f t="shared" si="20"/>
        <v>639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11</v>
      </c>
      <c r="Z100" s="63">
        <f>SUM(Z4:Z99)</f>
        <v>853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994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642</v>
      </c>
      <c r="AC100" s="63">
        <f t="shared" si="21"/>
        <v>783</v>
      </c>
      <c r="AD100" s="63">
        <f t="shared" si="21"/>
        <v>620</v>
      </c>
      <c r="AG100" s="53">
        <f t="shared" si="19"/>
        <v>1403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64A0-E76F-4811-813A-E5B021F3C4F6}">
  <sheetPr>
    <pageSetUpPr fitToPage="1"/>
  </sheetPr>
  <dimension ref="A1:AO112"/>
  <sheetViews>
    <sheetView zoomScale="50" zoomScaleNormal="50" workbookViewId="0">
      <selection activeCell="A53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24</v>
      </c>
      <c r="N4" s="52"/>
      <c r="O4" s="69">
        <f>SUM(M4:N4)</f>
        <v>24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24</v>
      </c>
      <c r="AA4" s="50">
        <v>50</v>
      </c>
      <c r="AB4" s="50">
        <v>29</v>
      </c>
      <c r="AC4" s="62">
        <f>+AA4+AB4-Z4</f>
        <v>55</v>
      </c>
      <c r="AD4" s="50">
        <v>50</v>
      </c>
      <c r="AG4" s="53">
        <f>AD4+AC4</f>
        <v>105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75</v>
      </c>
      <c r="H5" s="52"/>
      <c r="I5" s="69">
        <f t="shared" ref="I5:I68" si="1">SUM(G5:H5)</f>
        <v>75</v>
      </c>
      <c r="J5" s="52">
        <v>31</v>
      </c>
      <c r="K5" s="52"/>
      <c r="L5" s="69">
        <f t="shared" ref="L5:L68" si="2">SUM(J5:K5)</f>
        <v>31</v>
      </c>
      <c r="M5" s="52">
        <v>15</v>
      </c>
      <c r="N5" s="52"/>
      <c r="O5" s="69">
        <f t="shared" ref="O5:O68" si="3">SUM(M5:N5)</f>
        <v>15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121</v>
      </c>
      <c r="AA5" s="59">
        <v>70</v>
      </c>
      <c r="AB5" s="59">
        <v>85</v>
      </c>
      <c r="AC5" s="62">
        <f t="shared" ref="AC5:AC68" si="8">+AA5+AB5-Z5</f>
        <v>34</v>
      </c>
      <c r="AD5" s="59">
        <v>70</v>
      </c>
      <c r="AG5" s="53">
        <f t="shared" ref="AG5:AG68" si="9">AD5+AC5</f>
        <v>104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3</v>
      </c>
      <c r="H9" s="52"/>
      <c r="I9" s="69">
        <f t="shared" si="1"/>
        <v>3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3</v>
      </c>
      <c r="AA9" s="50"/>
      <c r="AB9" s="50"/>
      <c r="AC9" s="62">
        <f t="shared" si="8"/>
        <v>-3</v>
      </c>
      <c r="AD9" s="50"/>
      <c r="AG9" s="53">
        <f t="shared" si="9"/>
        <v>-3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  <c r="AG10" s="53">
        <f t="shared" si="9"/>
        <v>-3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  <c r="AG11" s="53">
        <f t="shared" si="9"/>
        <v>-3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  <c r="AG12" s="53">
        <f t="shared" si="9"/>
        <v>-3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  <c r="AG13" s="53">
        <f t="shared" si="9"/>
        <v>-2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  <c r="AG14" s="53">
        <f t="shared" si="9"/>
        <v>-2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  <c r="AG15" s="53">
        <f t="shared" si="9"/>
        <v>-2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</v>
      </c>
      <c r="H16" s="52"/>
      <c r="I16" s="69">
        <f t="shared" si="1"/>
        <v>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2</v>
      </c>
      <c r="AA16" s="50"/>
      <c r="AB16" s="50"/>
      <c r="AC16" s="62">
        <f t="shared" si="8"/>
        <v>-2</v>
      </c>
      <c r="AD16" s="50"/>
      <c r="AG16" s="53">
        <f t="shared" si="9"/>
        <v>-2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</v>
      </c>
      <c r="H17" s="52"/>
      <c r="I17" s="69">
        <f t="shared" si="1"/>
        <v>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2</v>
      </c>
      <c r="AA17" s="50"/>
      <c r="AB17" s="50"/>
      <c r="AC17" s="62">
        <f t="shared" si="8"/>
        <v>-2</v>
      </c>
      <c r="AD17" s="50"/>
      <c r="AG17" s="53">
        <f t="shared" si="9"/>
        <v>-2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</v>
      </c>
      <c r="H18" s="52"/>
      <c r="I18" s="69">
        <f t="shared" si="1"/>
        <v>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2</v>
      </c>
      <c r="AA18" s="50"/>
      <c r="AB18" s="50"/>
      <c r="AC18" s="62">
        <f t="shared" si="8"/>
        <v>-2</v>
      </c>
      <c r="AD18" s="50"/>
      <c r="AG18" s="53">
        <f t="shared" si="9"/>
        <v>-2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2</v>
      </c>
      <c r="H19" s="52"/>
      <c r="I19" s="69">
        <f t="shared" si="1"/>
        <v>2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2</v>
      </c>
      <c r="AA19" s="50"/>
      <c r="AB19" s="50"/>
      <c r="AC19" s="62">
        <f t="shared" si="8"/>
        <v>-2</v>
      </c>
      <c r="AD19" s="50"/>
      <c r="AG19" s="53">
        <f t="shared" si="9"/>
        <v>-2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2</v>
      </c>
      <c r="H20" s="52"/>
      <c r="I20" s="69">
        <f t="shared" si="1"/>
        <v>2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2</v>
      </c>
      <c r="AA20" s="50"/>
      <c r="AB20" s="50"/>
      <c r="AC20" s="62">
        <f t="shared" si="8"/>
        <v>-2</v>
      </c>
      <c r="AD20" s="50"/>
      <c r="AG20" s="53">
        <f t="shared" si="9"/>
        <v>-2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2</v>
      </c>
      <c r="H21" s="52"/>
      <c r="I21" s="69">
        <f t="shared" si="1"/>
        <v>2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2</v>
      </c>
      <c r="AA21" s="50"/>
      <c r="AB21" s="50"/>
      <c r="AC21" s="62">
        <f t="shared" si="8"/>
        <v>-2</v>
      </c>
      <c r="AD21" s="50"/>
      <c r="AG21" s="53">
        <f t="shared" si="9"/>
        <v>-2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18</v>
      </c>
      <c r="N25" s="52"/>
      <c r="O25" s="69">
        <f t="shared" si="3"/>
        <v>18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18</v>
      </c>
      <c r="AA25" s="50">
        <v>40</v>
      </c>
      <c r="AB25" s="50"/>
      <c r="AC25" s="62">
        <f t="shared" si="8"/>
        <v>22</v>
      </c>
      <c r="AD25" s="50">
        <v>40</v>
      </c>
      <c r="AG25" s="53">
        <f t="shared" si="9"/>
        <v>62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2</v>
      </c>
      <c r="AA26" s="50">
        <v>20</v>
      </c>
      <c r="AB26" s="50">
        <v>48</v>
      </c>
      <c r="AC26" s="62">
        <f t="shared" si="8"/>
        <v>66</v>
      </c>
      <c r="AD26" s="50">
        <v>20</v>
      </c>
      <c r="AG26" s="53">
        <f t="shared" si="9"/>
        <v>86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7</v>
      </c>
      <c r="H41" s="52"/>
      <c r="I41" s="69">
        <f t="shared" si="1"/>
        <v>7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7</v>
      </c>
      <c r="AA41" s="50"/>
      <c r="AB41" s="50">
        <v>10</v>
      </c>
      <c r="AC41" s="62">
        <f t="shared" si="8"/>
        <v>3</v>
      </c>
      <c r="AD41" s="50">
        <v>10</v>
      </c>
      <c r="AG41" s="53">
        <f t="shared" si="9"/>
        <v>13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>
        <v>1</v>
      </c>
      <c r="K42" s="52"/>
      <c r="L42" s="69">
        <f t="shared" si="2"/>
        <v>1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</v>
      </c>
      <c r="AA42" s="50"/>
      <c r="AB42" s="50"/>
      <c r="AC42" s="62">
        <f t="shared" si="8"/>
        <v>-2</v>
      </c>
      <c r="AD42" s="50"/>
      <c r="AG42" s="53">
        <f t="shared" si="9"/>
        <v>-2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>
        <v>1</v>
      </c>
      <c r="K43" s="52"/>
      <c r="L43" s="69">
        <f t="shared" si="2"/>
        <v>1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</v>
      </c>
      <c r="AA43" s="50"/>
      <c r="AB43" s="50"/>
      <c r="AC43" s="62">
        <f t="shared" si="8"/>
        <v>-2</v>
      </c>
      <c r="AD43" s="50"/>
      <c r="AG43" s="53">
        <f t="shared" si="9"/>
        <v>-2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>
        <v>1</v>
      </c>
      <c r="K44" s="52"/>
      <c r="L44" s="69">
        <f t="shared" si="2"/>
        <v>1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</v>
      </c>
      <c r="AA44" s="50"/>
      <c r="AB44" s="50"/>
      <c r="AC44" s="62">
        <f t="shared" si="8"/>
        <v>-2</v>
      </c>
      <c r="AD44" s="50"/>
      <c r="AG44" s="53">
        <f t="shared" si="9"/>
        <v>-2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>
        <v>1</v>
      </c>
      <c r="K45" s="52"/>
      <c r="L45" s="69">
        <f t="shared" si="2"/>
        <v>1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</v>
      </c>
      <c r="AA45" s="50"/>
      <c r="AB45" s="50"/>
      <c r="AC45" s="62">
        <f t="shared" si="8"/>
        <v>-2</v>
      </c>
      <c r="AD45" s="50"/>
      <c r="AG45" s="53">
        <f t="shared" si="9"/>
        <v>-2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>
        <v>1</v>
      </c>
      <c r="K46" s="52"/>
      <c r="L46" s="69">
        <f t="shared" si="2"/>
        <v>1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</v>
      </c>
      <c r="AA46" s="50"/>
      <c r="AB46" s="50"/>
      <c r="AC46" s="62">
        <f t="shared" si="8"/>
        <v>-2</v>
      </c>
      <c r="AD46" s="50"/>
      <c r="AG46" s="53">
        <f t="shared" si="9"/>
        <v>-2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>
        <v>1</v>
      </c>
      <c r="K47" s="52"/>
      <c r="L47" s="69">
        <f t="shared" si="2"/>
        <v>1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</v>
      </c>
      <c r="AA47" s="50"/>
      <c r="AB47" s="50"/>
      <c r="AC47" s="62">
        <f t="shared" si="8"/>
        <v>-2</v>
      </c>
      <c r="AD47" s="50"/>
      <c r="AG47" s="53">
        <f t="shared" si="9"/>
        <v>-2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>
        <v>1</v>
      </c>
      <c r="K48" s="52"/>
      <c r="L48" s="69">
        <f t="shared" si="2"/>
        <v>1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</v>
      </c>
      <c r="AA48" s="50"/>
      <c r="AB48" s="50"/>
      <c r="AC48" s="62">
        <f t="shared" si="8"/>
        <v>-2</v>
      </c>
      <c r="AD48" s="50"/>
      <c r="AG48" s="53">
        <f t="shared" si="9"/>
        <v>-2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>
        <v>1</v>
      </c>
      <c r="K49" s="52"/>
      <c r="L49" s="69">
        <f t="shared" si="2"/>
        <v>1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</v>
      </c>
      <c r="AA49" s="50"/>
      <c r="AB49" s="50"/>
      <c r="AC49" s="62">
        <f t="shared" si="8"/>
        <v>-2</v>
      </c>
      <c r="AD49" s="50"/>
      <c r="AF49" s="53"/>
      <c r="AG49" s="53">
        <f t="shared" si="9"/>
        <v>-2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>
        <v>1</v>
      </c>
      <c r="K50" s="52"/>
      <c r="L50" s="69">
        <f t="shared" si="2"/>
        <v>1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</v>
      </c>
      <c r="AA50" s="50"/>
      <c r="AB50" s="50"/>
      <c r="AC50" s="62">
        <f t="shared" si="8"/>
        <v>-2</v>
      </c>
      <c r="AD50" s="50"/>
      <c r="AG50" s="53">
        <f t="shared" si="9"/>
        <v>-2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>
        <v>1</v>
      </c>
      <c r="K51" s="52"/>
      <c r="L51" s="69">
        <f t="shared" si="2"/>
        <v>1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</v>
      </c>
      <c r="AA51" s="50"/>
      <c r="AB51" s="50"/>
      <c r="AC51" s="62">
        <f t="shared" si="8"/>
        <v>-2</v>
      </c>
      <c r="AD51" s="50"/>
      <c r="AG51" s="53">
        <f t="shared" si="9"/>
        <v>-2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63</v>
      </c>
      <c r="N53" s="52"/>
      <c r="O53" s="69">
        <f t="shared" si="3"/>
        <v>63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63</v>
      </c>
      <c r="AA53" s="50">
        <v>67</v>
      </c>
      <c r="AB53" s="50">
        <v>8</v>
      </c>
      <c r="AC53" s="62">
        <f t="shared" si="8"/>
        <v>12</v>
      </c>
      <c r="AD53" s="50">
        <v>60</v>
      </c>
      <c r="AG53" s="53">
        <f t="shared" si="9"/>
        <v>72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63</v>
      </c>
      <c r="N55" s="52"/>
      <c r="O55" s="69">
        <f t="shared" si="3"/>
        <v>63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63</v>
      </c>
      <c r="AA55" s="50">
        <v>60</v>
      </c>
      <c r="AB55" s="50">
        <v>9</v>
      </c>
      <c r="AC55" s="62">
        <f t="shared" si="8"/>
        <v>6</v>
      </c>
      <c r="AD55" s="50">
        <v>60</v>
      </c>
      <c r="AG55" s="53">
        <f t="shared" si="9"/>
        <v>66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63</v>
      </c>
      <c r="N57" s="52"/>
      <c r="O57" s="69">
        <f t="shared" si="3"/>
        <v>63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63</v>
      </c>
      <c r="AA57" s="50">
        <v>60</v>
      </c>
      <c r="AB57" s="50">
        <v>17</v>
      </c>
      <c r="AC57" s="62">
        <f t="shared" si="8"/>
        <v>14</v>
      </c>
      <c r="AD57" s="50">
        <v>60</v>
      </c>
      <c r="AG57" s="53">
        <f t="shared" si="9"/>
        <v>74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2</v>
      </c>
      <c r="K59" s="52"/>
      <c r="L59" s="69">
        <f t="shared" si="2"/>
        <v>2</v>
      </c>
      <c r="M59" s="52">
        <v>63</v>
      </c>
      <c r="N59" s="52"/>
      <c r="O59" s="69">
        <f t="shared" si="3"/>
        <v>63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65</v>
      </c>
      <c r="AA59" s="50">
        <v>60</v>
      </c>
      <c r="AB59" s="50">
        <v>11</v>
      </c>
      <c r="AC59" s="62">
        <f t="shared" si="8"/>
        <v>6</v>
      </c>
      <c r="AD59" s="50">
        <v>60</v>
      </c>
      <c r="AG59" s="53">
        <f t="shared" si="9"/>
        <v>66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1</v>
      </c>
      <c r="AA60" s="50"/>
      <c r="AB60" s="50"/>
      <c r="AC60" s="62">
        <f t="shared" si="8"/>
        <v>-1</v>
      </c>
      <c r="AD60" s="50"/>
      <c r="AG60" s="53">
        <f t="shared" si="9"/>
        <v>-1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>
        <v>63</v>
      </c>
      <c r="N61" s="52"/>
      <c r="O61" s="69">
        <f t="shared" si="3"/>
        <v>63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63</v>
      </c>
      <c r="AA61" s="50">
        <v>70</v>
      </c>
      <c r="AB61" s="50">
        <v>12</v>
      </c>
      <c r="AC61" s="62">
        <f t="shared" si="8"/>
        <v>19</v>
      </c>
      <c r="AD61" s="50">
        <v>60</v>
      </c>
      <c r="AG61" s="53">
        <f t="shared" si="9"/>
        <v>79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>
        <v>63</v>
      </c>
      <c r="N63" s="52"/>
      <c r="O63" s="69">
        <f t="shared" si="3"/>
        <v>63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63</v>
      </c>
      <c r="AA63" s="50">
        <v>65</v>
      </c>
      <c r="AB63" s="50">
        <v>9</v>
      </c>
      <c r="AC63" s="62">
        <f t="shared" si="8"/>
        <v>11</v>
      </c>
      <c r="AD63" s="50">
        <v>60</v>
      </c>
      <c r="AG63" s="53">
        <f t="shared" si="9"/>
        <v>71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>
        <v>9</v>
      </c>
      <c r="E66" s="52"/>
      <c r="F66" s="69">
        <f t="shared" si="0"/>
        <v>9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15</v>
      </c>
      <c r="N66" s="52"/>
      <c r="O66" s="69">
        <f t="shared" si="3"/>
        <v>15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24</v>
      </c>
      <c r="AA66" s="50"/>
      <c r="AB66" s="50"/>
      <c r="AC66" s="62">
        <f t="shared" si="8"/>
        <v>-24</v>
      </c>
      <c r="AD66" s="50"/>
      <c r="AG66" s="53">
        <f t="shared" si="9"/>
        <v>-24</v>
      </c>
    </row>
    <row r="67" spans="2:33">
      <c r="B67" s="50">
        <v>1114501</v>
      </c>
      <c r="C67" s="54" t="s">
        <v>187</v>
      </c>
      <c r="D67" s="52">
        <v>6</v>
      </c>
      <c r="E67" s="52"/>
      <c r="F67" s="69">
        <f t="shared" si="0"/>
        <v>6</v>
      </c>
      <c r="G67" s="52">
        <v>2</v>
      </c>
      <c r="H67" s="52"/>
      <c r="I67" s="69">
        <f t="shared" si="1"/>
        <v>2</v>
      </c>
      <c r="J67" s="52"/>
      <c r="K67" s="52"/>
      <c r="L67" s="69">
        <f t="shared" si="2"/>
        <v>0</v>
      </c>
      <c r="M67" s="52">
        <v>104</v>
      </c>
      <c r="N67" s="52"/>
      <c r="O67" s="69">
        <f t="shared" si="3"/>
        <v>104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112</v>
      </c>
      <c r="AA67" s="50">
        <v>101</v>
      </c>
      <c r="AB67" s="50">
        <v>3</v>
      </c>
      <c r="AC67" s="62">
        <f t="shared" si="8"/>
        <v>-8</v>
      </c>
      <c r="AD67" s="50"/>
      <c r="AG67" s="53">
        <f t="shared" si="9"/>
        <v>-8</v>
      </c>
    </row>
    <row r="68" spans="2:33">
      <c r="B68" s="50">
        <v>1114502</v>
      </c>
      <c r="C68" s="54" t="s">
        <v>188</v>
      </c>
      <c r="D68" s="52">
        <v>2</v>
      </c>
      <c r="E68" s="52"/>
      <c r="F68" s="69">
        <f t="shared" si="0"/>
        <v>2</v>
      </c>
      <c r="G68" s="52">
        <v>1</v>
      </c>
      <c r="H68" s="52"/>
      <c r="I68" s="69">
        <f t="shared" si="1"/>
        <v>1</v>
      </c>
      <c r="J68" s="52">
        <v>2</v>
      </c>
      <c r="K68" s="52"/>
      <c r="L68" s="69">
        <f t="shared" si="2"/>
        <v>2</v>
      </c>
      <c r="M68" s="52">
        <v>104</v>
      </c>
      <c r="N68" s="52"/>
      <c r="O68" s="69">
        <f t="shared" si="3"/>
        <v>104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109</v>
      </c>
      <c r="AA68" s="50">
        <v>120</v>
      </c>
      <c r="AB68" s="50">
        <v>70</v>
      </c>
      <c r="AC68" s="62">
        <f t="shared" si="8"/>
        <v>81</v>
      </c>
      <c r="AD68" s="50"/>
      <c r="AG68" s="53">
        <f t="shared" si="9"/>
        <v>81</v>
      </c>
    </row>
    <row r="69" spans="2:33">
      <c r="B69" s="50">
        <v>1114503</v>
      </c>
      <c r="C69" s="54" t="s">
        <v>189</v>
      </c>
      <c r="D69" s="52">
        <v>1</v>
      </c>
      <c r="E69" s="52"/>
      <c r="F69" s="69">
        <f t="shared" ref="F69:F99" si="10">SUM(D69:E69)</f>
        <v>1</v>
      </c>
      <c r="G69" s="52">
        <v>1</v>
      </c>
      <c r="H69" s="52"/>
      <c r="I69" s="69">
        <f t="shared" ref="I69:I99" si="11">SUM(G69:H69)</f>
        <v>1</v>
      </c>
      <c r="J69" s="52"/>
      <c r="K69" s="52"/>
      <c r="L69" s="69">
        <f t="shared" ref="L69:L99" si="12">SUM(J69:K69)</f>
        <v>0</v>
      </c>
      <c r="M69" s="52">
        <v>104</v>
      </c>
      <c r="N69" s="52"/>
      <c r="O69" s="69">
        <f t="shared" ref="O69:O99" si="13">SUM(M69:N69)</f>
        <v>104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106</v>
      </c>
      <c r="AA69" s="50">
        <v>117</v>
      </c>
      <c r="AB69" s="50"/>
      <c r="AC69" s="62">
        <f t="shared" ref="AC69:AC99" si="18">+AA69+AB69-Z69</f>
        <v>11</v>
      </c>
      <c r="AD69" s="50"/>
      <c r="AG69" s="53">
        <f t="shared" ref="AG69:AG100" si="19">AD69+AC69</f>
        <v>11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34</v>
      </c>
      <c r="H70" s="52"/>
      <c r="I70" s="69">
        <f t="shared" si="11"/>
        <v>34</v>
      </c>
      <c r="J70" s="52"/>
      <c r="K70" s="52"/>
      <c r="L70" s="69">
        <f t="shared" si="12"/>
        <v>0</v>
      </c>
      <c r="M70" s="52">
        <v>45</v>
      </c>
      <c r="N70" s="52"/>
      <c r="O70" s="69">
        <f t="shared" si="13"/>
        <v>45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79</v>
      </c>
      <c r="AA70" s="50">
        <v>50</v>
      </c>
      <c r="AB70" s="50">
        <v>56</v>
      </c>
      <c r="AC70" s="62">
        <f t="shared" si="18"/>
        <v>27</v>
      </c>
      <c r="AD70" s="50">
        <v>30</v>
      </c>
      <c r="AG70" s="53">
        <f t="shared" si="19"/>
        <v>57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>
        <v>40</v>
      </c>
      <c r="N74" s="52"/>
      <c r="O74" s="69">
        <f t="shared" si="13"/>
        <v>40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40</v>
      </c>
      <c r="AA74" s="59">
        <v>40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13</v>
      </c>
      <c r="E75" s="52"/>
      <c r="F75" s="69">
        <f t="shared" si="10"/>
        <v>13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5</v>
      </c>
      <c r="N75" s="52"/>
      <c r="O75" s="69">
        <f t="shared" si="13"/>
        <v>5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73">
        <v>1</v>
      </c>
      <c r="Z75" s="64">
        <f t="shared" si="17"/>
        <v>19</v>
      </c>
      <c r="AA75" s="50">
        <v>30</v>
      </c>
      <c r="AB75" s="50"/>
      <c r="AC75" s="62">
        <f t="shared" si="18"/>
        <v>11</v>
      </c>
      <c r="AD75" s="50"/>
      <c r="AG75" s="53">
        <f t="shared" si="19"/>
        <v>11</v>
      </c>
    </row>
    <row r="76" spans="2:33">
      <c r="B76" s="50">
        <v>1113171</v>
      </c>
      <c r="C76" s="54" t="s">
        <v>88</v>
      </c>
      <c r="D76" s="52">
        <v>7</v>
      </c>
      <c r="E76" s="52"/>
      <c r="F76" s="69">
        <f t="shared" si="10"/>
        <v>7</v>
      </c>
      <c r="G76" s="52"/>
      <c r="H76" s="52"/>
      <c r="I76" s="69">
        <f t="shared" si="11"/>
        <v>0</v>
      </c>
      <c r="J76" s="52">
        <v>1</v>
      </c>
      <c r="K76" s="52"/>
      <c r="L76" s="69">
        <f t="shared" si="12"/>
        <v>1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8</v>
      </c>
      <c r="AA76" s="50">
        <v>20</v>
      </c>
      <c r="AB76" s="50">
        <v>3</v>
      </c>
      <c r="AC76" s="62">
        <f t="shared" si="18"/>
        <v>15</v>
      </c>
      <c r="AD76" s="50"/>
      <c r="AG76" s="53">
        <f t="shared" si="19"/>
        <v>15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2</v>
      </c>
      <c r="E78" s="52"/>
      <c r="F78" s="69">
        <f t="shared" si="10"/>
        <v>2</v>
      </c>
      <c r="G78" s="52"/>
      <c r="H78" s="52"/>
      <c r="I78" s="69">
        <f t="shared" si="11"/>
        <v>0</v>
      </c>
      <c r="J78" s="52">
        <v>2</v>
      </c>
      <c r="K78" s="52"/>
      <c r="L78" s="69">
        <f t="shared" si="12"/>
        <v>2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4</v>
      </c>
      <c r="AA78" s="50">
        <v>10</v>
      </c>
      <c r="AB78" s="50">
        <v>13</v>
      </c>
      <c r="AC78" s="62">
        <f t="shared" si="18"/>
        <v>19</v>
      </c>
      <c r="AD78" s="50"/>
      <c r="AG78" s="53">
        <f t="shared" si="19"/>
        <v>19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>
        <v>2</v>
      </c>
      <c r="K82" s="52"/>
      <c r="L82" s="69">
        <f t="shared" si="12"/>
        <v>2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2</v>
      </c>
      <c r="AA82" s="50"/>
      <c r="AB82" s="50"/>
      <c r="AC82" s="62">
        <f t="shared" si="18"/>
        <v>-2</v>
      </c>
      <c r="AD82" s="50"/>
      <c r="AG82" s="53">
        <f t="shared" si="19"/>
        <v>-2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6</v>
      </c>
      <c r="N98" s="52"/>
      <c r="O98" s="69">
        <f t="shared" si="13"/>
        <v>6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6</v>
      </c>
      <c r="AA98" s="50"/>
      <c r="AB98" s="50">
        <v>25</v>
      </c>
      <c r="AC98" s="62">
        <f t="shared" si="18"/>
        <v>19</v>
      </c>
      <c r="AD98" s="50"/>
      <c r="AG98" s="53">
        <f t="shared" si="19"/>
        <v>19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40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40</v>
      </c>
      <c r="G100" s="63">
        <f t="shared" si="20"/>
        <v>166</v>
      </c>
      <c r="H100" s="63">
        <f t="shared" si="20"/>
        <v>0</v>
      </c>
      <c r="I100" s="71">
        <f t="shared" si="20"/>
        <v>166</v>
      </c>
      <c r="J100" s="63">
        <f t="shared" si="20"/>
        <v>50</v>
      </c>
      <c r="K100" s="63">
        <f t="shared" si="20"/>
        <v>0</v>
      </c>
      <c r="L100" s="71">
        <f t="shared" si="20"/>
        <v>50</v>
      </c>
      <c r="M100" s="63">
        <f t="shared" si="20"/>
        <v>859</v>
      </c>
      <c r="N100" s="63">
        <f t="shared" si="20"/>
        <v>0</v>
      </c>
      <c r="O100" s="71">
        <f t="shared" si="20"/>
        <v>859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</v>
      </c>
      <c r="Z100" s="63">
        <f>SUM(Z4:Z99)</f>
        <v>1116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1050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408</v>
      </c>
      <c r="AC100" s="63">
        <f t="shared" si="21"/>
        <v>342</v>
      </c>
      <c r="AD100" s="63">
        <f t="shared" si="21"/>
        <v>580</v>
      </c>
      <c r="AG100" s="53">
        <f t="shared" si="19"/>
        <v>922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D3D-F27E-4B0E-8EA1-6AE1D2112C02}">
  <sheetPr>
    <pageSetUpPr fitToPage="1"/>
  </sheetPr>
  <dimension ref="A1:AO112"/>
  <sheetViews>
    <sheetView zoomScale="50" zoomScaleNormal="50" workbookViewId="0">
      <selection activeCell="D1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69</v>
      </c>
      <c r="N4" s="52"/>
      <c r="O4" s="69">
        <f>SUM(M4:N4)</f>
        <v>69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69</v>
      </c>
      <c r="AA4" s="50">
        <v>50</v>
      </c>
      <c r="AB4" s="50">
        <v>54</v>
      </c>
      <c r="AC4" s="62">
        <f>+AA4+AB4-Z4</f>
        <v>35</v>
      </c>
      <c r="AD4" s="50">
        <v>50</v>
      </c>
      <c r="AG4" s="53">
        <f>AD4+AC4</f>
        <v>85</v>
      </c>
    </row>
    <row r="5" spans="2:33">
      <c r="B5" s="50">
        <v>1111002</v>
      </c>
      <c r="C5" s="51" t="s">
        <v>150</v>
      </c>
      <c r="D5" s="52">
        <v>2</v>
      </c>
      <c r="E5" s="52"/>
      <c r="F5" s="69">
        <f t="shared" ref="F5:F68" si="0">SUM(D5:E5)</f>
        <v>2</v>
      </c>
      <c r="G5" s="52">
        <v>38</v>
      </c>
      <c r="H5" s="52"/>
      <c r="I5" s="69">
        <f t="shared" ref="I5:I68" si="1">SUM(G5:H5)</f>
        <v>38</v>
      </c>
      <c r="J5" s="52">
        <v>42</v>
      </c>
      <c r="K5" s="52"/>
      <c r="L5" s="69">
        <f t="shared" ref="L5:L68" si="2">SUM(J5:K5)</f>
        <v>42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15</v>
      </c>
      <c r="Z5" s="64">
        <f t="shared" ref="Z5:Z68" si="7">+F5+I5+L5+O5+R5+U5+X5+Y5</f>
        <v>100</v>
      </c>
      <c r="AA5" s="59">
        <v>85</v>
      </c>
      <c r="AB5" s="59">
        <v>30</v>
      </c>
      <c r="AC5" s="62">
        <f t="shared" ref="AC5:AC68" si="8">+AA5+AB5-Z5</f>
        <v>15</v>
      </c>
      <c r="AD5" s="59">
        <v>70</v>
      </c>
      <c r="AG5" s="53">
        <f t="shared" ref="AG5:AG68" si="9">AD5+AC5</f>
        <v>85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14</v>
      </c>
      <c r="H9" s="52"/>
      <c r="I9" s="69">
        <f t="shared" si="1"/>
        <v>14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14</v>
      </c>
      <c r="AA9" s="50"/>
      <c r="AB9" s="50"/>
      <c r="AC9" s="62">
        <f t="shared" si="8"/>
        <v>-14</v>
      </c>
      <c r="AD9" s="50"/>
      <c r="AG9" s="53">
        <f t="shared" si="9"/>
        <v>-14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13</v>
      </c>
      <c r="H10" s="52"/>
      <c r="I10" s="69">
        <f t="shared" si="1"/>
        <v>13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13</v>
      </c>
      <c r="AA10" s="50"/>
      <c r="AB10" s="50"/>
      <c r="AC10" s="62">
        <f t="shared" si="8"/>
        <v>-13</v>
      </c>
      <c r="AD10" s="50"/>
      <c r="AG10" s="53">
        <f t="shared" si="9"/>
        <v>-13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13</v>
      </c>
      <c r="H11" s="52"/>
      <c r="I11" s="69">
        <f t="shared" si="1"/>
        <v>13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13</v>
      </c>
      <c r="AA11" s="50"/>
      <c r="AB11" s="50"/>
      <c r="AC11" s="62">
        <f t="shared" si="8"/>
        <v>-13</v>
      </c>
      <c r="AD11" s="50"/>
      <c r="AG11" s="53">
        <f t="shared" si="9"/>
        <v>-13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13</v>
      </c>
      <c r="H12" s="52"/>
      <c r="I12" s="69">
        <f t="shared" si="1"/>
        <v>13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13</v>
      </c>
      <c r="AA12" s="50"/>
      <c r="AB12" s="50"/>
      <c r="AC12" s="62">
        <f t="shared" si="8"/>
        <v>-13</v>
      </c>
      <c r="AD12" s="50"/>
      <c r="AG12" s="53">
        <f t="shared" si="9"/>
        <v>-13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13</v>
      </c>
      <c r="H13" s="52"/>
      <c r="I13" s="69">
        <f t="shared" si="1"/>
        <v>13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13</v>
      </c>
      <c r="AA13" s="50"/>
      <c r="AB13" s="50"/>
      <c r="AC13" s="62">
        <f t="shared" si="8"/>
        <v>-13</v>
      </c>
      <c r="AD13" s="50"/>
      <c r="AG13" s="53">
        <f t="shared" si="9"/>
        <v>-13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13</v>
      </c>
      <c r="H14" s="52"/>
      <c r="I14" s="69">
        <f t="shared" si="1"/>
        <v>13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13</v>
      </c>
      <c r="AA14" s="50"/>
      <c r="AB14" s="50"/>
      <c r="AC14" s="62">
        <f t="shared" si="8"/>
        <v>-13</v>
      </c>
      <c r="AD14" s="50"/>
      <c r="AG14" s="53">
        <f t="shared" si="9"/>
        <v>-13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13</v>
      </c>
      <c r="H15" s="52"/>
      <c r="I15" s="69">
        <f t="shared" si="1"/>
        <v>13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13</v>
      </c>
      <c r="AA15" s="50"/>
      <c r="AB15" s="50"/>
      <c r="AC15" s="62">
        <f t="shared" si="8"/>
        <v>-13</v>
      </c>
      <c r="AD15" s="50"/>
      <c r="AG15" s="53">
        <f t="shared" si="9"/>
        <v>-13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13</v>
      </c>
      <c r="H16" s="52"/>
      <c r="I16" s="69">
        <f t="shared" si="1"/>
        <v>13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13</v>
      </c>
      <c r="AA16" s="50"/>
      <c r="AB16" s="50"/>
      <c r="AC16" s="62">
        <f t="shared" si="8"/>
        <v>-13</v>
      </c>
      <c r="AD16" s="50"/>
      <c r="AG16" s="53">
        <f t="shared" si="9"/>
        <v>-13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13</v>
      </c>
      <c r="H17" s="52"/>
      <c r="I17" s="69">
        <f t="shared" si="1"/>
        <v>13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13</v>
      </c>
      <c r="AA17" s="50"/>
      <c r="AB17" s="50"/>
      <c r="AC17" s="62">
        <f t="shared" si="8"/>
        <v>-13</v>
      </c>
      <c r="AD17" s="50"/>
      <c r="AG17" s="53">
        <f t="shared" si="9"/>
        <v>-13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13</v>
      </c>
      <c r="H18" s="52"/>
      <c r="I18" s="69">
        <f t="shared" si="1"/>
        <v>13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13</v>
      </c>
      <c r="AA18" s="50"/>
      <c r="AB18" s="50"/>
      <c r="AC18" s="62">
        <f t="shared" si="8"/>
        <v>-13</v>
      </c>
      <c r="AD18" s="50"/>
      <c r="AG18" s="53">
        <f t="shared" si="9"/>
        <v>-13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13</v>
      </c>
      <c r="H19" s="52"/>
      <c r="I19" s="69">
        <f t="shared" si="1"/>
        <v>13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13</v>
      </c>
      <c r="AA19" s="50"/>
      <c r="AB19" s="50"/>
      <c r="AC19" s="62">
        <f t="shared" si="8"/>
        <v>-13</v>
      </c>
      <c r="AD19" s="50"/>
      <c r="AG19" s="53">
        <f t="shared" si="9"/>
        <v>-13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13</v>
      </c>
      <c r="H20" s="52"/>
      <c r="I20" s="69">
        <f t="shared" si="1"/>
        <v>13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13</v>
      </c>
      <c r="AA20" s="50"/>
      <c r="AB20" s="50"/>
      <c r="AC20" s="62">
        <f t="shared" si="8"/>
        <v>-13</v>
      </c>
      <c r="AD20" s="50"/>
      <c r="AG20" s="53">
        <f t="shared" si="9"/>
        <v>-13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13</v>
      </c>
      <c r="H21" s="52"/>
      <c r="I21" s="69">
        <f t="shared" si="1"/>
        <v>13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13</v>
      </c>
      <c r="AA21" s="50"/>
      <c r="AB21" s="50"/>
      <c r="AC21" s="62">
        <f t="shared" si="8"/>
        <v>-13</v>
      </c>
      <c r="AD21" s="50"/>
      <c r="AG21" s="53">
        <f t="shared" si="9"/>
        <v>-13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>
        <v>27</v>
      </c>
      <c r="N25" s="52"/>
      <c r="O25" s="69">
        <f t="shared" si="3"/>
        <v>27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28</v>
      </c>
      <c r="AA25" s="50">
        <v>40</v>
      </c>
      <c r="AB25" s="50">
        <v>41</v>
      </c>
      <c r="AC25" s="62">
        <f t="shared" si="8"/>
        <v>53</v>
      </c>
      <c r="AD25" s="50">
        <v>40</v>
      </c>
      <c r="AG25" s="53">
        <f t="shared" si="9"/>
        <v>93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4</v>
      </c>
      <c r="H26" s="52"/>
      <c r="I26" s="69">
        <f t="shared" si="1"/>
        <v>4</v>
      </c>
      <c r="J26" s="52">
        <v>5</v>
      </c>
      <c r="K26" s="52"/>
      <c r="L26" s="69">
        <f t="shared" si="2"/>
        <v>5</v>
      </c>
      <c r="M26" s="52">
        <v>1</v>
      </c>
      <c r="N26" s="52"/>
      <c r="O26" s="69">
        <f t="shared" si="3"/>
        <v>1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10</v>
      </c>
      <c r="AA26" s="50">
        <v>20</v>
      </c>
      <c r="AB26" s="50">
        <v>55</v>
      </c>
      <c r="AC26" s="62">
        <f t="shared" si="8"/>
        <v>65</v>
      </c>
      <c r="AD26" s="50"/>
      <c r="AG26" s="53">
        <f t="shared" si="9"/>
        <v>65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13</v>
      </c>
      <c r="H41" s="52"/>
      <c r="I41" s="69">
        <f t="shared" si="1"/>
        <v>13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13</v>
      </c>
      <c r="AA41" s="50">
        <v>10</v>
      </c>
      <c r="AB41" s="50">
        <v>3</v>
      </c>
      <c r="AC41" s="62">
        <f t="shared" si="8"/>
        <v>0</v>
      </c>
      <c r="AD41" s="50"/>
      <c r="AG41" s="53">
        <f t="shared" si="9"/>
        <v>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3</v>
      </c>
      <c r="H42" s="52"/>
      <c r="I42" s="69">
        <f t="shared" si="1"/>
        <v>3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3</v>
      </c>
      <c r="AA42" s="50"/>
      <c r="AB42" s="50"/>
      <c r="AC42" s="62">
        <f t="shared" si="8"/>
        <v>-3</v>
      </c>
      <c r="AD42" s="50"/>
      <c r="AG42" s="53">
        <f t="shared" si="9"/>
        <v>-3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</v>
      </c>
      <c r="H43" s="52"/>
      <c r="I43" s="69">
        <f t="shared" si="1"/>
        <v>2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</v>
      </c>
      <c r="AA43" s="50"/>
      <c r="AB43" s="50"/>
      <c r="AC43" s="62">
        <f t="shared" si="8"/>
        <v>-2</v>
      </c>
      <c r="AD43" s="50"/>
      <c r="AG43" s="53">
        <f t="shared" si="9"/>
        <v>-2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</v>
      </c>
      <c r="H44" s="52"/>
      <c r="I44" s="69">
        <f t="shared" si="1"/>
        <v>2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</v>
      </c>
      <c r="AA44" s="50"/>
      <c r="AB44" s="50"/>
      <c r="AC44" s="62">
        <f t="shared" si="8"/>
        <v>-2</v>
      </c>
      <c r="AD44" s="50"/>
      <c r="AG44" s="53">
        <f t="shared" si="9"/>
        <v>-2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</v>
      </c>
      <c r="H45" s="52"/>
      <c r="I45" s="69">
        <f t="shared" si="1"/>
        <v>2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</v>
      </c>
      <c r="AA45" s="50"/>
      <c r="AB45" s="50"/>
      <c r="AC45" s="62">
        <f t="shared" si="8"/>
        <v>-2</v>
      </c>
      <c r="AD45" s="50"/>
      <c r="AG45" s="53">
        <f t="shared" si="9"/>
        <v>-2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</v>
      </c>
      <c r="H46" s="52"/>
      <c r="I46" s="69">
        <f t="shared" si="1"/>
        <v>2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</v>
      </c>
      <c r="AA46" s="50"/>
      <c r="AB46" s="50"/>
      <c r="AC46" s="62">
        <f t="shared" si="8"/>
        <v>-2</v>
      </c>
      <c r="AD46" s="50"/>
      <c r="AG46" s="53">
        <f t="shared" si="9"/>
        <v>-2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</v>
      </c>
      <c r="H47" s="52"/>
      <c r="I47" s="69">
        <f t="shared" si="1"/>
        <v>2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</v>
      </c>
      <c r="AA47" s="50"/>
      <c r="AB47" s="50"/>
      <c r="AC47" s="62">
        <f t="shared" si="8"/>
        <v>-2</v>
      </c>
      <c r="AD47" s="50"/>
      <c r="AG47" s="53">
        <f t="shared" si="9"/>
        <v>-2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</v>
      </c>
      <c r="H48" s="52"/>
      <c r="I48" s="69">
        <f t="shared" si="1"/>
        <v>2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</v>
      </c>
      <c r="AA48" s="50"/>
      <c r="AB48" s="50"/>
      <c r="AC48" s="62">
        <f t="shared" si="8"/>
        <v>-2</v>
      </c>
      <c r="AD48" s="50"/>
      <c r="AG48" s="53">
        <f t="shared" si="9"/>
        <v>-2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</v>
      </c>
      <c r="H49" s="52"/>
      <c r="I49" s="69">
        <f t="shared" si="1"/>
        <v>2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</v>
      </c>
      <c r="AA49" s="50"/>
      <c r="AB49" s="50"/>
      <c r="AC49" s="62">
        <f t="shared" si="8"/>
        <v>-2</v>
      </c>
      <c r="AD49" s="50"/>
      <c r="AF49" s="53"/>
      <c r="AG49" s="53">
        <f t="shared" si="9"/>
        <v>-2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</v>
      </c>
      <c r="H50" s="52"/>
      <c r="I50" s="69">
        <f t="shared" si="1"/>
        <v>2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</v>
      </c>
      <c r="AA50" s="50"/>
      <c r="AB50" s="50"/>
      <c r="AC50" s="62">
        <f t="shared" si="8"/>
        <v>-2</v>
      </c>
      <c r="AD50" s="50"/>
      <c r="AG50" s="53">
        <f t="shared" si="9"/>
        <v>-2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</v>
      </c>
      <c r="H51" s="52"/>
      <c r="I51" s="69">
        <f t="shared" si="1"/>
        <v>2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</v>
      </c>
      <c r="AA51" s="50"/>
      <c r="AB51" s="50"/>
      <c r="AC51" s="62">
        <f t="shared" si="8"/>
        <v>-2</v>
      </c>
      <c r="AD51" s="50"/>
      <c r="AG51" s="53">
        <f t="shared" si="9"/>
        <v>-2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>
        <v>1</v>
      </c>
      <c r="K53" s="52"/>
      <c r="L53" s="69">
        <f t="shared" si="2"/>
        <v>1</v>
      </c>
      <c r="M53" s="52">
        <v>69</v>
      </c>
      <c r="N53" s="52"/>
      <c r="O53" s="69">
        <f t="shared" si="3"/>
        <v>69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71</v>
      </c>
      <c r="AA53" s="50">
        <v>60</v>
      </c>
      <c r="AB53" s="50">
        <v>17</v>
      </c>
      <c r="AC53" s="62">
        <f t="shared" si="8"/>
        <v>6</v>
      </c>
      <c r="AD53" s="50">
        <v>60</v>
      </c>
      <c r="AG53" s="53">
        <f t="shared" si="9"/>
        <v>66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1</v>
      </c>
      <c r="H55" s="52"/>
      <c r="I55" s="69">
        <f t="shared" si="1"/>
        <v>1</v>
      </c>
      <c r="J55" s="52">
        <v>1</v>
      </c>
      <c r="K55" s="52"/>
      <c r="L55" s="69">
        <f t="shared" si="2"/>
        <v>1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>
        <v>5</v>
      </c>
      <c r="Z55" s="64">
        <f t="shared" si="7"/>
        <v>71</v>
      </c>
      <c r="AA55" s="50">
        <v>65</v>
      </c>
      <c r="AB55" s="50">
        <v>15</v>
      </c>
      <c r="AC55" s="62">
        <f t="shared" si="8"/>
        <v>9</v>
      </c>
      <c r="AD55" s="50">
        <v>60</v>
      </c>
      <c r="AG55" s="53">
        <f t="shared" si="9"/>
        <v>69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1</v>
      </c>
      <c r="H57" s="52"/>
      <c r="I57" s="69">
        <f t="shared" si="1"/>
        <v>1</v>
      </c>
      <c r="J57" s="52">
        <v>1</v>
      </c>
      <c r="K57" s="52"/>
      <c r="L57" s="69">
        <f t="shared" si="2"/>
        <v>1</v>
      </c>
      <c r="M57" s="52">
        <v>65</v>
      </c>
      <c r="N57" s="52"/>
      <c r="O57" s="69">
        <f t="shared" si="3"/>
        <v>65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72</v>
      </c>
      <c r="AA57" s="50">
        <v>65</v>
      </c>
      <c r="AB57" s="50">
        <v>13</v>
      </c>
      <c r="AC57" s="62">
        <f t="shared" si="8"/>
        <v>6</v>
      </c>
      <c r="AD57" s="50">
        <v>60</v>
      </c>
      <c r="AG57" s="53">
        <f t="shared" si="9"/>
        <v>66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5</v>
      </c>
      <c r="K59" s="52"/>
      <c r="L59" s="69">
        <f t="shared" si="2"/>
        <v>5</v>
      </c>
      <c r="M59" s="52">
        <v>64</v>
      </c>
      <c r="N59" s="52"/>
      <c r="O59" s="69">
        <f t="shared" si="3"/>
        <v>64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74</v>
      </c>
      <c r="AA59" s="50">
        <v>65</v>
      </c>
      <c r="AB59" s="50">
        <v>16</v>
      </c>
      <c r="AC59" s="62">
        <f t="shared" si="8"/>
        <v>7</v>
      </c>
      <c r="AD59" s="50">
        <v>60</v>
      </c>
      <c r="AG59" s="53">
        <f t="shared" si="9"/>
        <v>67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1</v>
      </c>
      <c r="AA60" s="50"/>
      <c r="AB60" s="50"/>
      <c r="AC60" s="62">
        <f t="shared" si="8"/>
        <v>-1</v>
      </c>
      <c r="AD60" s="50"/>
      <c r="AG60" s="53">
        <f t="shared" si="9"/>
        <v>-1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65</v>
      </c>
      <c r="N61" s="52"/>
      <c r="O61" s="69">
        <f t="shared" si="3"/>
        <v>65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5</v>
      </c>
      <c r="Z61" s="64">
        <f t="shared" si="7"/>
        <v>72</v>
      </c>
      <c r="AA61" s="50">
        <v>65</v>
      </c>
      <c r="AB61" s="50">
        <v>14</v>
      </c>
      <c r="AC61" s="62">
        <f t="shared" si="8"/>
        <v>7</v>
      </c>
      <c r="AD61" s="50">
        <v>60</v>
      </c>
      <c r="AG61" s="53">
        <f t="shared" si="9"/>
        <v>67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60</v>
      </c>
      <c r="N63" s="52"/>
      <c r="O63" s="69">
        <f t="shared" si="3"/>
        <v>60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62</v>
      </c>
      <c r="AA63" s="50">
        <v>60</v>
      </c>
      <c r="AB63" s="50">
        <v>5</v>
      </c>
      <c r="AC63" s="62">
        <f t="shared" si="8"/>
        <v>3</v>
      </c>
      <c r="AD63" s="50">
        <v>60</v>
      </c>
      <c r="AG63" s="53">
        <f t="shared" si="9"/>
        <v>63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3</v>
      </c>
      <c r="N66" s="52"/>
      <c r="O66" s="69">
        <f t="shared" si="3"/>
        <v>3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3</v>
      </c>
      <c r="AA66" s="50">
        <v>24</v>
      </c>
      <c r="AB66" s="50"/>
      <c r="AC66" s="62">
        <f t="shared" si="8"/>
        <v>21</v>
      </c>
      <c r="AD66" s="50"/>
      <c r="AG66" s="53">
        <f t="shared" si="9"/>
        <v>21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2</v>
      </c>
      <c r="H67" s="52"/>
      <c r="I67" s="69">
        <f t="shared" si="1"/>
        <v>2</v>
      </c>
      <c r="J67" s="52"/>
      <c r="K67" s="52"/>
      <c r="L67" s="69">
        <f t="shared" si="2"/>
        <v>0</v>
      </c>
      <c r="M67" s="52">
        <v>3</v>
      </c>
      <c r="N67" s="52"/>
      <c r="O67" s="69">
        <f t="shared" si="3"/>
        <v>3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5</v>
      </c>
      <c r="AA67" s="50"/>
      <c r="AB67" s="50"/>
      <c r="AC67" s="62">
        <f t="shared" si="8"/>
        <v>-5</v>
      </c>
      <c r="AD67" s="50"/>
      <c r="AG67" s="53">
        <f t="shared" si="9"/>
        <v>-5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1</v>
      </c>
      <c r="H68" s="52"/>
      <c r="I68" s="69">
        <f t="shared" si="1"/>
        <v>1</v>
      </c>
      <c r="J68" s="52"/>
      <c r="K68" s="52"/>
      <c r="L68" s="69">
        <f t="shared" si="2"/>
        <v>0</v>
      </c>
      <c r="M68" s="52">
        <v>12</v>
      </c>
      <c r="N68" s="52"/>
      <c r="O68" s="69">
        <f t="shared" si="3"/>
        <v>12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13</v>
      </c>
      <c r="AA68" s="50"/>
      <c r="AB68" s="50">
        <v>85</v>
      </c>
      <c r="AC68" s="62">
        <f t="shared" si="8"/>
        <v>72</v>
      </c>
      <c r="AD68" s="50"/>
      <c r="AG68" s="53">
        <f t="shared" si="9"/>
        <v>72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1</v>
      </c>
      <c r="H69" s="52"/>
      <c r="I69" s="69">
        <f t="shared" ref="I69:I99" si="11">SUM(G69:H69)</f>
        <v>1</v>
      </c>
      <c r="J69" s="52"/>
      <c r="K69" s="52"/>
      <c r="L69" s="69">
        <f t="shared" ref="L69:L99" si="12">SUM(J69:K69)</f>
        <v>0</v>
      </c>
      <c r="M69" s="52">
        <v>12</v>
      </c>
      <c r="N69" s="52"/>
      <c r="O69" s="69">
        <f t="shared" ref="O69:O99" si="13">SUM(M69:N69)</f>
        <v>12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13</v>
      </c>
      <c r="AA69" s="50">
        <v>10</v>
      </c>
      <c r="AB69" s="50">
        <v>8</v>
      </c>
      <c r="AC69" s="62">
        <f t="shared" ref="AC69:AC99" si="18">+AA69+AB69-Z69</f>
        <v>5</v>
      </c>
      <c r="AD69" s="50"/>
      <c r="AG69" s="53">
        <f t="shared" ref="AG69:AG100" si="19">AD69+AC69</f>
        <v>5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19</v>
      </c>
      <c r="H70" s="52"/>
      <c r="I70" s="69">
        <f t="shared" si="11"/>
        <v>19</v>
      </c>
      <c r="J70" s="52"/>
      <c r="K70" s="52"/>
      <c r="L70" s="69">
        <f t="shared" si="12"/>
        <v>0</v>
      </c>
      <c r="M70" s="52">
        <v>37</v>
      </c>
      <c r="N70" s="52"/>
      <c r="O70" s="69">
        <f t="shared" si="13"/>
        <v>37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56</v>
      </c>
      <c r="AA70" s="50">
        <v>30</v>
      </c>
      <c r="AB70" s="50">
        <v>27</v>
      </c>
      <c r="AC70" s="62">
        <f t="shared" si="18"/>
        <v>1</v>
      </c>
      <c r="AD70" s="50">
        <v>50</v>
      </c>
      <c r="AG70" s="53">
        <f t="shared" si="19"/>
        <v>51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 hidden="1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>
        <v>1</v>
      </c>
      <c r="K75" s="52"/>
      <c r="L75" s="69">
        <f t="shared" si="12"/>
        <v>1</v>
      </c>
      <c r="M75" s="52">
        <v>2</v>
      </c>
      <c r="N75" s="52"/>
      <c r="O75" s="69">
        <f t="shared" si="13"/>
        <v>2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3</v>
      </c>
      <c r="AA75" s="50"/>
      <c r="AB75" s="50">
        <v>19</v>
      </c>
      <c r="AC75" s="62">
        <f t="shared" si="18"/>
        <v>16</v>
      </c>
      <c r="AD75" s="50"/>
      <c r="AG75" s="53">
        <f t="shared" si="19"/>
        <v>16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>
        <v>2</v>
      </c>
      <c r="K76" s="52"/>
      <c r="L76" s="69">
        <f t="shared" si="12"/>
        <v>2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2</v>
      </c>
      <c r="AA76" s="50">
        <v>20</v>
      </c>
      <c r="AB76" s="50"/>
      <c r="AC76" s="62">
        <f t="shared" si="18"/>
        <v>18</v>
      </c>
      <c r="AD76" s="50"/>
      <c r="AG76" s="53">
        <f t="shared" si="19"/>
        <v>18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>
        <v>3</v>
      </c>
      <c r="K78" s="52"/>
      <c r="L78" s="69">
        <f t="shared" si="12"/>
        <v>3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3</v>
      </c>
      <c r="AA78" s="50"/>
      <c r="AB78" s="50">
        <v>19</v>
      </c>
      <c r="AC78" s="62">
        <f t="shared" si="18"/>
        <v>16</v>
      </c>
      <c r="AD78" s="50"/>
      <c r="AG78" s="53">
        <f t="shared" si="19"/>
        <v>16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3</v>
      </c>
      <c r="H82" s="52"/>
      <c r="I82" s="69">
        <f t="shared" si="11"/>
        <v>3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3</v>
      </c>
      <c r="AA82" s="50"/>
      <c r="AB82" s="50"/>
      <c r="AC82" s="62">
        <f t="shared" si="18"/>
        <v>-3</v>
      </c>
      <c r="AD82" s="50"/>
      <c r="AG82" s="53">
        <f t="shared" si="19"/>
        <v>-3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7</v>
      </c>
      <c r="H83" s="52"/>
      <c r="I83" s="69">
        <f t="shared" si="11"/>
        <v>7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7</v>
      </c>
      <c r="AA83" s="50"/>
      <c r="AB83" s="50"/>
      <c r="AC83" s="62">
        <f t="shared" si="18"/>
        <v>-7</v>
      </c>
      <c r="AD83" s="50"/>
      <c r="AG83" s="53">
        <f t="shared" si="19"/>
        <v>-7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10</v>
      </c>
      <c r="AC98" s="62">
        <f t="shared" si="18"/>
        <v>10</v>
      </c>
      <c r="AD98" s="50"/>
      <c r="AG98" s="53">
        <f t="shared" si="19"/>
        <v>10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2</v>
      </c>
      <c r="G100" s="63">
        <f t="shared" si="20"/>
        <v>285</v>
      </c>
      <c r="H100" s="63">
        <f t="shared" si="20"/>
        <v>0</v>
      </c>
      <c r="I100" s="71">
        <f t="shared" si="20"/>
        <v>285</v>
      </c>
      <c r="J100" s="63">
        <f t="shared" si="20"/>
        <v>63</v>
      </c>
      <c r="K100" s="63">
        <f t="shared" si="20"/>
        <v>0</v>
      </c>
      <c r="L100" s="71">
        <f t="shared" si="20"/>
        <v>63</v>
      </c>
      <c r="M100" s="63">
        <f t="shared" si="20"/>
        <v>557</v>
      </c>
      <c r="N100" s="63">
        <f t="shared" si="20"/>
        <v>0</v>
      </c>
      <c r="O100" s="71">
        <f t="shared" si="20"/>
        <v>557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35</v>
      </c>
      <c r="Z100" s="63">
        <f>SUM(Z4:Z99)</f>
        <v>942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669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431</v>
      </c>
      <c r="AC100" s="63">
        <f t="shared" si="21"/>
        <v>158</v>
      </c>
      <c r="AD100" s="63">
        <f t="shared" si="21"/>
        <v>570</v>
      </c>
      <c r="AG100" s="53">
        <f t="shared" si="19"/>
        <v>728</v>
      </c>
    </row>
    <row r="101" spans="1:41">
      <c r="B101" s="55"/>
      <c r="D101" s="55"/>
      <c r="E101" s="55"/>
      <c r="F101" s="55">
        <v>5</v>
      </c>
      <c r="G101" s="55"/>
      <c r="H101" s="55"/>
      <c r="I101" s="55">
        <v>8</v>
      </c>
      <c r="J101" s="55"/>
      <c r="K101" s="55"/>
      <c r="L101" s="55">
        <v>11</v>
      </c>
      <c r="M101" s="55"/>
      <c r="N101" s="55"/>
      <c r="O101" s="55">
        <v>14</v>
      </c>
      <c r="P101" s="55">
        <v>15</v>
      </c>
      <c r="Q101" s="55">
        <v>16</v>
      </c>
      <c r="R101" s="55">
        <v>17</v>
      </c>
      <c r="S101" s="55">
        <v>18</v>
      </c>
      <c r="T101" s="55">
        <v>19</v>
      </c>
      <c r="U101" s="55">
        <v>20</v>
      </c>
      <c r="V101" s="55">
        <v>21</v>
      </c>
      <c r="W101" s="55">
        <v>22</v>
      </c>
      <c r="X101" s="55">
        <v>23</v>
      </c>
      <c r="Y101" s="55">
        <v>24</v>
      </c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7967-C0A7-44EB-97C5-470AC047216F}">
  <sheetPr>
    <pageSetUpPr fitToPage="1"/>
  </sheetPr>
  <dimension ref="A1:AO112"/>
  <sheetViews>
    <sheetView topLeftCell="B15" zoomScale="50" zoomScaleNormal="50" workbookViewId="0">
      <selection activeCell="Z42" sqref="Z42:Z5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5" width="14.28515625" style="57" customWidth="1"/>
    <col min="16" max="23" width="14.28515625" style="57" hidden="1" customWidth="1"/>
    <col min="2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>
        <v>10</v>
      </c>
      <c r="E4" s="52"/>
      <c r="F4" s="69">
        <f>SUM(D4:E4)</f>
        <v>10</v>
      </c>
      <c r="G4" s="52">
        <v>12</v>
      </c>
      <c r="H4" s="52"/>
      <c r="I4" s="69">
        <f>SUM(G4:H4)</f>
        <v>12</v>
      </c>
      <c r="J4" s="52"/>
      <c r="K4" s="52"/>
      <c r="L4" s="69">
        <f>SUM(J4:K4)</f>
        <v>0</v>
      </c>
      <c r="M4" s="52">
        <v>63</v>
      </c>
      <c r="N4" s="52"/>
      <c r="O4" s="69">
        <f>SUM(M4:N4)</f>
        <v>63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5</v>
      </c>
      <c r="Z4" s="64">
        <f>+F4+I4+L4+O4+R4+U4+X4+Y4</f>
        <v>90</v>
      </c>
      <c r="AA4" s="50">
        <v>55</v>
      </c>
      <c r="AB4" s="50">
        <v>23</v>
      </c>
      <c r="AC4" s="62">
        <f>+AA4+AB4-Z4</f>
        <v>-12</v>
      </c>
      <c r="AD4" s="50">
        <v>50</v>
      </c>
      <c r="AG4" s="53">
        <f>AD4+AC4</f>
        <v>38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30</v>
      </c>
      <c r="H5" s="52"/>
      <c r="I5" s="69">
        <f t="shared" ref="I5:I68" si="1">SUM(G5:H5)</f>
        <v>30</v>
      </c>
      <c r="J5" s="52">
        <v>13</v>
      </c>
      <c r="K5" s="52"/>
      <c r="L5" s="69">
        <f t="shared" ref="L5:L68" si="2">SUM(J5:K5)</f>
        <v>13</v>
      </c>
      <c r="M5" s="52">
        <v>16</v>
      </c>
      <c r="N5" s="52"/>
      <c r="O5" s="69">
        <f t="shared" ref="O5:O68" si="3">SUM(M5:N5)</f>
        <v>16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8</v>
      </c>
      <c r="Z5" s="64">
        <f t="shared" ref="Z5:Z68" si="7">+F5+I5+L5+O5+R5+U5+X5+Y5</f>
        <v>67</v>
      </c>
      <c r="AA5" s="59">
        <v>78</v>
      </c>
      <c r="AB5" s="59">
        <v>5</v>
      </c>
      <c r="AC5" s="62">
        <f t="shared" ref="AC5:AC68" si="8">+AA5+AB5-Z5</f>
        <v>16</v>
      </c>
      <c r="AD5" s="59">
        <v>70</v>
      </c>
      <c r="AG5" s="53">
        <f t="shared" ref="AG5:AG68" si="9">AD5+AC5</f>
        <v>86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</v>
      </c>
      <c r="H9" s="52"/>
      <c r="I9" s="69">
        <f t="shared" si="1"/>
        <v>2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2</v>
      </c>
      <c r="AA9" s="50"/>
      <c r="AB9" s="50"/>
      <c r="AC9" s="62">
        <f t="shared" si="8"/>
        <v>-2</v>
      </c>
      <c r="AD9" s="50"/>
      <c r="AG9" s="53">
        <f t="shared" si="9"/>
        <v>-2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</v>
      </c>
      <c r="H10" s="52"/>
      <c r="I10" s="69">
        <f t="shared" si="1"/>
        <v>2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2</v>
      </c>
      <c r="AA10" s="50"/>
      <c r="AB10" s="50"/>
      <c r="AC10" s="62">
        <f t="shared" si="8"/>
        <v>-2</v>
      </c>
      <c r="AD10" s="50"/>
      <c r="AG10" s="53">
        <f t="shared" si="9"/>
        <v>-2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</v>
      </c>
      <c r="H11" s="52"/>
      <c r="I11" s="69">
        <f t="shared" si="1"/>
        <v>2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2</v>
      </c>
      <c r="AA11" s="50"/>
      <c r="AB11" s="50"/>
      <c r="AC11" s="62">
        <f t="shared" si="8"/>
        <v>-2</v>
      </c>
      <c r="AD11" s="50"/>
      <c r="AG11" s="53">
        <f t="shared" si="9"/>
        <v>-2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</v>
      </c>
      <c r="H12" s="52"/>
      <c r="I12" s="69">
        <f t="shared" si="1"/>
        <v>2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2</v>
      </c>
      <c r="AA12" s="50"/>
      <c r="AB12" s="50"/>
      <c r="AC12" s="62">
        <f t="shared" si="8"/>
        <v>-2</v>
      </c>
      <c r="AD12" s="50"/>
      <c r="AG12" s="53">
        <f t="shared" si="9"/>
        <v>-2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  <c r="AG13" s="53">
        <f t="shared" si="9"/>
        <v>-2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  <c r="AG14" s="53">
        <f t="shared" si="9"/>
        <v>-2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  <c r="AG15" s="53">
        <f t="shared" si="9"/>
        <v>-2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</v>
      </c>
      <c r="H16" s="52"/>
      <c r="I16" s="69">
        <f t="shared" si="1"/>
        <v>1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</v>
      </c>
      <c r="AA16" s="50"/>
      <c r="AB16" s="50"/>
      <c r="AC16" s="62">
        <f t="shared" si="8"/>
        <v>-1</v>
      </c>
      <c r="AD16" s="50"/>
      <c r="AG16" s="53">
        <f t="shared" si="9"/>
        <v>-1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</v>
      </c>
      <c r="H17" s="52"/>
      <c r="I17" s="69">
        <f t="shared" si="1"/>
        <v>1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</v>
      </c>
      <c r="AA17" s="50"/>
      <c r="AB17" s="50"/>
      <c r="AC17" s="62">
        <f t="shared" si="8"/>
        <v>-1</v>
      </c>
      <c r="AD17" s="50"/>
      <c r="AG17" s="53">
        <f t="shared" si="9"/>
        <v>-1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</v>
      </c>
      <c r="H18" s="52"/>
      <c r="I18" s="69">
        <f t="shared" si="1"/>
        <v>1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</v>
      </c>
      <c r="AA18" s="50"/>
      <c r="AB18" s="50"/>
      <c r="AC18" s="62">
        <f t="shared" si="8"/>
        <v>-1</v>
      </c>
      <c r="AD18" s="50"/>
      <c r="AG18" s="53">
        <f t="shared" si="9"/>
        <v>-1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</v>
      </c>
      <c r="H19" s="52"/>
      <c r="I19" s="69">
        <f t="shared" si="1"/>
        <v>1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</v>
      </c>
      <c r="AA19" s="50"/>
      <c r="AB19" s="50"/>
      <c r="AC19" s="62">
        <f t="shared" si="8"/>
        <v>-1</v>
      </c>
      <c r="AD19" s="50"/>
      <c r="AG19" s="53">
        <f t="shared" si="9"/>
        <v>-1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</v>
      </c>
      <c r="H20" s="52"/>
      <c r="I20" s="69">
        <f t="shared" si="1"/>
        <v>1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</v>
      </c>
      <c r="AA20" s="50"/>
      <c r="AB20" s="50"/>
      <c r="AC20" s="62">
        <f t="shared" si="8"/>
        <v>-1</v>
      </c>
      <c r="AD20" s="50"/>
      <c r="AG20" s="53">
        <f t="shared" si="9"/>
        <v>-1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</v>
      </c>
      <c r="H21" s="52"/>
      <c r="I21" s="69">
        <f t="shared" si="1"/>
        <v>1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</v>
      </c>
      <c r="AA21" s="50"/>
      <c r="AB21" s="50"/>
      <c r="AC21" s="62">
        <f t="shared" si="8"/>
        <v>-1</v>
      </c>
      <c r="AD21" s="50"/>
      <c r="AG21" s="53">
        <f t="shared" si="9"/>
        <v>-1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3</v>
      </c>
      <c r="H25" s="52"/>
      <c r="I25" s="69">
        <f t="shared" si="1"/>
        <v>3</v>
      </c>
      <c r="J25" s="52"/>
      <c r="K25" s="52"/>
      <c r="L25" s="69">
        <f t="shared" si="2"/>
        <v>0</v>
      </c>
      <c r="M25" s="52">
        <v>42</v>
      </c>
      <c r="N25" s="52"/>
      <c r="O25" s="69">
        <f t="shared" si="3"/>
        <v>42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45</v>
      </c>
      <c r="AA25" s="50">
        <v>40</v>
      </c>
      <c r="AB25" s="50">
        <v>52</v>
      </c>
      <c r="AC25" s="62">
        <f t="shared" si="8"/>
        <v>47</v>
      </c>
      <c r="AD25" s="50"/>
      <c r="AG25" s="53">
        <f t="shared" si="9"/>
        <v>47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7</v>
      </c>
      <c r="H26" s="52"/>
      <c r="I26" s="69">
        <f t="shared" si="1"/>
        <v>7</v>
      </c>
      <c r="J26" s="52">
        <v>2</v>
      </c>
      <c r="K26" s="52"/>
      <c r="L26" s="69">
        <f t="shared" si="2"/>
        <v>2</v>
      </c>
      <c r="M26" s="52">
        <v>8</v>
      </c>
      <c r="N26" s="52"/>
      <c r="O26" s="69">
        <f t="shared" si="3"/>
        <v>8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17</v>
      </c>
      <c r="AA26" s="50"/>
      <c r="AB26" s="50">
        <v>60</v>
      </c>
      <c r="AC26" s="62">
        <f t="shared" si="8"/>
        <v>43</v>
      </c>
      <c r="AD26" s="50"/>
      <c r="AG26" s="53">
        <f t="shared" si="9"/>
        <v>43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6</v>
      </c>
      <c r="H41" s="52"/>
      <c r="I41" s="69">
        <f t="shared" si="1"/>
        <v>6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6</v>
      </c>
      <c r="AA41" s="50"/>
      <c r="AB41" s="50"/>
      <c r="AC41" s="62">
        <f t="shared" si="8"/>
        <v>-6</v>
      </c>
      <c r="AD41" s="50">
        <v>10</v>
      </c>
      <c r="AG41" s="53">
        <f t="shared" si="9"/>
        <v>4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20</v>
      </c>
      <c r="H42" s="52"/>
      <c r="I42" s="69">
        <f t="shared" si="1"/>
        <v>20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20</v>
      </c>
      <c r="AA42" s="50"/>
      <c r="AB42" s="50"/>
      <c r="AC42" s="62">
        <f t="shared" si="8"/>
        <v>-20</v>
      </c>
      <c r="AD42" s="50"/>
      <c r="AG42" s="53">
        <f t="shared" si="9"/>
        <v>-20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20</v>
      </c>
      <c r="H43" s="52"/>
      <c r="I43" s="69">
        <f t="shared" si="1"/>
        <v>20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20</v>
      </c>
      <c r="AA43" s="50"/>
      <c r="AB43" s="50"/>
      <c r="AC43" s="62">
        <f t="shared" si="8"/>
        <v>-20</v>
      </c>
      <c r="AD43" s="50"/>
      <c r="AG43" s="53">
        <f t="shared" si="9"/>
        <v>-20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20</v>
      </c>
      <c r="H44" s="52"/>
      <c r="I44" s="69">
        <f t="shared" si="1"/>
        <v>20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20</v>
      </c>
      <c r="AA44" s="50"/>
      <c r="AB44" s="50"/>
      <c r="AC44" s="62">
        <f t="shared" si="8"/>
        <v>-20</v>
      </c>
      <c r="AD44" s="50"/>
      <c r="AG44" s="53">
        <f t="shared" si="9"/>
        <v>-20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20</v>
      </c>
      <c r="H45" s="52"/>
      <c r="I45" s="69">
        <f t="shared" si="1"/>
        <v>20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20</v>
      </c>
      <c r="AA45" s="50"/>
      <c r="AB45" s="50"/>
      <c r="AC45" s="62">
        <f t="shared" si="8"/>
        <v>-20</v>
      </c>
      <c r="AD45" s="50"/>
      <c r="AG45" s="53">
        <f t="shared" si="9"/>
        <v>-20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20</v>
      </c>
      <c r="H46" s="52"/>
      <c r="I46" s="69">
        <f t="shared" si="1"/>
        <v>20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20</v>
      </c>
      <c r="AA46" s="50"/>
      <c r="AB46" s="50"/>
      <c r="AC46" s="62">
        <f t="shared" si="8"/>
        <v>-20</v>
      </c>
      <c r="AD46" s="50"/>
      <c r="AG46" s="53">
        <f t="shared" si="9"/>
        <v>-20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20</v>
      </c>
      <c r="H47" s="52"/>
      <c r="I47" s="69">
        <f t="shared" si="1"/>
        <v>20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20</v>
      </c>
      <c r="AA47" s="50"/>
      <c r="AB47" s="50"/>
      <c r="AC47" s="62">
        <f t="shared" si="8"/>
        <v>-20</v>
      </c>
      <c r="AD47" s="50"/>
      <c r="AG47" s="53">
        <f t="shared" si="9"/>
        <v>-20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20</v>
      </c>
      <c r="H48" s="52"/>
      <c r="I48" s="69">
        <f t="shared" si="1"/>
        <v>20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20</v>
      </c>
      <c r="AA48" s="50"/>
      <c r="AB48" s="50"/>
      <c r="AC48" s="62">
        <f t="shared" si="8"/>
        <v>-20</v>
      </c>
      <c r="AD48" s="50"/>
      <c r="AG48" s="53">
        <f t="shared" si="9"/>
        <v>-20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20</v>
      </c>
      <c r="H49" s="52"/>
      <c r="I49" s="69">
        <f t="shared" si="1"/>
        <v>20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20</v>
      </c>
      <c r="AA49" s="50"/>
      <c r="AB49" s="50"/>
      <c r="AC49" s="62">
        <f t="shared" si="8"/>
        <v>-20</v>
      </c>
      <c r="AD49" s="50"/>
      <c r="AF49" s="53"/>
      <c r="AG49" s="53">
        <f t="shared" si="9"/>
        <v>-20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20</v>
      </c>
      <c r="H50" s="52"/>
      <c r="I50" s="69">
        <f t="shared" si="1"/>
        <v>20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20</v>
      </c>
      <c r="AA50" s="50"/>
      <c r="AB50" s="50"/>
      <c r="AC50" s="62">
        <f t="shared" si="8"/>
        <v>-20</v>
      </c>
      <c r="AD50" s="50"/>
      <c r="AG50" s="53">
        <f t="shared" si="9"/>
        <v>-20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20</v>
      </c>
      <c r="H51" s="52"/>
      <c r="I51" s="69">
        <f t="shared" si="1"/>
        <v>20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20</v>
      </c>
      <c r="AA51" s="50"/>
      <c r="AB51" s="50"/>
      <c r="AC51" s="62">
        <f t="shared" si="8"/>
        <v>-20</v>
      </c>
      <c r="AD51" s="50"/>
      <c r="AG51" s="53">
        <f t="shared" si="9"/>
        <v>-20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>
        <v>2</v>
      </c>
      <c r="E53" s="52"/>
      <c r="F53" s="69">
        <f t="shared" si="0"/>
        <v>2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50</v>
      </c>
      <c r="N53" s="52"/>
      <c r="O53" s="69">
        <f t="shared" si="3"/>
        <v>50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52</v>
      </c>
      <c r="AA53" s="50">
        <v>60</v>
      </c>
      <c r="AB53" s="50">
        <v>3</v>
      </c>
      <c r="AC53" s="62">
        <f t="shared" si="8"/>
        <v>11</v>
      </c>
      <c r="AD53" s="50">
        <v>60</v>
      </c>
      <c r="AG53" s="53">
        <f t="shared" si="9"/>
        <v>71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73">
        <v>20</v>
      </c>
      <c r="Z54" s="64">
        <f t="shared" si="7"/>
        <v>20</v>
      </c>
      <c r="AA54" s="50">
        <v>10</v>
      </c>
      <c r="AB54" s="50"/>
      <c r="AC54" s="62">
        <f t="shared" si="8"/>
        <v>-10</v>
      </c>
      <c r="AD54" s="50"/>
      <c r="AG54" s="53">
        <f t="shared" si="9"/>
        <v>-10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1</v>
      </c>
      <c r="H55" s="52"/>
      <c r="I55" s="69">
        <f t="shared" si="1"/>
        <v>1</v>
      </c>
      <c r="J55" s="52"/>
      <c r="K55" s="52"/>
      <c r="L55" s="69">
        <f t="shared" si="2"/>
        <v>0</v>
      </c>
      <c r="M55" s="52">
        <v>50</v>
      </c>
      <c r="N55" s="52"/>
      <c r="O55" s="69">
        <f t="shared" si="3"/>
        <v>50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51</v>
      </c>
      <c r="AA55" s="50">
        <v>60</v>
      </c>
      <c r="AB55" s="50">
        <v>8</v>
      </c>
      <c r="AC55" s="62">
        <f t="shared" si="8"/>
        <v>17</v>
      </c>
      <c r="AD55" s="50">
        <v>60</v>
      </c>
      <c r="AG55" s="53">
        <f t="shared" si="9"/>
        <v>77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1</v>
      </c>
      <c r="E57" s="52"/>
      <c r="F57" s="69">
        <f t="shared" si="0"/>
        <v>1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49</v>
      </c>
      <c r="N57" s="52"/>
      <c r="O57" s="69">
        <f t="shared" si="3"/>
        <v>49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57</v>
      </c>
      <c r="AA57" s="50">
        <v>65</v>
      </c>
      <c r="AB57" s="50">
        <v>2</v>
      </c>
      <c r="AC57" s="62">
        <f t="shared" si="8"/>
        <v>10</v>
      </c>
      <c r="AD57" s="50">
        <v>60</v>
      </c>
      <c r="AG57" s="53">
        <f t="shared" si="9"/>
        <v>70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4</v>
      </c>
      <c r="K59" s="52"/>
      <c r="L59" s="69">
        <f t="shared" si="2"/>
        <v>4</v>
      </c>
      <c r="M59" s="52">
        <v>49</v>
      </c>
      <c r="N59" s="52"/>
      <c r="O59" s="69">
        <f t="shared" si="3"/>
        <v>49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58</v>
      </c>
      <c r="AA59" s="50">
        <v>65</v>
      </c>
      <c r="AB59" s="50">
        <v>2</v>
      </c>
      <c r="AC59" s="62">
        <f t="shared" si="8"/>
        <v>9</v>
      </c>
      <c r="AD59" s="50">
        <v>60</v>
      </c>
      <c r="AG59" s="53">
        <f t="shared" si="9"/>
        <v>69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50</v>
      </c>
      <c r="N61" s="52"/>
      <c r="O61" s="69">
        <f t="shared" si="3"/>
        <v>50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4</v>
      </c>
      <c r="Z61" s="64">
        <f t="shared" si="7"/>
        <v>55</v>
      </c>
      <c r="AA61" s="50">
        <v>64</v>
      </c>
      <c r="AB61" s="50">
        <v>4</v>
      </c>
      <c r="AC61" s="62">
        <f t="shared" si="8"/>
        <v>13</v>
      </c>
      <c r="AD61" s="50">
        <v>60</v>
      </c>
      <c r="AG61" s="53">
        <f t="shared" si="9"/>
        <v>73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>
        <v>1</v>
      </c>
      <c r="E63" s="52"/>
      <c r="F63" s="69">
        <f t="shared" si="0"/>
        <v>1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50</v>
      </c>
      <c r="N63" s="52"/>
      <c r="O63" s="69">
        <f t="shared" si="3"/>
        <v>50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52</v>
      </c>
      <c r="AA63" s="50">
        <v>60</v>
      </c>
      <c r="AB63" s="50">
        <v>2</v>
      </c>
      <c r="AC63" s="62">
        <f t="shared" si="8"/>
        <v>10</v>
      </c>
      <c r="AD63" s="50">
        <v>60</v>
      </c>
      <c r="AG63" s="53">
        <f t="shared" si="9"/>
        <v>70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3</v>
      </c>
      <c r="H67" s="52"/>
      <c r="I67" s="69">
        <f t="shared" si="1"/>
        <v>3</v>
      </c>
      <c r="J67" s="52"/>
      <c r="K67" s="52"/>
      <c r="L67" s="69">
        <f t="shared" si="2"/>
        <v>0</v>
      </c>
      <c r="M67" s="52"/>
      <c r="N67" s="52"/>
      <c r="O67" s="69">
        <f t="shared" si="3"/>
        <v>0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3</v>
      </c>
      <c r="AA67" s="50"/>
      <c r="AB67" s="50"/>
      <c r="AC67" s="62">
        <f t="shared" si="8"/>
        <v>-3</v>
      </c>
      <c r="AD67" s="50">
        <v>200</v>
      </c>
      <c r="AG67" s="53">
        <f t="shared" si="9"/>
        <v>197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2</v>
      </c>
      <c r="K68" s="52"/>
      <c r="L68" s="69">
        <f t="shared" si="2"/>
        <v>2</v>
      </c>
      <c r="M68" s="52">
        <v>18</v>
      </c>
      <c r="N68" s="52"/>
      <c r="O68" s="69">
        <f t="shared" si="3"/>
        <v>18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22</v>
      </c>
      <c r="AA68" s="50"/>
      <c r="AB68" s="50">
        <v>79</v>
      </c>
      <c r="AC68" s="62">
        <f t="shared" si="8"/>
        <v>57</v>
      </c>
      <c r="AD68" s="50">
        <v>150</v>
      </c>
      <c r="AG68" s="53">
        <f t="shared" si="9"/>
        <v>207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2</v>
      </c>
      <c r="H69" s="52"/>
      <c r="I69" s="69">
        <f t="shared" ref="I69:I99" si="11">SUM(G69:H69)</f>
        <v>2</v>
      </c>
      <c r="J69" s="52"/>
      <c r="K69" s="52"/>
      <c r="L69" s="69">
        <f t="shared" ref="L69:L99" si="12">SUM(J69:K69)</f>
        <v>0</v>
      </c>
      <c r="M69" s="52"/>
      <c r="N69" s="52"/>
      <c r="O69" s="69">
        <f t="shared" ref="O69:O99" si="13">SUM(M69:N69)</f>
        <v>0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2</v>
      </c>
      <c r="AA69" s="50"/>
      <c r="AB69" s="50">
        <v>1</v>
      </c>
      <c r="AC69" s="62">
        <f t="shared" ref="AC69:AC99" si="18">+AA69+AB69-Z69</f>
        <v>-1</v>
      </c>
      <c r="AD69" s="50">
        <v>150</v>
      </c>
      <c r="AG69" s="53">
        <f t="shared" ref="AG69:AG100" si="19">AD69+AC69</f>
        <v>149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22</v>
      </c>
      <c r="H70" s="52"/>
      <c r="I70" s="69">
        <f t="shared" si="11"/>
        <v>22</v>
      </c>
      <c r="J70" s="52"/>
      <c r="K70" s="52"/>
      <c r="L70" s="69">
        <f t="shared" si="12"/>
        <v>0</v>
      </c>
      <c r="M70" s="52">
        <v>42</v>
      </c>
      <c r="N70" s="52"/>
      <c r="O70" s="69">
        <f t="shared" si="13"/>
        <v>42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64</v>
      </c>
      <c r="AA70" s="50">
        <v>50</v>
      </c>
      <c r="AB70" s="50">
        <v>1</v>
      </c>
      <c r="AC70" s="62">
        <f t="shared" si="18"/>
        <v>-13</v>
      </c>
      <c r="AD70" s="50">
        <v>30</v>
      </c>
      <c r="AG70" s="53">
        <f t="shared" si="19"/>
        <v>17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>
        <v>1</v>
      </c>
      <c r="N73" s="52"/>
      <c r="O73" s="69">
        <f t="shared" si="13"/>
        <v>1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1</v>
      </c>
      <c r="AA73" s="50"/>
      <c r="AB73" s="50"/>
      <c r="AC73" s="62">
        <f t="shared" si="18"/>
        <v>-1</v>
      </c>
      <c r="AD73" s="50"/>
      <c r="AG73" s="53">
        <f t="shared" si="19"/>
        <v>-1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>
        <v>2</v>
      </c>
      <c r="Z74" s="64">
        <f t="shared" si="17"/>
        <v>2</v>
      </c>
      <c r="AA74" s="59">
        <v>2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4</v>
      </c>
      <c r="E75" s="52"/>
      <c r="F75" s="69">
        <f t="shared" si="10"/>
        <v>4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4</v>
      </c>
      <c r="AA75" s="50"/>
      <c r="AB75" s="50">
        <v>2</v>
      </c>
      <c r="AC75" s="62">
        <f t="shared" si="18"/>
        <v>-2</v>
      </c>
      <c r="AD75" s="50">
        <v>10</v>
      </c>
      <c r="AG75" s="53">
        <f t="shared" si="19"/>
        <v>8</v>
      </c>
    </row>
    <row r="76" spans="2:33">
      <c r="B76" s="50">
        <v>1113171</v>
      </c>
      <c r="C76" s="54" t="s">
        <v>88</v>
      </c>
      <c r="D76" s="52">
        <v>3</v>
      </c>
      <c r="E76" s="52"/>
      <c r="F76" s="69">
        <f t="shared" si="10"/>
        <v>3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3</v>
      </c>
      <c r="AA76" s="50"/>
      <c r="AB76" s="50">
        <v>7</v>
      </c>
      <c r="AC76" s="62">
        <f t="shared" si="18"/>
        <v>4</v>
      </c>
      <c r="AD76" s="50"/>
      <c r="AG76" s="53">
        <f t="shared" si="19"/>
        <v>4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4</v>
      </c>
      <c r="E78" s="52"/>
      <c r="F78" s="69">
        <f t="shared" si="10"/>
        <v>4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4</v>
      </c>
      <c r="AA78" s="50"/>
      <c r="AB78" s="50">
        <v>6</v>
      </c>
      <c r="AC78" s="62">
        <f t="shared" si="18"/>
        <v>2</v>
      </c>
      <c r="AD78" s="50"/>
      <c r="AG78" s="53">
        <f t="shared" si="19"/>
        <v>2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>
        <v>5</v>
      </c>
      <c r="Z79" s="64">
        <f t="shared" si="17"/>
        <v>5</v>
      </c>
      <c r="AA79" s="50">
        <v>5</v>
      </c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3</v>
      </c>
      <c r="H82" s="52"/>
      <c r="I82" s="69">
        <f t="shared" si="11"/>
        <v>3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3</v>
      </c>
      <c r="AA82" s="50"/>
      <c r="AB82" s="50"/>
      <c r="AC82" s="62">
        <f t="shared" si="18"/>
        <v>-3</v>
      </c>
      <c r="AD82" s="50"/>
      <c r="AG82" s="53">
        <f t="shared" si="19"/>
        <v>-3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6</v>
      </c>
      <c r="H83" s="52"/>
      <c r="I83" s="69">
        <f t="shared" si="11"/>
        <v>6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6</v>
      </c>
      <c r="AA83" s="50"/>
      <c r="AB83" s="50"/>
      <c r="AC83" s="62">
        <f t="shared" si="18"/>
        <v>-6</v>
      </c>
      <c r="AD83" s="50"/>
      <c r="AG83" s="53">
        <f t="shared" si="19"/>
        <v>-6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6</v>
      </c>
      <c r="N98" s="52"/>
      <c r="O98" s="69">
        <f t="shared" si="13"/>
        <v>6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6</v>
      </c>
      <c r="AA98" s="50"/>
      <c r="AB98" s="50">
        <v>9</v>
      </c>
      <c r="AC98" s="62">
        <f t="shared" si="18"/>
        <v>3</v>
      </c>
      <c r="AD98" s="50"/>
      <c r="AG98" s="53">
        <f t="shared" si="19"/>
        <v>3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25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25</v>
      </c>
      <c r="G100" s="63">
        <f t="shared" si="20"/>
        <v>319</v>
      </c>
      <c r="H100" s="63">
        <f t="shared" si="20"/>
        <v>0</v>
      </c>
      <c r="I100" s="71">
        <f t="shared" si="20"/>
        <v>319</v>
      </c>
      <c r="J100" s="63">
        <f t="shared" si="20"/>
        <v>23</v>
      </c>
      <c r="K100" s="63">
        <f t="shared" si="20"/>
        <v>0</v>
      </c>
      <c r="L100" s="71">
        <f t="shared" si="20"/>
        <v>23</v>
      </c>
      <c r="M100" s="63">
        <f t="shared" si="20"/>
        <v>494</v>
      </c>
      <c r="N100" s="63">
        <f t="shared" si="20"/>
        <v>0</v>
      </c>
      <c r="O100" s="71">
        <f t="shared" si="20"/>
        <v>494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54</v>
      </c>
      <c r="Z100" s="63">
        <f>SUM(Z4:Z99)</f>
        <v>915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614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266</v>
      </c>
      <c r="AC100" s="63">
        <f t="shared" si="21"/>
        <v>-35</v>
      </c>
      <c r="AD100" s="63">
        <f t="shared" si="21"/>
        <v>1030</v>
      </c>
      <c r="AG100" s="53">
        <f t="shared" si="19"/>
        <v>995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461-837E-4AEB-BD0F-D6A2BFF9BB21}">
  <sheetPr>
    <pageSetUpPr fitToPage="1"/>
  </sheetPr>
  <dimension ref="A1:AO112"/>
  <sheetViews>
    <sheetView zoomScale="50" zoomScaleNormal="50" workbookViewId="0">
      <selection activeCell="W20" sqref="W2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54</v>
      </c>
      <c r="N4" s="52"/>
      <c r="O4" s="69">
        <f>SUM(M4:N4)</f>
        <v>54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55</v>
      </c>
      <c r="AA4" s="50">
        <v>50</v>
      </c>
      <c r="AB4" s="50"/>
      <c r="AC4" s="62">
        <f>+AA4+AB4-Z4</f>
        <v>-5</v>
      </c>
      <c r="AD4" s="50">
        <v>50</v>
      </c>
      <c r="AG4" s="53">
        <f>AD4+AC4</f>
        <v>45</v>
      </c>
    </row>
    <row r="5" spans="2:33">
      <c r="B5" s="50">
        <v>1111002</v>
      </c>
      <c r="C5" s="51" t="s">
        <v>150</v>
      </c>
      <c r="D5" s="52">
        <v>1</v>
      </c>
      <c r="E5" s="52"/>
      <c r="F5" s="69">
        <f t="shared" ref="F5:F68" si="0">SUM(D5:E5)</f>
        <v>1</v>
      </c>
      <c r="G5" s="52">
        <v>47</v>
      </c>
      <c r="H5" s="52"/>
      <c r="I5" s="69">
        <f t="shared" ref="I5:I68" si="1">SUM(G5:H5)</f>
        <v>47</v>
      </c>
      <c r="J5" s="52">
        <v>7</v>
      </c>
      <c r="K5" s="52"/>
      <c r="L5" s="69">
        <f t="shared" ref="L5:L68" si="2">SUM(J5:K5)</f>
        <v>7</v>
      </c>
      <c r="M5" s="52">
        <v>5</v>
      </c>
      <c r="N5" s="52"/>
      <c r="O5" s="69">
        <f t="shared" ref="O5:O68" si="3">SUM(M5:N5)</f>
        <v>5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4</v>
      </c>
      <c r="Z5" s="64">
        <f t="shared" ref="Z5:Z68" si="7">+F5+I5+L5+O5+R5+U5+X5+Y5</f>
        <v>64</v>
      </c>
      <c r="AA5" s="59">
        <v>74</v>
      </c>
      <c r="AB5" s="59">
        <v>7</v>
      </c>
      <c r="AC5" s="62">
        <f t="shared" ref="AC5:AC68" si="8">+AA5+AB5-Z5</f>
        <v>17</v>
      </c>
      <c r="AD5" s="59">
        <v>70</v>
      </c>
      <c r="AG5" s="53">
        <f t="shared" ref="AG5:AG68" si="9">AD5+AC5</f>
        <v>87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15</v>
      </c>
      <c r="H9" s="52"/>
      <c r="I9" s="69">
        <f t="shared" si="1"/>
        <v>15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15</v>
      </c>
      <c r="AA9" s="50"/>
      <c r="AB9" s="50"/>
      <c r="AC9" s="62">
        <f t="shared" si="8"/>
        <v>-15</v>
      </c>
      <c r="AD9" s="50"/>
      <c r="AG9" s="53">
        <f t="shared" si="9"/>
        <v>-15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15</v>
      </c>
      <c r="H10" s="52"/>
      <c r="I10" s="69">
        <f t="shared" si="1"/>
        <v>15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15</v>
      </c>
      <c r="AA10" s="50"/>
      <c r="AB10" s="50"/>
      <c r="AC10" s="62">
        <f t="shared" si="8"/>
        <v>-15</v>
      </c>
      <c r="AD10" s="50"/>
      <c r="AG10" s="53">
        <f t="shared" si="9"/>
        <v>-15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15</v>
      </c>
      <c r="H11" s="52"/>
      <c r="I11" s="69">
        <f t="shared" si="1"/>
        <v>15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15</v>
      </c>
      <c r="AA11" s="50"/>
      <c r="AB11" s="50"/>
      <c r="AC11" s="62">
        <f t="shared" si="8"/>
        <v>-15</v>
      </c>
      <c r="AD11" s="50"/>
      <c r="AG11" s="53">
        <f t="shared" si="9"/>
        <v>-15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15</v>
      </c>
      <c r="H12" s="52"/>
      <c r="I12" s="69">
        <f t="shared" si="1"/>
        <v>15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15</v>
      </c>
      <c r="AA12" s="50"/>
      <c r="AB12" s="50"/>
      <c r="AC12" s="62">
        <f t="shared" si="8"/>
        <v>-15</v>
      </c>
      <c r="AD12" s="50"/>
      <c r="AG12" s="53">
        <f t="shared" si="9"/>
        <v>-15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15</v>
      </c>
      <c r="H13" s="52"/>
      <c r="I13" s="69">
        <f t="shared" si="1"/>
        <v>15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15</v>
      </c>
      <c r="AA13" s="50"/>
      <c r="AB13" s="50"/>
      <c r="AC13" s="62">
        <f t="shared" si="8"/>
        <v>-15</v>
      </c>
      <c r="AD13" s="50"/>
      <c r="AG13" s="53">
        <f t="shared" si="9"/>
        <v>-15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15</v>
      </c>
      <c r="H14" s="52"/>
      <c r="I14" s="69">
        <f t="shared" si="1"/>
        <v>15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15</v>
      </c>
      <c r="AA14" s="50"/>
      <c r="AB14" s="50"/>
      <c r="AC14" s="62">
        <f t="shared" si="8"/>
        <v>-15</v>
      </c>
      <c r="AD14" s="50"/>
      <c r="AG14" s="53">
        <f t="shared" si="9"/>
        <v>-15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15</v>
      </c>
      <c r="H15" s="52"/>
      <c r="I15" s="69">
        <f t="shared" si="1"/>
        <v>15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15</v>
      </c>
      <c r="AA15" s="50"/>
      <c r="AB15" s="50"/>
      <c r="AC15" s="62">
        <f t="shared" si="8"/>
        <v>-15</v>
      </c>
      <c r="AD15" s="50"/>
      <c r="AG15" s="53">
        <f t="shared" si="9"/>
        <v>-15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15</v>
      </c>
      <c r="H16" s="52"/>
      <c r="I16" s="69">
        <f t="shared" si="1"/>
        <v>15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15</v>
      </c>
      <c r="AA16" s="50"/>
      <c r="AB16" s="50"/>
      <c r="AC16" s="62">
        <f t="shared" si="8"/>
        <v>-15</v>
      </c>
      <c r="AD16" s="50"/>
      <c r="AG16" s="53">
        <f t="shared" si="9"/>
        <v>-15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14</v>
      </c>
      <c r="H17" s="52"/>
      <c r="I17" s="69">
        <f t="shared" si="1"/>
        <v>14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14</v>
      </c>
      <c r="AA17" s="50"/>
      <c r="AB17" s="50"/>
      <c r="AC17" s="62">
        <f t="shared" si="8"/>
        <v>-14</v>
      </c>
      <c r="AD17" s="50"/>
      <c r="AG17" s="53">
        <f t="shared" si="9"/>
        <v>-14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14</v>
      </c>
      <c r="H18" s="52"/>
      <c r="I18" s="69">
        <f t="shared" si="1"/>
        <v>14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14</v>
      </c>
      <c r="AA18" s="50"/>
      <c r="AB18" s="50"/>
      <c r="AC18" s="62">
        <f t="shared" si="8"/>
        <v>-14</v>
      </c>
      <c r="AD18" s="50"/>
      <c r="AG18" s="53">
        <f t="shared" si="9"/>
        <v>-14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14</v>
      </c>
      <c r="H19" s="52"/>
      <c r="I19" s="69">
        <f t="shared" si="1"/>
        <v>14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14</v>
      </c>
      <c r="AA19" s="50"/>
      <c r="AB19" s="50"/>
      <c r="AC19" s="62">
        <f t="shared" si="8"/>
        <v>-14</v>
      </c>
      <c r="AD19" s="50"/>
      <c r="AG19" s="53">
        <f t="shared" si="9"/>
        <v>-14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14</v>
      </c>
      <c r="H20" s="52"/>
      <c r="I20" s="69">
        <f t="shared" si="1"/>
        <v>14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14</v>
      </c>
      <c r="AA20" s="50"/>
      <c r="AB20" s="50"/>
      <c r="AC20" s="62">
        <f t="shared" si="8"/>
        <v>-14</v>
      </c>
      <c r="AD20" s="50"/>
      <c r="AG20" s="53">
        <f t="shared" si="9"/>
        <v>-14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14</v>
      </c>
      <c r="H21" s="52"/>
      <c r="I21" s="69">
        <f t="shared" si="1"/>
        <v>14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14</v>
      </c>
      <c r="AA21" s="50"/>
      <c r="AB21" s="50"/>
      <c r="AC21" s="62">
        <f t="shared" si="8"/>
        <v>-14</v>
      </c>
      <c r="AD21" s="50"/>
      <c r="AG21" s="53">
        <f t="shared" si="9"/>
        <v>-14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7</v>
      </c>
      <c r="H25" s="52"/>
      <c r="I25" s="69">
        <f t="shared" si="1"/>
        <v>7</v>
      </c>
      <c r="J25" s="52"/>
      <c r="K25" s="52"/>
      <c r="L25" s="69">
        <f t="shared" si="2"/>
        <v>0</v>
      </c>
      <c r="M25" s="52">
        <v>33</v>
      </c>
      <c r="N25" s="52"/>
      <c r="O25" s="69">
        <f t="shared" si="3"/>
        <v>33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40</v>
      </c>
      <c r="AA25" s="50"/>
      <c r="AB25" s="50">
        <v>47</v>
      </c>
      <c r="AC25" s="62">
        <f t="shared" si="8"/>
        <v>7</v>
      </c>
      <c r="AD25" s="50"/>
      <c r="AG25" s="53">
        <f t="shared" si="9"/>
        <v>7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2</v>
      </c>
      <c r="K26" s="52"/>
      <c r="L26" s="69">
        <f t="shared" si="2"/>
        <v>2</v>
      </c>
      <c r="M26" s="52">
        <v>3</v>
      </c>
      <c r="N26" s="52"/>
      <c r="O26" s="69">
        <f t="shared" si="3"/>
        <v>3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8</v>
      </c>
      <c r="AA26" s="50"/>
      <c r="AB26" s="50">
        <v>30</v>
      </c>
      <c r="AC26" s="62">
        <f t="shared" si="8"/>
        <v>22</v>
      </c>
      <c r="AD26" s="50"/>
      <c r="AG26" s="53">
        <f t="shared" si="9"/>
        <v>22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2</v>
      </c>
      <c r="H41" s="52"/>
      <c r="I41" s="69">
        <f t="shared" si="1"/>
        <v>2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>
        <v>10</v>
      </c>
      <c r="AB41" s="50"/>
      <c r="AC41" s="62">
        <f t="shared" si="8"/>
        <v>8</v>
      </c>
      <c r="AD41" s="50"/>
      <c r="AG41" s="53">
        <f t="shared" si="9"/>
        <v>8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27</v>
      </c>
      <c r="H42" s="52"/>
      <c r="I42" s="69">
        <f t="shared" si="1"/>
        <v>27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27</v>
      </c>
      <c r="AA42" s="50"/>
      <c r="AB42" s="50"/>
      <c r="AC42" s="62">
        <f t="shared" si="8"/>
        <v>-27</v>
      </c>
      <c r="AD42" s="50"/>
      <c r="AG42" s="53">
        <f t="shared" si="9"/>
        <v>-27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27</v>
      </c>
      <c r="H43" s="52"/>
      <c r="I43" s="69">
        <f t="shared" si="1"/>
        <v>27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27</v>
      </c>
      <c r="AA43" s="50"/>
      <c r="AB43" s="50"/>
      <c r="AC43" s="62">
        <f t="shared" si="8"/>
        <v>-27</v>
      </c>
      <c r="AD43" s="50"/>
      <c r="AG43" s="53">
        <f t="shared" si="9"/>
        <v>-27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27</v>
      </c>
      <c r="H44" s="52"/>
      <c r="I44" s="69">
        <f t="shared" si="1"/>
        <v>27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27</v>
      </c>
      <c r="AA44" s="50"/>
      <c r="AB44" s="50"/>
      <c r="AC44" s="62">
        <f t="shared" si="8"/>
        <v>-27</v>
      </c>
      <c r="AD44" s="50"/>
      <c r="AG44" s="53">
        <f t="shared" si="9"/>
        <v>-27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27</v>
      </c>
      <c r="H45" s="52"/>
      <c r="I45" s="69">
        <f t="shared" si="1"/>
        <v>27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27</v>
      </c>
      <c r="AA45" s="50"/>
      <c r="AB45" s="50"/>
      <c r="AC45" s="62">
        <f t="shared" si="8"/>
        <v>-27</v>
      </c>
      <c r="AD45" s="50"/>
      <c r="AG45" s="53">
        <f t="shared" si="9"/>
        <v>-27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27</v>
      </c>
      <c r="H46" s="52"/>
      <c r="I46" s="69">
        <f t="shared" si="1"/>
        <v>27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27</v>
      </c>
      <c r="AA46" s="50"/>
      <c r="AB46" s="50"/>
      <c r="AC46" s="62">
        <f t="shared" si="8"/>
        <v>-27</v>
      </c>
      <c r="AD46" s="50"/>
      <c r="AG46" s="53">
        <f t="shared" si="9"/>
        <v>-27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27</v>
      </c>
      <c r="H47" s="52"/>
      <c r="I47" s="69">
        <f t="shared" si="1"/>
        <v>27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27</v>
      </c>
      <c r="AA47" s="50"/>
      <c r="AB47" s="50"/>
      <c r="AC47" s="62">
        <f t="shared" si="8"/>
        <v>-27</v>
      </c>
      <c r="AD47" s="50"/>
      <c r="AG47" s="53">
        <f t="shared" si="9"/>
        <v>-27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27</v>
      </c>
      <c r="H48" s="52"/>
      <c r="I48" s="69">
        <f t="shared" si="1"/>
        <v>27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27</v>
      </c>
      <c r="AA48" s="50"/>
      <c r="AB48" s="50"/>
      <c r="AC48" s="62">
        <f t="shared" si="8"/>
        <v>-27</v>
      </c>
      <c r="AD48" s="50"/>
      <c r="AG48" s="53">
        <f t="shared" si="9"/>
        <v>-27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27</v>
      </c>
      <c r="H49" s="52"/>
      <c r="I49" s="69">
        <f t="shared" si="1"/>
        <v>27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27</v>
      </c>
      <c r="AA49" s="50"/>
      <c r="AB49" s="50"/>
      <c r="AC49" s="62">
        <f t="shared" si="8"/>
        <v>-27</v>
      </c>
      <c r="AD49" s="50"/>
      <c r="AF49" s="53"/>
      <c r="AG49" s="53">
        <f t="shared" si="9"/>
        <v>-27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27</v>
      </c>
      <c r="H50" s="52"/>
      <c r="I50" s="69">
        <f t="shared" si="1"/>
        <v>27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27</v>
      </c>
      <c r="AA50" s="50"/>
      <c r="AB50" s="50"/>
      <c r="AC50" s="62">
        <f t="shared" si="8"/>
        <v>-27</v>
      </c>
      <c r="AD50" s="50"/>
      <c r="AG50" s="53">
        <f t="shared" si="9"/>
        <v>-27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27</v>
      </c>
      <c r="H51" s="52"/>
      <c r="I51" s="69">
        <f t="shared" si="1"/>
        <v>27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27</v>
      </c>
      <c r="AA51" s="50"/>
      <c r="AB51" s="50"/>
      <c r="AC51" s="62">
        <f t="shared" si="8"/>
        <v>-27</v>
      </c>
      <c r="AD51" s="50"/>
      <c r="AG51" s="53">
        <f t="shared" si="9"/>
        <v>-27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/>
      <c r="K53" s="52"/>
      <c r="L53" s="69">
        <f t="shared" si="2"/>
        <v>0</v>
      </c>
      <c r="M53" s="52">
        <v>70</v>
      </c>
      <c r="N53" s="52"/>
      <c r="O53" s="69">
        <f t="shared" si="3"/>
        <v>70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71</v>
      </c>
      <c r="AA53" s="50">
        <v>60</v>
      </c>
      <c r="AB53" s="50">
        <v>12</v>
      </c>
      <c r="AC53" s="62">
        <f t="shared" si="8"/>
        <v>1</v>
      </c>
      <c r="AD53" s="50">
        <v>60</v>
      </c>
      <c r="AG53" s="53">
        <f t="shared" si="9"/>
        <v>61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 t="s">
        <v>220</v>
      </c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>
        <v>1</v>
      </c>
      <c r="E55" s="52"/>
      <c r="F55" s="69">
        <f t="shared" si="0"/>
        <v>1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65</v>
      </c>
      <c r="AA55" s="50">
        <v>60</v>
      </c>
      <c r="AB55" s="50">
        <v>5</v>
      </c>
      <c r="AC55" s="62">
        <f t="shared" si="8"/>
        <v>0</v>
      </c>
      <c r="AD55" s="50">
        <v>60</v>
      </c>
      <c r="AG55" s="53">
        <f t="shared" si="9"/>
        <v>60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2</v>
      </c>
      <c r="E57" s="52"/>
      <c r="F57" s="69">
        <f t="shared" si="0"/>
        <v>2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66</v>
      </c>
      <c r="N57" s="52"/>
      <c r="O57" s="69">
        <f t="shared" si="3"/>
        <v>66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70</v>
      </c>
      <c r="AA57" s="50">
        <v>60</v>
      </c>
      <c r="AB57" s="50">
        <v>12</v>
      </c>
      <c r="AC57" s="62">
        <f t="shared" si="8"/>
        <v>2</v>
      </c>
      <c r="AD57" s="50">
        <v>60</v>
      </c>
      <c r="AG57" s="53">
        <f t="shared" si="9"/>
        <v>62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4</v>
      </c>
      <c r="K59" s="52"/>
      <c r="L59" s="69">
        <f t="shared" si="2"/>
        <v>4</v>
      </c>
      <c r="M59" s="52">
        <v>65</v>
      </c>
      <c r="N59" s="52"/>
      <c r="O59" s="69">
        <f t="shared" si="3"/>
        <v>65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69</v>
      </c>
      <c r="AA59" s="50">
        <v>60</v>
      </c>
      <c r="AB59" s="50">
        <v>9</v>
      </c>
      <c r="AC59" s="62">
        <f t="shared" si="8"/>
        <v>0</v>
      </c>
      <c r="AD59" s="50">
        <v>60</v>
      </c>
      <c r="AG59" s="53">
        <f t="shared" si="9"/>
        <v>60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>
        <v>33</v>
      </c>
      <c r="AC60" s="62">
        <f t="shared" si="8"/>
        <v>30</v>
      </c>
      <c r="AD60" s="50"/>
      <c r="AG60" s="53">
        <f t="shared" si="9"/>
        <v>30</v>
      </c>
    </row>
    <row r="61" spans="2:37">
      <c r="B61" s="50">
        <v>1112013</v>
      </c>
      <c r="C61" s="51" t="s">
        <v>182</v>
      </c>
      <c r="D61" s="52">
        <v>6</v>
      </c>
      <c r="E61" s="52"/>
      <c r="F61" s="69">
        <f t="shared" si="0"/>
        <v>6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64</v>
      </c>
      <c r="N61" s="52"/>
      <c r="O61" s="69">
        <f t="shared" si="3"/>
        <v>64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71</v>
      </c>
      <c r="AA61" s="50">
        <v>60</v>
      </c>
      <c r="AB61" s="50">
        <v>11</v>
      </c>
      <c r="AC61" s="62">
        <f t="shared" si="8"/>
        <v>0</v>
      </c>
      <c r="AD61" s="50">
        <v>60</v>
      </c>
      <c r="AG61" s="53">
        <f t="shared" si="9"/>
        <v>60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66</v>
      </c>
      <c r="N63" s="52"/>
      <c r="O63" s="69">
        <f t="shared" si="3"/>
        <v>66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67</v>
      </c>
      <c r="AA63" s="50">
        <v>60</v>
      </c>
      <c r="AB63" s="50">
        <v>12</v>
      </c>
      <c r="AC63" s="62">
        <f t="shared" si="8"/>
        <v>5</v>
      </c>
      <c r="AD63" s="50">
        <v>60</v>
      </c>
      <c r="AG63" s="53">
        <f t="shared" si="9"/>
        <v>65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 hidden="1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4</v>
      </c>
      <c r="H67" s="52"/>
      <c r="I67" s="69">
        <f t="shared" si="1"/>
        <v>4</v>
      </c>
      <c r="J67" s="52">
        <v>3</v>
      </c>
      <c r="K67" s="52"/>
      <c r="L67" s="69">
        <f t="shared" si="2"/>
        <v>3</v>
      </c>
      <c r="M67" s="52">
        <v>147</v>
      </c>
      <c r="N67" s="52"/>
      <c r="O67" s="69">
        <f t="shared" si="3"/>
        <v>147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154</v>
      </c>
      <c r="AA67" s="50">
        <v>63</v>
      </c>
      <c r="AB67" s="50">
        <v>134</v>
      </c>
      <c r="AC67" s="62">
        <f t="shared" si="8"/>
        <v>43</v>
      </c>
      <c r="AD67" s="50"/>
      <c r="AG67" s="53">
        <f t="shared" si="9"/>
        <v>43</v>
      </c>
    </row>
    <row r="68" spans="2:33">
      <c r="B68" s="50">
        <v>1114502</v>
      </c>
      <c r="C68" s="54" t="s">
        <v>188</v>
      </c>
      <c r="D68" s="52">
        <v>3</v>
      </c>
      <c r="E68" s="52"/>
      <c r="F68" s="69">
        <f t="shared" si="0"/>
        <v>3</v>
      </c>
      <c r="G68" s="52">
        <v>1</v>
      </c>
      <c r="H68" s="52"/>
      <c r="I68" s="69">
        <f t="shared" si="1"/>
        <v>1</v>
      </c>
      <c r="J68" s="52">
        <v>5</v>
      </c>
      <c r="K68" s="52"/>
      <c r="L68" s="69">
        <f t="shared" si="2"/>
        <v>5</v>
      </c>
      <c r="M68" s="52">
        <v>156</v>
      </c>
      <c r="N68" s="52"/>
      <c r="O68" s="69">
        <f t="shared" si="3"/>
        <v>156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165</v>
      </c>
      <c r="AA68" s="50">
        <v>150</v>
      </c>
      <c r="AB68" s="50">
        <v>37</v>
      </c>
      <c r="AC68" s="62">
        <f t="shared" si="8"/>
        <v>22</v>
      </c>
      <c r="AD68" s="50"/>
      <c r="AG68" s="53">
        <f t="shared" si="9"/>
        <v>22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1</v>
      </c>
      <c r="H69" s="52"/>
      <c r="I69" s="69">
        <f t="shared" ref="I69:I99" si="11">SUM(G69:H69)</f>
        <v>1</v>
      </c>
      <c r="J69" s="52">
        <v>1</v>
      </c>
      <c r="K69" s="52"/>
      <c r="L69" s="69">
        <f t="shared" ref="L69:L99" si="12">SUM(J69:K69)</f>
        <v>1</v>
      </c>
      <c r="M69" s="52">
        <v>147</v>
      </c>
      <c r="N69" s="52"/>
      <c r="O69" s="69">
        <f t="shared" ref="O69:O99" si="13">SUM(M69:N69)</f>
        <v>147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149</v>
      </c>
      <c r="AA69" s="50">
        <v>71</v>
      </c>
      <c r="AB69" s="50">
        <v>75</v>
      </c>
      <c r="AC69" s="62">
        <f t="shared" ref="AC69:AC99" si="18">+AA69+AB69-Z69</f>
        <v>-3</v>
      </c>
      <c r="AD69" s="50"/>
      <c r="AG69" s="53">
        <f t="shared" ref="AG69:AG100" si="19">AD69+AC69</f>
        <v>-3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/>
      <c r="K70" s="52"/>
      <c r="L70" s="69">
        <f t="shared" si="12"/>
        <v>0</v>
      </c>
      <c r="M70" s="52">
        <v>48</v>
      </c>
      <c r="N70" s="52"/>
      <c r="O70" s="69">
        <f t="shared" si="13"/>
        <v>48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48</v>
      </c>
      <c r="AA70" s="50">
        <v>30</v>
      </c>
      <c r="AB70" s="50">
        <v>2</v>
      </c>
      <c r="AC70" s="62">
        <f t="shared" si="18"/>
        <v>-16</v>
      </c>
      <c r="AD70" s="50">
        <v>50</v>
      </c>
      <c r="AG70" s="53">
        <f t="shared" si="19"/>
        <v>34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 hidden="1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5</v>
      </c>
      <c r="E75" s="52"/>
      <c r="F75" s="69">
        <f t="shared" si="10"/>
        <v>5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5</v>
      </c>
      <c r="AA75" s="50">
        <v>10</v>
      </c>
      <c r="AB75" s="50"/>
      <c r="AC75" s="62">
        <f t="shared" si="18"/>
        <v>5</v>
      </c>
      <c r="AD75" s="50"/>
      <c r="AG75" s="53">
        <f t="shared" si="19"/>
        <v>5</v>
      </c>
    </row>
    <row r="76" spans="2:33">
      <c r="B76" s="50">
        <v>1113171</v>
      </c>
      <c r="C76" s="54" t="s">
        <v>88</v>
      </c>
      <c r="D76" s="52">
        <v>2</v>
      </c>
      <c r="E76" s="52"/>
      <c r="F76" s="69">
        <f t="shared" si="10"/>
        <v>2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>
        <v>3</v>
      </c>
      <c r="N76" s="52"/>
      <c r="O76" s="69">
        <f t="shared" si="13"/>
        <v>3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5</v>
      </c>
      <c r="AA76" s="50"/>
      <c r="AB76" s="50">
        <v>3</v>
      </c>
      <c r="AC76" s="62">
        <f t="shared" si="18"/>
        <v>-2</v>
      </c>
      <c r="AD76" s="50"/>
      <c r="AG76" s="53">
        <f t="shared" si="19"/>
        <v>-2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1</v>
      </c>
      <c r="E78" s="52"/>
      <c r="F78" s="69">
        <f t="shared" si="10"/>
        <v>1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>
        <v>1</v>
      </c>
      <c r="N78" s="52"/>
      <c r="O78" s="69">
        <f t="shared" si="13"/>
        <v>1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2</v>
      </c>
      <c r="AA78" s="50"/>
      <c r="AB78" s="50">
        <v>2</v>
      </c>
      <c r="AC78" s="62">
        <f t="shared" si="18"/>
        <v>0</v>
      </c>
      <c r="AD78" s="50"/>
      <c r="AG78" s="53">
        <f t="shared" si="19"/>
        <v>0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6</v>
      </c>
      <c r="H82" s="52"/>
      <c r="I82" s="69">
        <f t="shared" si="11"/>
        <v>6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6</v>
      </c>
      <c r="AA82" s="50"/>
      <c r="AB82" s="50"/>
      <c r="AC82" s="62">
        <f t="shared" si="18"/>
        <v>-6</v>
      </c>
      <c r="AD82" s="50"/>
      <c r="AG82" s="53">
        <f t="shared" si="19"/>
        <v>-6</v>
      </c>
    </row>
    <row r="83" spans="2:33">
      <c r="B83" s="50">
        <v>200</v>
      </c>
      <c r="C83" s="54" t="s">
        <v>198</v>
      </c>
      <c r="D83" s="52">
        <v>10</v>
      </c>
      <c r="E83" s="52"/>
      <c r="F83" s="69">
        <f t="shared" si="10"/>
        <v>10</v>
      </c>
      <c r="G83" s="52">
        <v>10</v>
      </c>
      <c r="H83" s="52"/>
      <c r="I83" s="69">
        <f t="shared" si="11"/>
        <v>10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20</v>
      </c>
      <c r="AA83" s="50"/>
      <c r="AB83" s="50"/>
      <c r="AC83" s="62">
        <f t="shared" si="18"/>
        <v>-20</v>
      </c>
      <c r="AD83" s="50"/>
      <c r="AG83" s="53">
        <f t="shared" si="19"/>
        <v>-20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3</v>
      </c>
      <c r="N98" s="52"/>
      <c r="O98" s="69">
        <f t="shared" si="13"/>
        <v>3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3</v>
      </c>
      <c r="AA98" s="50"/>
      <c r="AB98" s="50">
        <v>3</v>
      </c>
      <c r="AC98" s="62">
        <f t="shared" si="18"/>
        <v>0</v>
      </c>
      <c r="AD98" s="50"/>
      <c r="AG98" s="53">
        <f t="shared" si="19"/>
        <v>0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31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31</v>
      </c>
      <c r="G100" s="63">
        <f t="shared" si="20"/>
        <v>545</v>
      </c>
      <c r="H100" s="63">
        <f t="shared" si="20"/>
        <v>0</v>
      </c>
      <c r="I100" s="71">
        <f t="shared" si="20"/>
        <v>545</v>
      </c>
      <c r="J100" s="63">
        <f t="shared" si="20"/>
        <v>24</v>
      </c>
      <c r="K100" s="63">
        <f t="shared" si="20"/>
        <v>0</v>
      </c>
      <c r="L100" s="71">
        <f t="shared" si="20"/>
        <v>24</v>
      </c>
      <c r="M100" s="63">
        <f t="shared" si="20"/>
        <v>998</v>
      </c>
      <c r="N100" s="63">
        <f t="shared" si="20"/>
        <v>0</v>
      </c>
      <c r="O100" s="71">
        <f t="shared" si="20"/>
        <v>998</v>
      </c>
      <c r="P100" s="63" t="e">
        <f t="shared" si="20"/>
        <v>#VALUE!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4</v>
      </c>
      <c r="Z100" s="63">
        <f>SUM(Z4:Z99)</f>
        <v>1602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818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434</v>
      </c>
      <c r="AC100" s="63">
        <f t="shared" si="21"/>
        <v>-350</v>
      </c>
      <c r="AD100" s="63">
        <f t="shared" si="21"/>
        <v>530</v>
      </c>
      <c r="AG100" s="53">
        <f t="shared" si="19"/>
        <v>180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DE3D-EDBD-4369-98FE-85261874C6EE}">
  <sheetPr>
    <pageSetUpPr fitToPage="1"/>
  </sheetPr>
  <dimension ref="A1:AO112"/>
  <sheetViews>
    <sheetView topLeftCell="B1" zoomScale="40" zoomScaleNormal="40" workbookViewId="0">
      <selection activeCell="AR18" sqref="AR1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hidden="1" customWidth="1"/>
    <col min="31" max="31" width="20.85546875" style="49" hidden="1" customWidth="1"/>
    <col min="32" max="32" width="7.28515625" style="49" hidden="1" customWidth="1"/>
    <col min="33" max="33" width="22.7109375" style="49" hidden="1" customWidth="1"/>
    <col min="34" max="34" width="8.85546875" style="49" customWidth="1"/>
    <col min="35" max="16384" width="8.85546875" style="49"/>
  </cols>
  <sheetData>
    <row r="1" spans="2:33" ht="68.25">
      <c r="B1" s="85" t="s">
        <v>216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48</v>
      </c>
      <c r="N4" s="52"/>
      <c r="O4" s="69">
        <f>SUM(M4:N4)</f>
        <v>48</v>
      </c>
      <c r="P4" s="52">
        <v>3</v>
      </c>
      <c r="Q4" s="52"/>
      <c r="R4" s="69">
        <f>SUM(P4:Q4)</f>
        <v>3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51</v>
      </c>
      <c r="AA4" s="50"/>
      <c r="AB4" s="50"/>
      <c r="AC4" s="62">
        <f>+AA4+AB4-Z4</f>
        <v>-51</v>
      </c>
      <c r="AD4" s="50"/>
      <c r="AG4" s="53">
        <f>AD4+AC4</f>
        <v>-51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45</v>
      </c>
      <c r="H5" s="52"/>
      <c r="I5" s="69">
        <f t="shared" ref="I5:I68" si="1">SUM(G5:H5)</f>
        <v>45</v>
      </c>
      <c r="J5" s="52">
        <v>17</v>
      </c>
      <c r="K5" s="52"/>
      <c r="L5" s="69">
        <f t="shared" ref="L5:L68" si="2">SUM(J5:K5)</f>
        <v>17</v>
      </c>
      <c r="M5" s="52">
        <v>6</v>
      </c>
      <c r="N5" s="52"/>
      <c r="O5" s="69">
        <f t="shared" ref="O5:O68" si="3">SUM(M5:N5)</f>
        <v>6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3</v>
      </c>
      <c r="Z5" s="64">
        <f t="shared" ref="Z5:Z68" si="7">+F5+I5+L5+O5+R5+U5+X5+Y5</f>
        <v>71</v>
      </c>
      <c r="AA5" s="59"/>
      <c r="AB5" s="59"/>
      <c r="AC5" s="62">
        <f t="shared" ref="AC5:AC68" si="8">+AA5+AB5-Z5</f>
        <v>-71</v>
      </c>
      <c r="AD5" s="59"/>
      <c r="AG5" s="53">
        <f t="shared" ref="AG5:AG68" si="9">AD5+AC5</f>
        <v>-71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25</v>
      </c>
      <c r="H9" s="52"/>
      <c r="I9" s="69">
        <f t="shared" si="1"/>
        <v>25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25</v>
      </c>
      <c r="AA9" s="50"/>
      <c r="AB9" s="50"/>
      <c r="AC9" s="62">
        <f t="shared" si="8"/>
        <v>-25</v>
      </c>
      <c r="AD9" s="50"/>
      <c r="AG9" s="53">
        <f t="shared" si="9"/>
        <v>-25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25</v>
      </c>
      <c r="H10" s="52"/>
      <c r="I10" s="69">
        <f t="shared" si="1"/>
        <v>25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25</v>
      </c>
      <c r="AA10" s="50"/>
      <c r="AB10" s="50"/>
      <c r="AC10" s="62">
        <f t="shared" si="8"/>
        <v>-25</v>
      </c>
      <c r="AD10" s="50"/>
      <c r="AG10" s="53">
        <f t="shared" si="9"/>
        <v>-25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25</v>
      </c>
      <c r="H11" s="52"/>
      <c r="I11" s="69">
        <f t="shared" si="1"/>
        <v>25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25</v>
      </c>
      <c r="AA11" s="50"/>
      <c r="AB11" s="50"/>
      <c r="AC11" s="62">
        <f t="shared" si="8"/>
        <v>-25</v>
      </c>
      <c r="AD11" s="50"/>
      <c r="AG11" s="53">
        <f t="shared" si="9"/>
        <v>-25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25</v>
      </c>
      <c r="H12" s="52"/>
      <c r="I12" s="69">
        <f t="shared" si="1"/>
        <v>25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25</v>
      </c>
      <c r="AA12" s="50"/>
      <c r="AB12" s="50"/>
      <c r="AC12" s="62">
        <f t="shared" si="8"/>
        <v>-25</v>
      </c>
      <c r="AD12" s="50"/>
      <c r="AG12" s="53">
        <f t="shared" si="9"/>
        <v>-25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25</v>
      </c>
      <c r="H13" s="52"/>
      <c r="I13" s="69">
        <f t="shared" si="1"/>
        <v>25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25</v>
      </c>
      <c r="AA13" s="50"/>
      <c r="AB13" s="50"/>
      <c r="AC13" s="62">
        <f t="shared" si="8"/>
        <v>-25</v>
      </c>
      <c r="AD13" s="50"/>
      <c r="AG13" s="53">
        <f t="shared" si="9"/>
        <v>-25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25</v>
      </c>
      <c r="H14" s="52"/>
      <c r="I14" s="69">
        <f t="shared" si="1"/>
        <v>25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25</v>
      </c>
      <c r="AA14" s="50"/>
      <c r="AB14" s="50"/>
      <c r="AC14" s="62">
        <f t="shared" si="8"/>
        <v>-25</v>
      </c>
      <c r="AD14" s="50"/>
      <c r="AG14" s="53">
        <f t="shared" si="9"/>
        <v>-25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25</v>
      </c>
      <c r="H15" s="52"/>
      <c r="I15" s="69">
        <f t="shared" si="1"/>
        <v>25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25</v>
      </c>
      <c r="AA15" s="50"/>
      <c r="AB15" s="50"/>
      <c r="AC15" s="62">
        <f t="shared" si="8"/>
        <v>-25</v>
      </c>
      <c r="AD15" s="50"/>
      <c r="AG15" s="53">
        <f t="shared" si="9"/>
        <v>-25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25</v>
      </c>
      <c r="H16" s="52"/>
      <c r="I16" s="69">
        <f t="shared" si="1"/>
        <v>25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25</v>
      </c>
      <c r="AA16" s="50"/>
      <c r="AB16" s="50"/>
      <c r="AC16" s="62">
        <f t="shared" si="8"/>
        <v>-25</v>
      </c>
      <c r="AD16" s="50"/>
      <c r="AG16" s="53">
        <f t="shared" si="9"/>
        <v>-25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25</v>
      </c>
      <c r="H17" s="52"/>
      <c r="I17" s="69">
        <f t="shared" si="1"/>
        <v>25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25</v>
      </c>
      <c r="AA17" s="50"/>
      <c r="AB17" s="50"/>
      <c r="AC17" s="62">
        <f t="shared" si="8"/>
        <v>-25</v>
      </c>
      <c r="AD17" s="50"/>
      <c r="AG17" s="53">
        <f t="shared" si="9"/>
        <v>-25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25</v>
      </c>
      <c r="H18" s="52"/>
      <c r="I18" s="69">
        <f t="shared" si="1"/>
        <v>25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25</v>
      </c>
      <c r="AA18" s="50"/>
      <c r="AB18" s="50"/>
      <c r="AC18" s="62">
        <f t="shared" si="8"/>
        <v>-25</v>
      </c>
      <c r="AD18" s="50"/>
      <c r="AG18" s="53">
        <f t="shared" si="9"/>
        <v>-25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9</v>
      </c>
      <c r="H25" s="52"/>
      <c r="I25" s="69">
        <f t="shared" si="1"/>
        <v>9</v>
      </c>
      <c r="J25" s="52"/>
      <c r="K25" s="52"/>
      <c r="L25" s="69">
        <f t="shared" si="2"/>
        <v>0</v>
      </c>
      <c r="M25" s="52">
        <v>27</v>
      </c>
      <c r="N25" s="52"/>
      <c r="O25" s="69">
        <f t="shared" si="3"/>
        <v>27</v>
      </c>
      <c r="P25" s="52">
        <v>3</v>
      </c>
      <c r="Q25" s="52"/>
      <c r="R25" s="69">
        <f t="shared" si="4"/>
        <v>3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39</v>
      </c>
      <c r="AA25" s="50"/>
      <c r="AB25" s="50"/>
      <c r="AC25" s="62">
        <f t="shared" si="8"/>
        <v>-39</v>
      </c>
      <c r="AD25" s="50"/>
      <c r="AG25" s="53">
        <f t="shared" si="9"/>
        <v>-39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5</v>
      </c>
      <c r="H26" s="52"/>
      <c r="I26" s="69">
        <f t="shared" si="1"/>
        <v>5</v>
      </c>
      <c r="J26" s="52">
        <v>1</v>
      </c>
      <c r="K26" s="52"/>
      <c r="L26" s="69">
        <f t="shared" si="2"/>
        <v>1</v>
      </c>
      <c r="M26" s="52"/>
      <c r="N26" s="52"/>
      <c r="O26" s="69">
        <f t="shared" si="3"/>
        <v>0</v>
      </c>
      <c r="P26" s="52">
        <v>1</v>
      </c>
      <c r="Q26" s="52"/>
      <c r="R26" s="69">
        <f t="shared" si="4"/>
        <v>1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7</v>
      </c>
      <c r="AA26" s="50"/>
      <c r="AB26" s="50"/>
      <c r="AC26" s="62">
        <f t="shared" si="8"/>
        <v>-7</v>
      </c>
      <c r="AD26" s="50"/>
      <c r="AG26" s="53">
        <f t="shared" si="9"/>
        <v>-7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</v>
      </c>
      <c r="H41" s="52"/>
      <c r="I41" s="69">
        <f t="shared" si="1"/>
        <v>1</v>
      </c>
      <c r="J41" s="52">
        <v>1</v>
      </c>
      <c r="K41" s="52"/>
      <c r="L41" s="69">
        <f t="shared" si="2"/>
        <v>1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/>
      <c r="AB41" s="50"/>
      <c r="AC41" s="62">
        <f t="shared" si="8"/>
        <v>-2</v>
      </c>
      <c r="AD41" s="50"/>
      <c r="AG41" s="53">
        <f t="shared" si="9"/>
        <v>-2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5</v>
      </c>
      <c r="H42" s="52"/>
      <c r="I42" s="69">
        <f t="shared" si="1"/>
        <v>5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5</v>
      </c>
      <c r="AA42" s="50"/>
      <c r="AB42" s="50"/>
      <c r="AC42" s="62">
        <f t="shared" si="8"/>
        <v>-5</v>
      </c>
      <c r="AD42" s="50"/>
      <c r="AG42" s="53">
        <f t="shared" si="9"/>
        <v>-5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5</v>
      </c>
      <c r="H43" s="52"/>
      <c r="I43" s="69">
        <f t="shared" si="1"/>
        <v>5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5</v>
      </c>
      <c r="AA43" s="50"/>
      <c r="AB43" s="50"/>
      <c r="AC43" s="62">
        <f t="shared" si="8"/>
        <v>-5</v>
      </c>
      <c r="AD43" s="50"/>
      <c r="AG43" s="53">
        <f t="shared" si="9"/>
        <v>-5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5</v>
      </c>
      <c r="H44" s="52"/>
      <c r="I44" s="69">
        <f t="shared" si="1"/>
        <v>5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5</v>
      </c>
      <c r="AA44" s="50"/>
      <c r="AB44" s="50"/>
      <c r="AC44" s="62">
        <f t="shared" si="8"/>
        <v>-5</v>
      </c>
      <c r="AD44" s="50"/>
      <c r="AG44" s="53">
        <f t="shared" si="9"/>
        <v>-5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5</v>
      </c>
      <c r="H45" s="52"/>
      <c r="I45" s="69">
        <f t="shared" si="1"/>
        <v>5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5</v>
      </c>
      <c r="AA45" s="50"/>
      <c r="AB45" s="50"/>
      <c r="AC45" s="62">
        <f t="shared" si="8"/>
        <v>-5</v>
      </c>
      <c r="AD45" s="50"/>
      <c r="AG45" s="53">
        <f t="shared" si="9"/>
        <v>-5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5</v>
      </c>
      <c r="H46" s="52"/>
      <c r="I46" s="69">
        <f t="shared" si="1"/>
        <v>5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5</v>
      </c>
      <c r="AA46" s="50"/>
      <c r="AB46" s="50"/>
      <c r="AC46" s="62">
        <f t="shared" si="8"/>
        <v>-5</v>
      </c>
      <c r="AD46" s="50"/>
      <c r="AG46" s="53">
        <f t="shared" si="9"/>
        <v>-5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5</v>
      </c>
      <c r="H47" s="52"/>
      <c r="I47" s="69">
        <f t="shared" si="1"/>
        <v>5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5</v>
      </c>
      <c r="AA47" s="50"/>
      <c r="AB47" s="50"/>
      <c r="AC47" s="62">
        <f t="shared" si="8"/>
        <v>-5</v>
      </c>
      <c r="AD47" s="50"/>
      <c r="AG47" s="53">
        <f t="shared" si="9"/>
        <v>-5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5</v>
      </c>
      <c r="H48" s="52"/>
      <c r="I48" s="69">
        <f t="shared" si="1"/>
        <v>5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5</v>
      </c>
      <c r="AA48" s="50"/>
      <c r="AB48" s="50"/>
      <c r="AC48" s="62">
        <f t="shared" si="8"/>
        <v>-5</v>
      </c>
      <c r="AD48" s="50"/>
      <c r="AG48" s="53">
        <f t="shared" si="9"/>
        <v>-5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5</v>
      </c>
      <c r="H49" s="52"/>
      <c r="I49" s="69">
        <f t="shared" si="1"/>
        <v>5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5</v>
      </c>
      <c r="AA49" s="50"/>
      <c r="AB49" s="50"/>
      <c r="AC49" s="62">
        <f t="shared" si="8"/>
        <v>-5</v>
      </c>
      <c r="AD49" s="50"/>
      <c r="AF49" s="53"/>
      <c r="AG49" s="53">
        <f t="shared" si="9"/>
        <v>-5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5</v>
      </c>
      <c r="H50" s="52"/>
      <c r="I50" s="69">
        <f t="shared" si="1"/>
        <v>5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5</v>
      </c>
      <c r="AA50" s="50"/>
      <c r="AB50" s="50"/>
      <c r="AC50" s="62">
        <f t="shared" si="8"/>
        <v>-5</v>
      </c>
      <c r="AD50" s="50"/>
      <c r="AG50" s="53">
        <f t="shared" si="9"/>
        <v>-5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5</v>
      </c>
      <c r="H51" s="52"/>
      <c r="I51" s="69">
        <f t="shared" si="1"/>
        <v>5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5</v>
      </c>
      <c r="AA51" s="50"/>
      <c r="AB51" s="50"/>
      <c r="AC51" s="62">
        <f t="shared" si="8"/>
        <v>-5</v>
      </c>
      <c r="AD51" s="50"/>
      <c r="AG51" s="53">
        <f t="shared" si="9"/>
        <v>-5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>
        <v>1</v>
      </c>
      <c r="K53" s="52"/>
      <c r="L53" s="69">
        <f t="shared" si="2"/>
        <v>1</v>
      </c>
      <c r="M53" s="52">
        <v>48</v>
      </c>
      <c r="N53" s="52"/>
      <c r="O53" s="69">
        <f t="shared" si="3"/>
        <v>48</v>
      </c>
      <c r="P53" s="52">
        <v>15</v>
      </c>
      <c r="Q53" s="52"/>
      <c r="R53" s="69">
        <f t="shared" si="4"/>
        <v>15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64</v>
      </c>
      <c r="AA53" s="50"/>
      <c r="AB53" s="50"/>
      <c r="AC53" s="62">
        <f t="shared" si="8"/>
        <v>-64</v>
      </c>
      <c r="AD53" s="50"/>
      <c r="AG53" s="53">
        <f t="shared" si="9"/>
        <v>-64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>
        <v>1</v>
      </c>
      <c r="K55" s="52"/>
      <c r="L55" s="69">
        <f t="shared" si="2"/>
        <v>1</v>
      </c>
      <c r="M55" s="52">
        <v>48</v>
      </c>
      <c r="N55" s="52"/>
      <c r="O55" s="69">
        <f t="shared" si="3"/>
        <v>48</v>
      </c>
      <c r="P55" s="52">
        <v>15</v>
      </c>
      <c r="Q55" s="52"/>
      <c r="R55" s="69">
        <f t="shared" si="4"/>
        <v>15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64</v>
      </c>
      <c r="AA55" s="50"/>
      <c r="AB55" s="50"/>
      <c r="AC55" s="62">
        <f t="shared" si="8"/>
        <v>-64</v>
      </c>
      <c r="AD55" s="50"/>
      <c r="AG55" s="53">
        <f t="shared" si="9"/>
        <v>-64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>
        <v>1</v>
      </c>
      <c r="K57" s="52"/>
      <c r="L57" s="69">
        <f t="shared" si="2"/>
        <v>1</v>
      </c>
      <c r="M57" s="52">
        <v>48</v>
      </c>
      <c r="N57" s="52"/>
      <c r="O57" s="69">
        <f t="shared" si="3"/>
        <v>48</v>
      </c>
      <c r="P57" s="52">
        <v>15</v>
      </c>
      <c r="Q57" s="52"/>
      <c r="R57" s="69">
        <f t="shared" si="4"/>
        <v>15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64</v>
      </c>
      <c r="AA57" s="50"/>
      <c r="AB57" s="50"/>
      <c r="AC57" s="62">
        <f t="shared" si="8"/>
        <v>-64</v>
      </c>
      <c r="AD57" s="50"/>
      <c r="AG57" s="53">
        <f t="shared" si="9"/>
        <v>-64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3</v>
      </c>
      <c r="K59" s="52"/>
      <c r="L59" s="69">
        <f t="shared" si="2"/>
        <v>3</v>
      </c>
      <c r="M59" s="52">
        <v>48</v>
      </c>
      <c r="N59" s="52"/>
      <c r="O59" s="69">
        <f t="shared" si="3"/>
        <v>48</v>
      </c>
      <c r="P59" s="52">
        <v>15</v>
      </c>
      <c r="Q59" s="52"/>
      <c r="R59" s="69">
        <f t="shared" si="4"/>
        <v>15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66</v>
      </c>
      <c r="AA59" s="50"/>
      <c r="AB59" s="50"/>
      <c r="AC59" s="62">
        <f t="shared" si="8"/>
        <v>-66</v>
      </c>
      <c r="AD59" s="50"/>
      <c r="AG59" s="53">
        <f t="shared" si="9"/>
        <v>-66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>
        <v>1</v>
      </c>
      <c r="K61" s="52"/>
      <c r="L61" s="69">
        <f t="shared" si="2"/>
        <v>1</v>
      </c>
      <c r="M61" s="52">
        <v>48</v>
      </c>
      <c r="N61" s="52"/>
      <c r="O61" s="69">
        <f t="shared" si="3"/>
        <v>48</v>
      </c>
      <c r="P61" s="52">
        <v>15</v>
      </c>
      <c r="Q61" s="52"/>
      <c r="R61" s="69">
        <f t="shared" si="4"/>
        <v>15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64</v>
      </c>
      <c r="AA61" s="50"/>
      <c r="AB61" s="50"/>
      <c r="AC61" s="62">
        <f t="shared" si="8"/>
        <v>-64</v>
      </c>
      <c r="AD61" s="50"/>
      <c r="AG61" s="53">
        <f t="shared" si="9"/>
        <v>-64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>
        <v>1</v>
      </c>
      <c r="K63" s="52"/>
      <c r="L63" s="69">
        <f t="shared" si="2"/>
        <v>1</v>
      </c>
      <c r="M63" s="52">
        <v>48</v>
      </c>
      <c r="N63" s="52"/>
      <c r="O63" s="69">
        <f t="shared" si="3"/>
        <v>48</v>
      </c>
      <c r="P63" s="52">
        <v>15</v>
      </c>
      <c r="Q63" s="52"/>
      <c r="R63" s="69">
        <f t="shared" si="4"/>
        <v>15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64</v>
      </c>
      <c r="AA63" s="50"/>
      <c r="AB63" s="50"/>
      <c r="AC63" s="62">
        <f t="shared" si="8"/>
        <v>-64</v>
      </c>
      <c r="AD63" s="50"/>
      <c r="AG63" s="53">
        <f t="shared" si="9"/>
        <v>-64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7</v>
      </c>
      <c r="H67" s="52"/>
      <c r="I67" s="69">
        <f t="shared" si="1"/>
        <v>7</v>
      </c>
      <c r="J67" s="52"/>
      <c r="K67" s="52"/>
      <c r="L67" s="69">
        <f t="shared" si="2"/>
        <v>0</v>
      </c>
      <c r="M67" s="52">
        <v>169</v>
      </c>
      <c r="N67" s="52"/>
      <c r="O67" s="69">
        <f t="shared" si="3"/>
        <v>169</v>
      </c>
      <c r="P67" s="52">
        <v>5</v>
      </c>
      <c r="Q67" s="52"/>
      <c r="R67" s="69">
        <f t="shared" si="4"/>
        <v>5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181</v>
      </c>
      <c r="AA67" s="50"/>
      <c r="AB67" s="50"/>
      <c r="AC67" s="62">
        <f t="shared" si="8"/>
        <v>-181</v>
      </c>
      <c r="AD67" s="50"/>
      <c r="AG67" s="53">
        <f t="shared" si="9"/>
        <v>-181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>
        <v>3</v>
      </c>
      <c r="K68" s="52"/>
      <c r="L68" s="69">
        <f t="shared" si="2"/>
        <v>3</v>
      </c>
      <c r="M68" s="52">
        <v>163</v>
      </c>
      <c r="N68" s="52"/>
      <c r="O68" s="69">
        <f t="shared" si="3"/>
        <v>163</v>
      </c>
      <c r="P68" s="52">
        <v>5</v>
      </c>
      <c r="Q68" s="52"/>
      <c r="R68" s="69">
        <f t="shared" si="4"/>
        <v>5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171</v>
      </c>
      <c r="AA68" s="50"/>
      <c r="AB68" s="50"/>
      <c r="AC68" s="62">
        <f t="shared" si="8"/>
        <v>-171</v>
      </c>
      <c r="AD68" s="50"/>
      <c r="AG68" s="53">
        <f t="shared" si="9"/>
        <v>-171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>
        <v>2</v>
      </c>
      <c r="K69" s="52"/>
      <c r="L69" s="69">
        <f t="shared" ref="L69:L99" si="12">SUM(J69:K69)</f>
        <v>2</v>
      </c>
      <c r="M69" s="52">
        <v>142</v>
      </c>
      <c r="N69" s="52"/>
      <c r="O69" s="69">
        <f t="shared" ref="O69:O99" si="13">SUM(M69:N69)</f>
        <v>142</v>
      </c>
      <c r="P69" s="52">
        <v>5</v>
      </c>
      <c r="Q69" s="52"/>
      <c r="R69" s="69">
        <f t="shared" ref="R69:R99" si="14">SUM(P69:Q69)</f>
        <v>5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149</v>
      </c>
      <c r="AA69" s="50"/>
      <c r="AB69" s="50"/>
      <c r="AC69" s="62">
        <f t="shared" ref="AC69:AC99" si="18">+AA69+AB69-Z69</f>
        <v>-149</v>
      </c>
      <c r="AD69" s="50"/>
      <c r="AG69" s="53">
        <f t="shared" ref="AG69:AG100" si="19">AD69+AC69</f>
        <v>-149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8</v>
      </c>
      <c r="H70" s="52"/>
      <c r="I70" s="69">
        <f t="shared" si="11"/>
        <v>8</v>
      </c>
      <c r="J70" s="52">
        <v>30</v>
      </c>
      <c r="K70" s="52"/>
      <c r="L70" s="69">
        <f t="shared" si="12"/>
        <v>30</v>
      </c>
      <c r="M70" s="52">
        <v>15</v>
      </c>
      <c r="N70" s="52"/>
      <c r="O70" s="69">
        <f t="shared" si="13"/>
        <v>15</v>
      </c>
      <c r="P70" s="52">
        <v>13</v>
      </c>
      <c r="Q70" s="52"/>
      <c r="R70" s="69">
        <f t="shared" si="14"/>
        <v>13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66</v>
      </c>
      <c r="AA70" s="50"/>
      <c r="AB70" s="50"/>
      <c r="AC70" s="62">
        <f t="shared" si="18"/>
        <v>-66</v>
      </c>
      <c r="AD70" s="50"/>
      <c r="AG70" s="53">
        <f t="shared" si="19"/>
        <v>-66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>
        <v>10</v>
      </c>
      <c r="Z74" s="64">
        <f t="shared" si="17"/>
        <v>10</v>
      </c>
      <c r="AA74" s="59"/>
      <c r="AB74" s="59"/>
      <c r="AC74" s="62">
        <f t="shared" si="18"/>
        <v>-10</v>
      </c>
      <c r="AD74" s="59"/>
      <c r="AG74" s="53">
        <f t="shared" si="19"/>
        <v>-10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2</v>
      </c>
      <c r="N75" s="52"/>
      <c r="O75" s="69">
        <f t="shared" si="13"/>
        <v>2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2</v>
      </c>
      <c r="AA75" s="50"/>
      <c r="AB75" s="50"/>
      <c r="AC75" s="62">
        <f t="shared" si="18"/>
        <v>-2</v>
      </c>
      <c r="AD75" s="50"/>
      <c r="AG75" s="53">
        <f t="shared" si="19"/>
        <v>-2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/>
      <c r="AC76" s="62">
        <f t="shared" si="18"/>
        <v>0</v>
      </c>
      <c r="AD76" s="50"/>
      <c r="AG76" s="53">
        <f t="shared" si="19"/>
        <v>0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/>
      <c r="AG78" s="53">
        <f t="shared" si="19"/>
        <v>0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2</v>
      </c>
      <c r="H82" s="52"/>
      <c r="I82" s="69">
        <f t="shared" si="11"/>
        <v>2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2</v>
      </c>
      <c r="AA82" s="50"/>
      <c r="AB82" s="50"/>
      <c r="AC82" s="62">
        <f t="shared" si="18"/>
        <v>-2</v>
      </c>
      <c r="AD82" s="50"/>
      <c r="AG82" s="53">
        <f t="shared" si="19"/>
        <v>-2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>
        <v>2</v>
      </c>
      <c r="K83" s="52"/>
      <c r="L83" s="69">
        <f t="shared" si="12"/>
        <v>2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6</v>
      </c>
      <c r="AA83" s="50"/>
      <c r="AB83" s="50"/>
      <c r="AC83" s="62">
        <f t="shared" si="18"/>
        <v>-6</v>
      </c>
      <c r="AD83" s="50"/>
      <c r="AG83" s="53">
        <f t="shared" si="19"/>
        <v>-6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381</v>
      </c>
      <c r="H100" s="63">
        <f t="shared" si="20"/>
        <v>0</v>
      </c>
      <c r="I100" s="71">
        <f t="shared" si="20"/>
        <v>381</v>
      </c>
      <c r="J100" s="63">
        <f t="shared" si="20"/>
        <v>64</v>
      </c>
      <c r="K100" s="63">
        <f t="shared" si="20"/>
        <v>0</v>
      </c>
      <c r="L100" s="71">
        <f t="shared" si="20"/>
        <v>64</v>
      </c>
      <c r="M100" s="63">
        <f t="shared" si="20"/>
        <v>860</v>
      </c>
      <c r="N100" s="63">
        <f t="shared" si="20"/>
        <v>0</v>
      </c>
      <c r="O100" s="71">
        <f t="shared" si="20"/>
        <v>860</v>
      </c>
      <c r="P100" s="63">
        <f t="shared" si="20"/>
        <v>125</v>
      </c>
      <c r="Q100" s="63">
        <f t="shared" si="20"/>
        <v>0</v>
      </c>
      <c r="R100" s="71">
        <f t="shared" si="20"/>
        <v>125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13</v>
      </c>
      <c r="Z100" s="63">
        <f>SUM(Z4:Z99)</f>
        <v>1443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0</v>
      </c>
      <c r="AC100" s="63">
        <f t="shared" si="21"/>
        <v>-1443</v>
      </c>
      <c r="AD100" s="63">
        <f t="shared" si="21"/>
        <v>0</v>
      </c>
      <c r="AG100" s="53">
        <f t="shared" si="19"/>
        <v>-1443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D164-1B3A-4DA4-9B7E-F44829E067F9}">
  <sheetPr>
    <pageSetUpPr fitToPage="1"/>
  </sheetPr>
  <dimension ref="A1:AO112"/>
  <sheetViews>
    <sheetView topLeftCell="B1" zoomScale="50" zoomScaleNormal="50" workbookViewId="0">
      <selection activeCell="O16" sqref="O1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217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54</v>
      </c>
      <c r="N4" s="52"/>
      <c r="O4" s="69">
        <f>SUM(M4:N4)</f>
        <v>54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54</v>
      </c>
      <c r="AA4" s="50">
        <v>50</v>
      </c>
      <c r="AB4" s="50">
        <v>5</v>
      </c>
      <c r="AC4" s="62">
        <f>+AA4+AB4-Z4</f>
        <v>1</v>
      </c>
      <c r="AD4" s="50">
        <v>50</v>
      </c>
      <c r="AG4" s="53">
        <f>AD4+AC4</f>
        <v>51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</v>
      </c>
      <c r="H5" s="52"/>
      <c r="I5" s="69">
        <f t="shared" ref="I5:I68" si="1">SUM(G5:H5)</f>
        <v>4</v>
      </c>
      <c r="J5" s="52">
        <v>18</v>
      </c>
      <c r="K5" s="52"/>
      <c r="L5" s="69">
        <f t="shared" ref="L5:L68" si="2">SUM(J5:K5)</f>
        <v>18</v>
      </c>
      <c r="M5" s="52">
        <v>18</v>
      </c>
      <c r="N5" s="52"/>
      <c r="O5" s="69">
        <f t="shared" ref="O5:O68" si="3">SUM(M5:N5)</f>
        <v>18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3</v>
      </c>
      <c r="Z5" s="64">
        <f t="shared" ref="Z5:Z68" si="7">+F5+I5+L5+O5+R5+U5+X5+Y5</f>
        <v>43</v>
      </c>
      <c r="AA5" s="59">
        <v>73</v>
      </c>
      <c r="AB5" s="59">
        <v>30</v>
      </c>
      <c r="AC5" s="62">
        <f t="shared" ref="AC5:AC68" si="8">+AA5+AB5-Z5</f>
        <v>60</v>
      </c>
      <c r="AD5" s="59">
        <v>70</v>
      </c>
      <c r="AG5" s="53">
        <f t="shared" ref="AG5:AG68" si="9">AD5+AC5</f>
        <v>130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</v>
      </c>
      <c r="H9" s="52"/>
      <c r="I9" s="69">
        <f t="shared" si="1"/>
        <v>2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2</v>
      </c>
      <c r="AA9" s="50"/>
      <c r="AB9" s="50"/>
      <c r="AC9" s="62">
        <f t="shared" si="8"/>
        <v>-2</v>
      </c>
      <c r="AD9" s="50"/>
      <c r="AG9" s="53">
        <f t="shared" si="9"/>
        <v>-2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</v>
      </c>
      <c r="H10" s="52"/>
      <c r="I10" s="69">
        <f t="shared" si="1"/>
        <v>2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2</v>
      </c>
      <c r="AA10" s="50"/>
      <c r="AB10" s="50"/>
      <c r="AC10" s="62">
        <f t="shared" si="8"/>
        <v>-2</v>
      </c>
      <c r="AD10" s="50"/>
      <c r="AG10" s="53">
        <f t="shared" si="9"/>
        <v>-2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</v>
      </c>
      <c r="H11" s="52"/>
      <c r="I11" s="69">
        <f t="shared" si="1"/>
        <v>2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2</v>
      </c>
      <c r="AA11" s="50"/>
      <c r="AB11" s="50"/>
      <c r="AC11" s="62">
        <f t="shared" si="8"/>
        <v>-2</v>
      </c>
      <c r="AD11" s="50"/>
      <c r="AG11" s="53">
        <f t="shared" si="9"/>
        <v>-2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</v>
      </c>
      <c r="H12" s="52"/>
      <c r="I12" s="69">
        <f t="shared" si="1"/>
        <v>2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2</v>
      </c>
      <c r="AA12" s="50"/>
      <c r="AB12" s="50"/>
      <c r="AC12" s="62">
        <f t="shared" si="8"/>
        <v>-2</v>
      </c>
      <c r="AD12" s="50"/>
      <c r="AG12" s="53">
        <f t="shared" si="9"/>
        <v>-2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  <c r="AG13" s="53">
        <f t="shared" si="9"/>
        <v>-2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  <c r="AG14" s="53">
        <f t="shared" si="9"/>
        <v>-2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  <c r="AG15" s="53">
        <f t="shared" si="9"/>
        <v>-2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</v>
      </c>
      <c r="H16" s="52"/>
      <c r="I16" s="69">
        <f t="shared" si="1"/>
        <v>1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</v>
      </c>
      <c r="AA16" s="50"/>
      <c r="AB16" s="50"/>
      <c r="AC16" s="62">
        <f t="shared" si="8"/>
        <v>-1</v>
      </c>
      <c r="AD16" s="50"/>
      <c r="AG16" s="53">
        <f t="shared" si="9"/>
        <v>-1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</v>
      </c>
      <c r="H17" s="52"/>
      <c r="I17" s="69">
        <f t="shared" si="1"/>
        <v>1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</v>
      </c>
      <c r="AA17" s="50"/>
      <c r="AB17" s="50"/>
      <c r="AC17" s="62">
        <f t="shared" si="8"/>
        <v>-1</v>
      </c>
      <c r="AD17" s="50"/>
      <c r="AG17" s="53">
        <f t="shared" si="9"/>
        <v>-1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</v>
      </c>
      <c r="H18" s="52"/>
      <c r="I18" s="69">
        <f t="shared" si="1"/>
        <v>1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</v>
      </c>
      <c r="AA18" s="50"/>
      <c r="AB18" s="50"/>
      <c r="AC18" s="62">
        <f t="shared" si="8"/>
        <v>-1</v>
      </c>
      <c r="AD18" s="50"/>
      <c r="AG18" s="53">
        <f t="shared" si="9"/>
        <v>-1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</v>
      </c>
      <c r="H19" s="52"/>
      <c r="I19" s="69">
        <f t="shared" si="1"/>
        <v>1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</v>
      </c>
      <c r="AA19" s="50"/>
      <c r="AB19" s="50"/>
      <c r="AC19" s="62">
        <f t="shared" si="8"/>
        <v>-1</v>
      </c>
      <c r="AD19" s="50"/>
      <c r="AG19" s="53">
        <f t="shared" si="9"/>
        <v>-1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</v>
      </c>
      <c r="H20" s="52"/>
      <c r="I20" s="69">
        <f t="shared" si="1"/>
        <v>1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</v>
      </c>
      <c r="AA20" s="50"/>
      <c r="AB20" s="50"/>
      <c r="AC20" s="62">
        <f t="shared" si="8"/>
        <v>-1</v>
      </c>
      <c r="AD20" s="50"/>
      <c r="AG20" s="53">
        <f t="shared" si="9"/>
        <v>-1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</v>
      </c>
      <c r="H21" s="52"/>
      <c r="I21" s="69">
        <f t="shared" si="1"/>
        <v>1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</v>
      </c>
      <c r="AA21" s="50"/>
      <c r="AB21" s="50"/>
      <c r="AC21" s="62">
        <f t="shared" si="8"/>
        <v>-1</v>
      </c>
      <c r="AD21" s="50"/>
      <c r="AG21" s="53">
        <f t="shared" si="9"/>
        <v>-1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6</v>
      </c>
      <c r="H25" s="52"/>
      <c r="I25" s="69">
        <f t="shared" si="1"/>
        <v>6</v>
      </c>
      <c r="J25" s="52"/>
      <c r="K25" s="52"/>
      <c r="L25" s="69">
        <f t="shared" si="2"/>
        <v>0</v>
      </c>
      <c r="M25" s="73">
        <v>21</v>
      </c>
      <c r="N25" s="52"/>
      <c r="O25" s="69">
        <f t="shared" si="3"/>
        <v>21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27</v>
      </c>
      <c r="AA25" s="50">
        <v>10</v>
      </c>
      <c r="AB25" s="50">
        <v>50</v>
      </c>
      <c r="AC25" s="62">
        <f t="shared" si="8"/>
        <v>33</v>
      </c>
      <c r="AD25" s="50">
        <v>40</v>
      </c>
      <c r="AG25" s="53">
        <f t="shared" si="9"/>
        <v>73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/>
      <c r="H26" s="52"/>
      <c r="I26" s="69">
        <f t="shared" si="1"/>
        <v>0</v>
      </c>
      <c r="J26" s="52"/>
      <c r="K26" s="52"/>
      <c r="L26" s="69">
        <f t="shared" si="2"/>
        <v>0</v>
      </c>
      <c r="M26" s="52">
        <v>3</v>
      </c>
      <c r="N26" s="52"/>
      <c r="O26" s="69">
        <f t="shared" si="3"/>
        <v>3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3</v>
      </c>
      <c r="AA26" s="50">
        <v>40</v>
      </c>
      <c r="AB26" s="50">
        <v>31</v>
      </c>
      <c r="AC26" s="62">
        <f t="shared" si="8"/>
        <v>68</v>
      </c>
      <c r="AD26" s="50">
        <v>20</v>
      </c>
      <c r="AG26" s="53">
        <f t="shared" si="9"/>
        <v>88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>
        <v>10</v>
      </c>
      <c r="AB41" s="50">
        <v>6</v>
      </c>
      <c r="AC41" s="62">
        <f t="shared" si="8"/>
        <v>16</v>
      </c>
      <c r="AD41" s="50">
        <v>10</v>
      </c>
      <c r="AG41" s="53">
        <f t="shared" si="9"/>
        <v>26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6</v>
      </c>
      <c r="H42" s="52"/>
      <c r="I42" s="69">
        <f t="shared" si="1"/>
        <v>6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6</v>
      </c>
      <c r="AA42" s="50"/>
      <c r="AB42" s="50"/>
      <c r="AC42" s="62">
        <f t="shared" si="8"/>
        <v>-6</v>
      </c>
      <c r="AD42" s="50"/>
      <c r="AG42" s="53">
        <f t="shared" si="9"/>
        <v>-6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6</v>
      </c>
      <c r="H43" s="52"/>
      <c r="I43" s="69">
        <f t="shared" si="1"/>
        <v>6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6</v>
      </c>
      <c r="AA43" s="50"/>
      <c r="AB43" s="50"/>
      <c r="AC43" s="62">
        <f t="shared" si="8"/>
        <v>-6</v>
      </c>
      <c r="AD43" s="50"/>
      <c r="AG43" s="53">
        <f t="shared" si="9"/>
        <v>-6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6</v>
      </c>
      <c r="H44" s="52"/>
      <c r="I44" s="69">
        <f t="shared" si="1"/>
        <v>6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6</v>
      </c>
      <c r="AA44" s="50"/>
      <c r="AB44" s="50"/>
      <c r="AC44" s="62">
        <f t="shared" si="8"/>
        <v>-6</v>
      </c>
      <c r="AD44" s="50"/>
      <c r="AG44" s="53">
        <f t="shared" si="9"/>
        <v>-6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6</v>
      </c>
      <c r="H45" s="52"/>
      <c r="I45" s="69">
        <f t="shared" si="1"/>
        <v>6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6</v>
      </c>
      <c r="AA45" s="50"/>
      <c r="AB45" s="50"/>
      <c r="AC45" s="62">
        <f t="shared" si="8"/>
        <v>-6</v>
      </c>
      <c r="AD45" s="50"/>
      <c r="AG45" s="53">
        <f t="shared" si="9"/>
        <v>-6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6</v>
      </c>
      <c r="H46" s="52"/>
      <c r="I46" s="69">
        <f t="shared" si="1"/>
        <v>6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6</v>
      </c>
      <c r="AA46" s="50"/>
      <c r="AB46" s="50"/>
      <c r="AC46" s="62">
        <f t="shared" si="8"/>
        <v>-6</v>
      </c>
      <c r="AD46" s="50"/>
      <c r="AG46" s="53">
        <f t="shared" si="9"/>
        <v>-6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6</v>
      </c>
      <c r="H47" s="52"/>
      <c r="I47" s="69">
        <f t="shared" si="1"/>
        <v>6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6</v>
      </c>
      <c r="AA47" s="50"/>
      <c r="AB47" s="50"/>
      <c r="AC47" s="62">
        <f t="shared" si="8"/>
        <v>-6</v>
      </c>
      <c r="AD47" s="50"/>
      <c r="AG47" s="53">
        <f t="shared" si="9"/>
        <v>-6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6</v>
      </c>
      <c r="H48" s="52"/>
      <c r="I48" s="69">
        <f t="shared" si="1"/>
        <v>6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6</v>
      </c>
      <c r="AA48" s="50"/>
      <c r="AB48" s="50"/>
      <c r="AC48" s="62">
        <f t="shared" si="8"/>
        <v>-6</v>
      </c>
      <c r="AD48" s="50"/>
      <c r="AG48" s="53">
        <f t="shared" si="9"/>
        <v>-6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6</v>
      </c>
      <c r="H49" s="52"/>
      <c r="I49" s="69">
        <f t="shared" si="1"/>
        <v>6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6</v>
      </c>
      <c r="AA49" s="50"/>
      <c r="AB49" s="50"/>
      <c r="AC49" s="62">
        <f t="shared" si="8"/>
        <v>-6</v>
      </c>
      <c r="AD49" s="50"/>
      <c r="AF49" s="53"/>
      <c r="AG49" s="53">
        <f t="shared" si="9"/>
        <v>-6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6</v>
      </c>
      <c r="H50" s="52"/>
      <c r="I50" s="69">
        <f t="shared" si="1"/>
        <v>6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6</v>
      </c>
      <c r="AA50" s="50"/>
      <c r="AB50" s="50"/>
      <c r="AC50" s="62">
        <f t="shared" si="8"/>
        <v>-6</v>
      </c>
      <c r="AD50" s="50"/>
      <c r="AG50" s="53">
        <f t="shared" si="9"/>
        <v>-6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6</v>
      </c>
      <c r="H51" s="52"/>
      <c r="I51" s="69">
        <f t="shared" si="1"/>
        <v>6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6</v>
      </c>
      <c r="AA51" s="50"/>
      <c r="AB51" s="50"/>
      <c r="AC51" s="62">
        <f t="shared" si="8"/>
        <v>-6</v>
      </c>
      <c r="AD51" s="50"/>
      <c r="AG51" s="53">
        <f t="shared" si="9"/>
        <v>-6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>
        <v>1</v>
      </c>
      <c r="K53" s="52"/>
      <c r="L53" s="69">
        <f t="shared" si="2"/>
        <v>1</v>
      </c>
      <c r="M53" s="52">
        <v>38</v>
      </c>
      <c r="N53" s="52"/>
      <c r="O53" s="69">
        <f t="shared" si="3"/>
        <v>38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39</v>
      </c>
      <c r="AA53" s="50">
        <v>59</v>
      </c>
      <c r="AB53" s="50"/>
      <c r="AC53" s="62">
        <f t="shared" si="8"/>
        <v>20</v>
      </c>
      <c r="AD53" s="50">
        <v>65</v>
      </c>
      <c r="AG53" s="53">
        <f t="shared" si="9"/>
        <v>85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>
        <v>1</v>
      </c>
      <c r="K55" s="52"/>
      <c r="L55" s="69">
        <f t="shared" si="2"/>
        <v>1</v>
      </c>
      <c r="M55" s="52">
        <v>38</v>
      </c>
      <c r="N55" s="52"/>
      <c r="O55" s="69">
        <f t="shared" si="3"/>
        <v>38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39</v>
      </c>
      <c r="AA55" s="50">
        <v>59</v>
      </c>
      <c r="AB55" s="50"/>
      <c r="AC55" s="62">
        <f t="shared" si="8"/>
        <v>20</v>
      </c>
      <c r="AD55" s="50">
        <v>65</v>
      </c>
      <c r="AG55" s="53">
        <f t="shared" si="9"/>
        <v>85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>
        <v>3</v>
      </c>
      <c r="K57" s="52"/>
      <c r="L57" s="69">
        <f t="shared" si="2"/>
        <v>3</v>
      </c>
      <c r="M57" s="52">
        <v>44</v>
      </c>
      <c r="N57" s="73">
        <v>1</v>
      </c>
      <c r="O57" s="69">
        <f t="shared" si="3"/>
        <v>45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48</v>
      </c>
      <c r="AA57" s="50">
        <v>60</v>
      </c>
      <c r="AB57" s="50">
        <v>9</v>
      </c>
      <c r="AC57" s="62">
        <f t="shared" si="8"/>
        <v>21</v>
      </c>
      <c r="AD57" s="50">
        <v>65</v>
      </c>
      <c r="AG57" s="53">
        <f t="shared" si="9"/>
        <v>86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3</v>
      </c>
      <c r="K59" s="52"/>
      <c r="L59" s="69">
        <f t="shared" si="2"/>
        <v>3</v>
      </c>
      <c r="M59" s="52">
        <v>41</v>
      </c>
      <c r="N59" s="73">
        <v>1</v>
      </c>
      <c r="O59" s="69">
        <f t="shared" si="3"/>
        <v>42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45</v>
      </c>
      <c r="AA59" s="50">
        <v>60</v>
      </c>
      <c r="AB59" s="50">
        <v>7</v>
      </c>
      <c r="AC59" s="62">
        <f t="shared" si="8"/>
        <v>22</v>
      </c>
      <c r="AD59" s="50">
        <v>65</v>
      </c>
      <c r="AG59" s="53">
        <f t="shared" si="9"/>
        <v>87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>
        <v>1</v>
      </c>
      <c r="K61" s="52"/>
      <c r="L61" s="69">
        <f t="shared" si="2"/>
        <v>1</v>
      </c>
      <c r="M61" s="52">
        <v>39</v>
      </c>
      <c r="N61" s="73">
        <v>1</v>
      </c>
      <c r="O61" s="69">
        <f t="shared" si="3"/>
        <v>40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41</v>
      </c>
      <c r="AA61" s="50">
        <v>60</v>
      </c>
      <c r="AB61" s="50">
        <v>3</v>
      </c>
      <c r="AC61" s="62">
        <f t="shared" si="8"/>
        <v>22</v>
      </c>
      <c r="AD61" s="50">
        <v>65</v>
      </c>
      <c r="AG61" s="53">
        <f t="shared" si="9"/>
        <v>87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>
        <v>1</v>
      </c>
      <c r="K63" s="52"/>
      <c r="L63" s="69">
        <f t="shared" si="2"/>
        <v>1</v>
      </c>
      <c r="M63" s="52">
        <v>42</v>
      </c>
      <c r="N63" s="52"/>
      <c r="O63" s="69">
        <f t="shared" si="3"/>
        <v>42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43</v>
      </c>
      <c r="AA63" s="50">
        <v>60</v>
      </c>
      <c r="AB63" s="50">
        <v>5</v>
      </c>
      <c r="AC63" s="62">
        <f t="shared" si="8"/>
        <v>22</v>
      </c>
      <c r="AD63" s="50">
        <v>65</v>
      </c>
      <c r="AG63" s="53">
        <f t="shared" si="9"/>
        <v>87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 hidden="1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4</v>
      </c>
      <c r="H67" s="52"/>
      <c r="I67" s="69">
        <f t="shared" si="1"/>
        <v>4</v>
      </c>
      <c r="J67" s="52">
        <v>2</v>
      </c>
      <c r="K67" s="52"/>
      <c r="L67" s="69">
        <f t="shared" si="2"/>
        <v>2</v>
      </c>
      <c r="M67" s="73">
        <v>149</v>
      </c>
      <c r="N67" s="73">
        <v>2</v>
      </c>
      <c r="O67" s="69">
        <f t="shared" si="3"/>
        <v>151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157</v>
      </c>
      <c r="AA67" s="50">
        <v>150</v>
      </c>
      <c r="AB67" s="50">
        <v>15</v>
      </c>
      <c r="AC67" s="62">
        <f t="shared" si="8"/>
        <v>8</v>
      </c>
      <c r="AD67" s="50"/>
      <c r="AG67" s="53">
        <f t="shared" si="9"/>
        <v>8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1</v>
      </c>
      <c r="H68" s="52"/>
      <c r="I68" s="69">
        <f t="shared" si="1"/>
        <v>1</v>
      </c>
      <c r="J68" s="52">
        <v>2</v>
      </c>
      <c r="K68" s="52"/>
      <c r="L68" s="69">
        <f t="shared" si="2"/>
        <v>2</v>
      </c>
      <c r="M68" s="73">
        <v>146</v>
      </c>
      <c r="N68" s="73">
        <v>2</v>
      </c>
      <c r="O68" s="69">
        <f t="shared" si="3"/>
        <v>148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151</v>
      </c>
      <c r="AA68" s="50">
        <v>150</v>
      </c>
      <c r="AB68" s="50">
        <v>3</v>
      </c>
      <c r="AC68" s="62">
        <f t="shared" si="8"/>
        <v>2</v>
      </c>
      <c r="AD68" s="50"/>
      <c r="AG68" s="53">
        <f t="shared" si="9"/>
        <v>2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1</v>
      </c>
      <c r="H69" s="52"/>
      <c r="I69" s="69">
        <f t="shared" ref="I69:I99" si="11">SUM(G69:H69)</f>
        <v>1</v>
      </c>
      <c r="J69" s="52">
        <v>1</v>
      </c>
      <c r="K69" s="52"/>
      <c r="L69" s="69">
        <f t="shared" ref="L69:L99" si="12">SUM(J69:K69)</f>
        <v>1</v>
      </c>
      <c r="M69" s="73">
        <v>146</v>
      </c>
      <c r="N69" s="73">
        <v>2</v>
      </c>
      <c r="O69" s="69">
        <f t="shared" ref="O69:O99" si="13">SUM(M69:N69)</f>
        <v>148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150</v>
      </c>
      <c r="AA69" s="50">
        <v>150</v>
      </c>
      <c r="AB69" s="50">
        <v>2</v>
      </c>
      <c r="AC69" s="62">
        <f t="shared" ref="AC69:AC99" si="18">+AA69+AB69-Z69</f>
        <v>2</v>
      </c>
      <c r="AD69" s="50"/>
      <c r="AG69" s="53">
        <f t="shared" ref="AG69:AG100" si="19">AD69+AC69</f>
        <v>2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</v>
      </c>
      <c r="H70" s="52"/>
      <c r="I70" s="69">
        <f t="shared" si="11"/>
        <v>3</v>
      </c>
      <c r="J70" s="52"/>
      <c r="K70" s="52"/>
      <c r="L70" s="69">
        <f t="shared" si="12"/>
        <v>0</v>
      </c>
      <c r="M70" s="52">
        <v>12</v>
      </c>
      <c r="N70" s="52"/>
      <c r="O70" s="69">
        <f t="shared" si="13"/>
        <v>12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15</v>
      </c>
      <c r="AA70" s="50">
        <v>26</v>
      </c>
      <c r="AB70" s="50"/>
      <c r="AC70" s="62">
        <f t="shared" si="18"/>
        <v>11</v>
      </c>
      <c r="AD70" s="50">
        <v>50</v>
      </c>
      <c r="AG70" s="53">
        <f t="shared" si="19"/>
        <v>61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1</v>
      </c>
      <c r="N75" s="52"/>
      <c r="O75" s="69">
        <f t="shared" si="13"/>
        <v>1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1</v>
      </c>
      <c r="AA75" s="50">
        <v>10</v>
      </c>
      <c r="AB75" s="50">
        <v>1</v>
      </c>
      <c r="AC75" s="62">
        <f t="shared" si="18"/>
        <v>10</v>
      </c>
      <c r="AD75" s="50"/>
      <c r="AG75" s="53">
        <f t="shared" si="19"/>
        <v>10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>
        <v>3</v>
      </c>
      <c r="AC76" s="62">
        <f t="shared" si="18"/>
        <v>3</v>
      </c>
      <c r="AD76" s="50"/>
      <c r="AG76" s="53">
        <f t="shared" si="19"/>
        <v>3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/>
      <c r="AG78" s="53">
        <f t="shared" si="19"/>
        <v>0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 hidden="1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 hidden="1">
      <c r="B83" s="50">
        <v>200</v>
      </c>
      <c r="C83" s="54" t="s">
        <v>198</v>
      </c>
      <c r="D83" s="52"/>
      <c r="E83" s="52"/>
      <c r="F83" s="69">
        <f t="shared" si="10"/>
        <v>0</v>
      </c>
      <c r="G83" s="52"/>
      <c r="H83" s="52"/>
      <c r="I83" s="69">
        <f t="shared" si="11"/>
        <v>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0</v>
      </c>
      <c r="AA83" s="50"/>
      <c r="AB83" s="50"/>
      <c r="AC83" s="62">
        <f t="shared" si="18"/>
        <v>0</v>
      </c>
      <c r="AD83" s="50"/>
      <c r="AG83" s="53">
        <f t="shared" si="19"/>
        <v>0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 hidden="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99</v>
      </c>
      <c r="H100" s="63">
        <f t="shared" si="20"/>
        <v>0</v>
      </c>
      <c r="I100" s="71">
        <f t="shared" si="20"/>
        <v>99</v>
      </c>
      <c r="J100" s="63">
        <f t="shared" si="20"/>
        <v>33</v>
      </c>
      <c r="K100" s="63">
        <f t="shared" si="20"/>
        <v>0</v>
      </c>
      <c r="L100" s="71">
        <f t="shared" si="20"/>
        <v>33</v>
      </c>
      <c r="M100" s="63">
        <f t="shared" si="20"/>
        <v>792</v>
      </c>
      <c r="N100" s="63">
        <f t="shared" si="20"/>
        <v>9</v>
      </c>
      <c r="O100" s="71">
        <f t="shared" si="20"/>
        <v>801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3</v>
      </c>
      <c r="Z100" s="63">
        <f>SUM(Z4:Z99)</f>
        <v>936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1027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170</v>
      </c>
      <c r="AC100" s="63">
        <f t="shared" si="21"/>
        <v>261</v>
      </c>
      <c r="AD100" s="63">
        <f t="shared" si="21"/>
        <v>630</v>
      </c>
      <c r="AG100" s="53">
        <f t="shared" si="19"/>
        <v>891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83EE-81F6-4A0E-9D45-D495EA1A4A0E}">
  <sheetPr>
    <pageSetUpPr fitToPage="1"/>
  </sheetPr>
  <dimension ref="A1:AO112"/>
  <sheetViews>
    <sheetView tabSelected="1" zoomScale="50" zoomScaleNormal="50" workbookViewId="0">
      <selection activeCell="V15" sqref="V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5" t="s">
        <v>218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2:33" ht="49.9" customHeight="1">
      <c r="B2" s="86" t="s">
        <v>3</v>
      </c>
      <c r="C2" s="86" t="s">
        <v>4</v>
      </c>
      <c r="D2" s="98" t="s">
        <v>5</v>
      </c>
      <c r="E2" s="99"/>
      <c r="F2" s="100"/>
      <c r="G2" s="98" t="s">
        <v>6</v>
      </c>
      <c r="H2" s="100"/>
      <c r="I2" s="65"/>
      <c r="J2" s="98" t="s">
        <v>7</v>
      </c>
      <c r="K2" s="100"/>
      <c r="L2" s="65"/>
      <c r="M2" s="98" t="s">
        <v>8</v>
      </c>
      <c r="N2" s="100"/>
      <c r="O2" s="65"/>
      <c r="P2" s="98" t="s">
        <v>132</v>
      </c>
      <c r="Q2" s="100"/>
      <c r="R2" s="65"/>
      <c r="S2" s="98" t="s">
        <v>9</v>
      </c>
      <c r="T2" s="100"/>
      <c r="U2" s="65"/>
      <c r="V2" s="98" t="s">
        <v>131</v>
      </c>
      <c r="W2" s="100"/>
      <c r="X2" s="70"/>
      <c r="Y2" s="88" t="s">
        <v>134</v>
      </c>
      <c r="Z2" s="90" t="s">
        <v>204</v>
      </c>
      <c r="AA2" s="92" t="s">
        <v>145</v>
      </c>
      <c r="AB2" s="92" t="s">
        <v>146</v>
      </c>
      <c r="AC2" s="96" t="s">
        <v>147</v>
      </c>
      <c r="AD2" s="94" t="s">
        <v>148</v>
      </c>
    </row>
    <row r="3" spans="2:33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  <c r="AA3" s="93"/>
      <c r="AB3" s="93"/>
      <c r="AC3" s="97"/>
      <c r="AD3" s="95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57</v>
      </c>
      <c r="N4" s="52"/>
      <c r="O4" s="69">
        <f>SUM(M4:N4)</f>
        <v>57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58</v>
      </c>
      <c r="AA4" s="50">
        <v>50</v>
      </c>
      <c r="AB4" s="50"/>
      <c r="AC4" s="62">
        <f>+AA4+AB4-Z4</f>
        <v>-8</v>
      </c>
      <c r="AD4" s="50">
        <v>50</v>
      </c>
      <c r="AG4" s="53">
        <f>AD4+AC4</f>
        <v>42</v>
      </c>
    </row>
    <row r="5" spans="2:33">
      <c r="B5" s="50">
        <v>1111002</v>
      </c>
      <c r="C5" s="51" t="s">
        <v>150</v>
      </c>
      <c r="D5" s="52">
        <v>8</v>
      </c>
      <c r="E5" s="52"/>
      <c r="F5" s="69">
        <f t="shared" ref="F5:F68" si="0">SUM(D5:E5)</f>
        <v>8</v>
      </c>
      <c r="G5" s="52">
        <v>67</v>
      </c>
      <c r="H5" s="52"/>
      <c r="I5" s="69">
        <f t="shared" ref="I5:I68" si="1">SUM(G5:H5)</f>
        <v>67</v>
      </c>
      <c r="J5" s="52">
        <v>18</v>
      </c>
      <c r="K5" s="52"/>
      <c r="L5" s="69">
        <f t="shared" ref="L5:L68" si="2">SUM(J5:K5)</f>
        <v>18</v>
      </c>
      <c r="M5" s="52">
        <v>10</v>
      </c>
      <c r="N5" s="52"/>
      <c r="O5" s="69">
        <f t="shared" ref="O5:O68" si="3">SUM(M5:N5)</f>
        <v>10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10</v>
      </c>
      <c r="Z5" s="64">
        <f t="shared" ref="Z5:Z68" si="7">+F5+I5+L5+O5+R5+U5+X5+Y5</f>
        <v>113</v>
      </c>
      <c r="AA5" s="59">
        <v>80</v>
      </c>
      <c r="AB5" s="59">
        <v>58</v>
      </c>
      <c r="AC5" s="62">
        <f t="shared" ref="AC5:AC68" si="8">+AA5+AB5-Z5</f>
        <v>25</v>
      </c>
      <c r="AD5" s="59">
        <v>70</v>
      </c>
      <c r="AG5" s="53">
        <f t="shared" ref="AG5:AG68" si="9">AD5+AC5</f>
        <v>95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8</v>
      </c>
      <c r="H9" s="52"/>
      <c r="I9" s="69">
        <f t="shared" si="1"/>
        <v>8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8</v>
      </c>
      <c r="AA9" s="50"/>
      <c r="AB9" s="50"/>
      <c r="AC9" s="62">
        <f t="shared" si="8"/>
        <v>-8</v>
      </c>
      <c r="AD9" s="50"/>
      <c r="AG9" s="53">
        <f t="shared" si="9"/>
        <v>-8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8</v>
      </c>
      <c r="H10" s="52"/>
      <c r="I10" s="69">
        <f t="shared" si="1"/>
        <v>8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8</v>
      </c>
      <c r="AA10" s="50"/>
      <c r="AB10" s="50"/>
      <c r="AC10" s="62">
        <f t="shared" si="8"/>
        <v>-8</v>
      </c>
      <c r="AD10" s="50"/>
      <c r="AG10" s="53">
        <f t="shared" si="9"/>
        <v>-8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8</v>
      </c>
      <c r="H11" s="52"/>
      <c r="I11" s="69">
        <f t="shared" si="1"/>
        <v>8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8</v>
      </c>
      <c r="AA11" s="50"/>
      <c r="AB11" s="50"/>
      <c r="AC11" s="62">
        <f t="shared" si="8"/>
        <v>-8</v>
      </c>
      <c r="AD11" s="50"/>
      <c r="AG11" s="53">
        <f t="shared" si="9"/>
        <v>-8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8</v>
      </c>
      <c r="H12" s="52"/>
      <c r="I12" s="69">
        <f t="shared" si="1"/>
        <v>8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8</v>
      </c>
      <c r="AA12" s="50"/>
      <c r="AB12" s="50"/>
      <c r="AC12" s="62">
        <f t="shared" si="8"/>
        <v>-8</v>
      </c>
      <c r="AD12" s="50"/>
      <c r="AG12" s="53">
        <f t="shared" si="9"/>
        <v>-8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8</v>
      </c>
      <c r="H13" s="52"/>
      <c r="I13" s="69">
        <f t="shared" si="1"/>
        <v>8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8</v>
      </c>
      <c r="AA13" s="50"/>
      <c r="AB13" s="50"/>
      <c r="AC13" s="62">
        <f t="shared" si="8"/>
        <v>-8</v>
      </c>
      <c r="AD13" s="50"/>
      <c r="AG13" s="53">
        <f t="shared" si="9"/>
        <v>-8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8</v>
      </c>
      <c r="H14" s="52"/>
      <c r="I14" s="69">
        <f t="shared" si="1"/>
        <v>8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8</v>
      </c>
      <c r="AA14" s="50"/>
      <c r="AB14" s="50"/>
      <c r="AC14" s="62">
        <f t="shared" si="8"/>
        <v>-8</v>
      </c>
      <c r="AD14" s="50"/>
      <c r="AG14" s="53">
        <f t="shared" si="9"/>
        <v>-8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8</v>
      </c>
      <c r="H15" s="52"/>
      <c r="I15" s="69">
        <f t="shared" si="1"/>
        <v>8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8</v>
      </c>
      <c r="AA15" s="50"/>
      <c r="AB15" s="50"/>
      <c r="AC15" s="62">
        <f t="shared" si="8"/>
        <v>-8</v>
      </c>
      <c r="AD15" s="50"/>
      <c r="AG15" s="53">
        <f t="shared" si="9"/>
        <v>-8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8</v>
      </c>
      <c r="H16" s="52"/>
      <c r="I16" s="69">
        <f t="shared" si="1"/>
        <v>8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8</v>
      </c>
      <c r="AA16" s="50"/>
      <c r="AB16" s="50"/>
      <c r="AC16" s="62">
        <f t="shared" si="8"/>
        <v>-8</v>
      </c>
      <c r="AD16" s="50"/>
      <c r="AG16" s="53">
        <f t="shared" si="9"/>
        <v>-8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8</v>
      </c>
      <c r="H17" s="52"/>
      <c r="I17" s="69">
        <f t="shared" si="1"/>
        <v>8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8</v>
      </c>
      <c r="AA17" s="50"/>
      <c r="AB17" s="50"/>
      <c r="AC17" s="62">
        <f t="shared" si="8"/>
        <v>-8</v>
      </c>
      <c r="AD17" s="50"/>
      <c r="AG17" s="53">
        <f t="shared" si="9"/>
        <v>-8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7</v>
      </c>
      <c r="H18" s="52"/>
      <c r="I18" s="69">
        <f t="shared" si="1"/>
        <v>7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7</v>
      </c>
      <c r="AA18" s="50"/>
      <c r="AB18" s="50"/>
      <c r="AC18" s="62">
        <f t="shared" si="8"/>
        <v>-7</v>
      </c>
      <c r="AD18" s="50"/>
      <c r="AG18" s="53">
        <f t="shared" si="9"/>
        <v>-7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7</v>
      </c>
      <c r="H19" s="52"/>
      <c r="I19" s="69">
        <f t="shared" si="1"/>
        <v>7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7</v>
      </c>
      <c r="AA19" s="50"/>
      <c r="AB19" s="50"/>
      <c r="AC19" s="62">
        <f t="shared" si="8"/>
        <v>-7</v>
      </c>
      <c r="AD19" s="50"/>
      <c r="AG19" s="53">
        <f t="shared" si="9"/>
        <v>-7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7</v>
      </c>
      <c r="H20" s="52"/>
      <c r="I20" s="69">
        <f t="shared" si="1"/>
        <v>7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7</v>
      </c>
      <c r="AA20" s="50"/>
      <c r="AB20" s="50"/>
      <c r="AC20" s="62">
        <f t="shared" si="8"/>
        <v>-7</v>
      </c>
      <c r="AD20" s="50"/>
      <c r="AG20" s="53">
        <f t="shared" si="9"/>
        <v>-7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7</v>
      </c>
      <c r="H21" s="52"/>
      <c r="I21" s="69">
        <f t="shared" si="1"/>
        <v>7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7</v>
      </c>
      <c r="AA21" s="50"/>
      <c r="AB21" s="50"/>
      <c r="AC21" s="62">
        <f t="shared" si="8"/>
        <v>-7</v>
      </c>
      <c r="AD21" s="50"/>
      <c r="AG21" s="53">
        <f t="shared" si="9"/>
        <v>-7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3</v>
      </c>
      <c r="H25" s="52"/>
      <c r="I25" s="69">
        <f t="shared" si="1"/>
        <v>3</v>
      </c>
      <c r="J25" s="52"/>
      <c r="K25" s="52"/>
      <c r="L25" s="69">
        <f t="shared" si="2"/>
        <v>0</v>
      </c>
      <c r="M25" s="52">
        <v>27</v>
      </c>
      <c r="N25" s="52"/>
      <c r="O25" s="69">
        <f t="shared" si="3"/>
        <v>27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30</v>
      </c>
      <c r="AA25" s="50">
        <v>40</v>
      </c>
      <c r="AB25" s="50">
        <v>33</v>
      </c>
      <c r="AC25" s="62">
        <f t="shared" si="8"/>
        <v>43</v>
      </c>
      <c r="AD25" s="50">
        <v>40</v>
      </c>
      <c r="AG25" s="53">
        <f t="shared" si="9"/>
        <v>83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4</v>
      </c>
      <c r="H26" s="52"/>
      <c r="I26" s="69">
        <f t="shared" si="1"/>
        <v>4</v>
      </c>
      <c r="J26" s="52">
        <v>1</v>
      </c>
      <c r="K26" s="52"/>
      <c r="L26" s="69">
        <f t="shared" si="2"/>
        <v>1</v>
      </c>
      <c r="M26" s="52">
        <v>5</v>
      </c>
      <c r="N26" s="52"/>
      <c r="O26" s="69">
        <f t="shared" si="3"/>
        <v>5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10</v>
      </c>
      <c r="AA26" s="50">
        <v>20</v>
      </c>
      <c r="AB26" s="50">
        <v>58</v>
      </c>
      <c r="AC26" s="62">
        <f t="shared" si="8"/>
        <v>68</v>
      </c>
      <c r="AD26" s="50">
        <v>20</v>
      </c>
      <c r="AG26" s="53">
        <f t="shared" si="9"/>
        <v>88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15</v>
      </c>
      <c r="H41" s="52"/>
      <c r="I41" s="69">
        <f t="shared" si="1"/>
        <v>15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15</v>
      </c>
      <c r="AA41" s="50">
        <v>10</v>
      </c>
      <c r="AB41" s="50">
        <v>16</v>
      </c>
      <c r="AC41" s="62">
        <f t="shared" si="8"/>
        <v>11</v>
      </c>
      <c r="AD41" s="50"/>
      <c r="AG41" s="53">
        <f t="shared" si="9"/>
        <v>11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1</v>
      </c>
      <c r="AA42" s="50"/>
      <c r="AB42" s="50"/>
      <c r="AC42" s="62">
        <f t="shared" si="8"/>
        <v>-1</v>
      </c>
      <c r="AD42" s="50"/>
      <c r="AG42" s="53">
        <f t="shared" si="9"/>
        <v>-1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1</v>
      </c>
      <c r="AA43" s="50"/>
      <c r="AB43" s="50"/>
      <c r="AC43" s="62">
        <f t="shared" si="8"/>
        <v>-1</v>
      </c>
      <c r="AD43" s="50"/>
      <c r="AG43" s="53">
        <f t="shared" si="9"/>
        <v>-1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1</v>
      </c>
      <c r="AA44" s="50"/>
      <c r="AB44" s="50"/>
      <c r="AC44" s="62">
        <f t="shared" si="8"/>
        <v>-1</v>
      </c>
      <c r="AD44" s="50"/>
      <c r="AG44" s="53">
        <f t="shared" si="9"/>
        <v>-1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1</v>
      </c>
      <c r="AA45" s="50"/>
      <c r="AB45" s="50"/>
      <c r="AC45" s="62">
        <f t="shared" si="8"/>
        <v>-1</v>
      </c>
      <c r="AD45" s="50"/>
      <c r="AG45" s="53">
        <f t="shared" si="9"/>
        <v>-1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1</v>
      </c>
      <c r="AA46" s="50"/>
      <c r="AB46" s="50"/>
      <c r="AC46" s="62">
        <f t="shared" si="8"/>
        <v>-1</v>
      </c>
      <c r="AD46" s="50"/>
      <c r="AG46" s="53">
        <f t="shared" si="9"/>
        <v>-1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1</v>
      </c>
      <c r="AA47" s="50"/>
      <c r="AB47" s="50"/>
      <c r="AC47" s="62">
        <f t="shared" si="8"/>
        <v>-1</v>
      </c>
      <c r="AD47" s="50"/>
      <c r="AG47" s="53">
        <f t="shared" si="9"/>
        <v>-1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1</v>
      </c>
      <c r="AA48" s="50"/>
      <c r="AB48" s="50"/>
      <c r="AC48" s="62">
        <f t="shared" si="8"/>
        <v>-1</v>
      </c>
      <c r="AD48" s="50"/>
      <c r="AG48" s="53">
        <f t="shared" si="9"/>
        <v>-1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1</v>
      </c>
      <c r="AA49" s="50"/>
      <c r="AB49" s="50"/>
      <c r="AC49" s="62">
        <f t="shared" si="8"/>
        <v>-1</v>
      </c>
      <c r="AD49" s="50"/>
      <c r="AF49" s="53"/>
      <c r="AG49" s="53">
        <f t="shared" si="9"/>
        <v>-1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1</v>
      </c>
      <c r="AA50" s="50"/>
      <c r="AB50" s="50"/>
      <c r="AC50" s="62">
        <f t="shared" si="8"/>
        <v>-1</v>
      </c>
      <c r="AD50" s="50"/>
      <c r="AG50" s="53">
        <f t="shared" si="9"/>
        <v>-1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1</v>
      </c>
      <c r="AA51" s="50"/>
      <c r="AB51" s="50"/>
      <c r="AC51" s="62">
        <f t="shared" si="8"/>
        <v>-1</v>
      </c>
      <c r="AD51" s="50"/>
      <c r="AG51" s="53">
        <f t="shared" si="9"/>
        <v>-1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>
        <v>1</v>
      </c>
      <c r="E53" s="52"/>
      <c r="F53" s="69">
        <f t="shared" si="0"/>
        <v>1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50</v>
      </c>
      <c r="N53" s="52"/>
      <c r="O53" s="69">
        <f t="shared" si="3"/>
        <v>50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51</v>
      </c>
      <c r="AA53" s="50">
        <v>65</v>
      </c>
      <c r="AB53" s="50">
        <v>24</v>
      </c>
      <c r="AC53" s="62">
        <f t="shared" si="8"/>
        <v>38</v>
      </c>
      <c r="AD53" s="50">
        <v>65</v>
      </c>
      <c r="AG53" s="53">
        <f t="shared" si="9"/>
        <v>103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>
        <v>1</v>
      </c>
      <c r="E55" s="52"/>
      <c r="F55" s="69">
        <f t="shared" si="0"/>
        <v>1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50</v>
      </c>
      <c r="N55" s="52"/>
      <c r="O55" s="69">
        <f t="shared" si="3"/>
        <v>50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51</v>
      </c>
      <c r="AA55" s="50">
        <v>65</v>
      </c>
      <c r="AB55" s="50">
        <v>17</v>
      </c>
      <c r="AC55" s="62">
        <f t="shared" si="8"/>
        <v>31</v>
      </c>
      <c r="AD55" s="50">
        <v>65</v>
      </c>
      <c r="AG55" s="53">
        <f t="shared" si="9"/>
        <v>96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1</v>
      </c>
      <c r="E57" s="52"/>
      <c r="F57" s="69">
        <f t="shared" si="0"/>
        <v>1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50</v>
      </c>
      <c r="N57" s="52"/>
      <c r="O57" s="69">
        <f t="shared" si="3"/>
        <v>50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51</v>
      </c>
      <c r="AA57" s="50">
        <v>65</v>
      </c>
      <c r="AB57" s="50">
        <v>27</v>
      </c>
      <c r="AC57" s="62">
        <f t="shared" si="8"/>
        <v>41</v>
      </c>
      <c r="AD57" s="50">
        <v>65</v>
      </c>
      <c r="AG57" s="53">
        <f t="shared" si="9"/>
        <v>106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>
        <v>1</v>
      </c>
      <c r="E59" s="52"/>
      <c r="F59" s="69">
        <f t="shared" si="0"/>
        <v>1</v>
      </c>
      <c r="G59" s="52"/>
      <c r="H59" s="52"/>
      <c r="I59" s="69">
        <f t="shared" si="1"/>
        <v>0</v>
      </c>
      <c r="J59" s="52">
        <v>4</v>
      </c>
      <c r="K59" s="52"/>
      <c r="L59" s="69">
        <f t="shared" si="2"/>
        <v>4</v>
      </c>
      <c r="M59" s="52">
        <v>50</v>
      </c>
      <c r="N59" s="52"/>
      <c r="O59" s="69">
        <f t="shared" si="3"/>
        <v>50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55</v>
      </c>
      <c r="AA59" s="50">
        <v>65</v>
      </c>
      <c r="AB59" s="50">
        <v>23</v>
      </c>
      <c r="AC59" s="62">
        <f t="shared" si="8"/>
        <v>33</v>
      </c>
      <c r="AD59" s="50">
        <v>65</v>
      </c>
      <c r="AG59" s="53">
        <f t="shared" si="9"/>
        <v>98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>
        <v>50</v>
      </c>
      <c r="N61" s="52"/>
      <c r="O61" s="69">
        <f t="shared" si="3"/>
        <v>50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50</v>
      </c>
      <c r="AA61" s="50">
        <v>65</v>
      </c>
      <c r="AB61" s="50">
        <v>24</v>
      </c>
      <c r="AC61" s="62">
        <f t="shared" si="8"/>
        <v>39</v>
      </c>
      <c r="AD61" s="50">
        <v>65</v>
      </c>
      <c r="AG61" s="53">
        <f t="shared" si="9"/>
        <v>104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>
        <v>50</v>
      </c>
      <c r="N63" s="52"/>
      <c r="O63" s="69">
        <f t="shared" si="3"/>
        <v>50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50</v>
      </c>
      <c r="AA63" s="50">
        <v>65</v>
      </c>
      <c r="AB63" s="50">
        <v>23</v>
      </c>
      <c r="AC63" s="62">
        <f t="shared" si="8"/>
        <v>38</v>
      </c>
      <c r="AD63" s="50">
        <v>65</v>
      </c>
      <c r="AG63" s="53">
        <f t="shared" si="9"/>
        <v>103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 hidden="1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6</v>
      </c>
      <c r="H67" s="52"/>
      <c r="I67" s="69">
        <f t="shared" si="1"/>
        <v>6</v>
      </c>
      <c r="J67" s="52"/>
      <c r="K67" s="52"/>
      <c r="L67" s="69">
        <f t="shared" si="2"/>
        <v>0</v>
      </c>
      <c r="M67" s="52">
        <v>17</v>
      </c>
      <c r="N67" s="52"/>
      <c r="O67" s="69">
        <f t="shared" si="3"/>
        <v>17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23</v>
      </c>
      <c r="AA67" s="50"/>
      <c r="AB67" s="50">
        <v>11</v>
      </c>
      <c r="AC67" s="62">
        <f t="shared" si="8"/>
        <v>-12</v>
      </c>
      <c r="AD67" s="50">
        <v>200</v>
      </c>
      <c r="AG67" s="53">
        <f t="shared" si="9"/>
        <v>188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6</v>
      </c>
      <c r="H68" s="52"/>
      <c r="I68" s="69">
        <f t="shared" si="1"/>
        <v>6</v>
      </c>
      <c r="J68" s="52"/>
      <c r="K68" s="52"/>
      <c r="L68" s="69">
        <f t="shared" si="2"/>
        <v>0</v>
      </c>
      <c r="M68" s="52">
        <v>14</v>
      </c>
      <c r="N68" s="52"/>
      <c r="O68" s="69">
        <f t="shared" si="3"/>
        <v>14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20</v>
      </c>
      <c r="AA68" s="50"/>
      <c r="AB68" s="50">
        <v>8</v>
      </c>
      <c r="AC68" s="62">
        <f t="shared" si="8"/>
        <v>-12</v>
      </c>
      <c r="AD68" s="50">
        <v>150</v>
      </c>
      <c r="AG68" s="53">
        <f t="shared" si="9"/>
        <v>138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5</v>
      </c>
      <c r="H69" s="52"/>
      <c r="I69" s="69">
        <f t="shared" ref="I69:I99" si="11">SUM(G69:H69)</f>
        <v>5</v>
      </c>
      <c r="J69" s="52"/>
      <c r="K69" s="52"/>
      <c r="L69" s="69">
        <f t="shared" ref="L69:L99" si="12">SUM(J69:K69)</f>
        <v>0</v>
      </c>
      <c r="M69" s="52">
        <v>14</v>
      </c>
      <c r="N69" s="52"/>
      <c r="O69" s="69">
        <f t="shared" ref="O69:O99" si="13">SUM(M69:N69)</f>
        <v>14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19</v>
      </c>
      <c r="AA69" s="50">
        <v>13</v>
      </c>
      <c r="AB69" s="50"/>
      <c r="AC69" s="62">
        <f t="shared" ref="AC69:AC99" si="18">+AA69+AB69-Z69</f>
        <v>-6</v>
      </c>
      <c r="AD69" s="50">
        <v>150</v>
      </c>
      <c r="AG69" s="53">
        <f t="shared" ref="AG69:AG100" si="19">AD69+AC69</f>
        <v>144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33</v>
      </c>
      <c r="H70" s="52"/>
      <c r="I70" s="69">
        <f t="shared" si="11"/>
        <v>33</v>
      </c>
      <c r="J70" s="52"/>
      <c r="K70" s="52"/>
      <c r="L70" s="69">
        <f t="shared" si="12"/>
        <v>0</v>
      </c>
      <c r="M70" s="52">
        <v>28</v>
      </c>
      <c r="N70" s="52"/>
      <c r="O70" s="69">
        <f t="shared" si="13"/>
        <v>28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61</v>
      </c>
      <c r="AA70" s="50">
        <v>50</v>
      </c>
      <c r="AB70" s="50">
        <v>4</v>
      </c>
      <c r="AC70" s="62">
        <f t="shared" si="18"/>
        <v>-7</v>
      </c>
      <c r="AD70" s="50">
        <v>40</v>
      </c>
      <c r="AG70" s="53">
        <f t="shared" si="19"/>
        <v>33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 hidden="1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7</v>
      </c>
      <c r="E75" s="52"/>
      <c r="F75" s="69">
        <f t="shared" si="10"/>
        <v>7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2</v>
      </c>
      <c r="N75" s="52"/>
      <c r="O75" s="69">
        <f t="shared" si="13"/>
        <v>2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9</v>
      </c>
      <c r="AA75" s="50"/>
      <c r="AB75" s="50">
        <v>10</v>
      </c>
      <c r="AC75" s="62">
        <f t="shared" si="18"/>
        <v>1</v>
      </c>
      <c r="AD75" s="50">
        <v>30</v>
      </c>
      <c r="AG75" s="53">
        <f t="shared" si="19"/>
        <v>31</v>
      </c>
    </row>
    <row r="76" spans="2:33">
      <c r="B76" s="50">
        <v>1113171</v>
      </c>
      <c r="C76" s="54" t="s">
        <v>88</v>
      </c>
      <c r="D76" s="52">
        <v>1</v>
      </c>
      <c r="E76" s="52"/>
      <c r="F76" s="69">
        <f t="shared" si="10"/>
        <v>1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1</v>
      </c>
      <c r="AA76" s="50"/>
      <c r="AB76" s="50">
        <v>3</v>
      </c>
      <c r="AC76" s="62">
        <f t="shared" si="18"/>
        <v>2</v>
      </c>
      <c r="AD76" s="50">
        <v>20</v>
      </c>
      <c r="AG76" s="53">
        <f t="shared" si="19"/>
        <v>22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>
        <v>10</v>
      </c>
      <c r="AG78" s="53">
        <f t="shared" si="19"/>
        <v>10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2</v>
      </c>
      <c r="H82" s="52"/>
      <c r="I82" s="69">
        <f t="shared" si="11"/>
        <v>2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2</v>
      </c>
      <c r="AA82" s="50"/>
      <c r="AB82" s="50"/>
      <c r="AC82" s="62">
        <f t="shared" si="18"/>
        <v>-2</v>
      </c>
      <c r="AD82" s="50"/>
      <c r="AG82" s="53">
        <f t="shared" si="19"/>
        <v>-2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1</v>
      </c>
      <c r="H83" s="52"/>
      <c r="I83" s="69">
        <f t="shared" si="11"/>
        <v>1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1</v>
      </c>
      <c r="AA83" s="50"/>
      <c r="AB83" s="50"/>
      <c r="AC83" s="62">
        <f t="shared" si="18"/>
        <v>-1</v>
      </c>
      <c r="AD83" s="50"/>
      <c r="AG83" s="53">
        <f t="shared" si="19"/>
        <v>-1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 hidden="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20</v>
      </c>
      <c r="G100" s="63">
        <f t="shared" si="20"/>
        <v>253</v>
      </c>
      <c r="H100" s="63">
        <f t="shared" si="20"/>
        <v>0</v>
      </c>
      <c r="I100" s="71">
        <f t="shared" si="20"/>
        <v>253</v>
      </c>
      <c r="J100" s="63">
        <f t="shared" si="20"/>
        <v>23</v>
      </c>
      <c r="K100" s="63">
        <f t="shared" si="20"/>
        <v>0</v>
      </c>
      <c r="L100" s="71">
        <f t="shared" si="20"/>
        <v>23</v>
      </c>
      <c r="M100" s="63">
        <f t="shared" si="20"/>
        <v>474</v>
      </c>
      <c r="N100" s="63">
        <f t="shared" si="20"/>
        <v>0</v>
      </c>
      <c r="O100" s="71">
        <f t="shared" si="20"/>
        <v>474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10</v>
      </c>
      <c r="Z100" s="63">
        <f>SUM(Z4:Z99)</f>
        <v>780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653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339</v>
      </c>
      <c r="AC100" s="63">
        <f t="shared" si="21"/>
        <v>212</v>
      </c>
      <c r="AD100" s="63">
        <f t="shared" si="21"/>
        <v>1170</v>
      </c>
      <c r="AG100" s="53">
        <f t="shared" si="19"/>
        <v>1382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  <mergeCell ref="B100:C100"/>
    <mergeCell ref="Y2:Y3"/>
    <mergeCell ref="Z2:Z3"/>
    <mergeCell ref="AA2:AA3"/>
    <mergeCell ref="AB2:AB3"/>
  </mergeCells>
  <pageMargins left="0.7" right="0.7" top="0.75" bottom="0.75" header="0.3" footer="0.3"/>
  <pageSetup paperSize="9" scale="1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filterMode="1"/>
  <dimension ref="A1:Z112"/>
  <sheetViews>
    <sheetView zoomScale="50" zoomScaleNormal="50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U15" sqref="U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16384" width="8.85546875" style="49"/>
  </cols>
  <sheetData>
    <row r="1" spans="2:26" ht="68.25">
      <c r="B1" s="85" t="s">
        <v>219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2:26" ht="49.9" customHeight="1">
      <c r="B2" s="86" t="s">
        <v>3</v>
      </c>
      <c r="C2" s="86" t="s">
        <v>4</v>
      </c>
      <c r="D2" s="106" t="s">
        <v>5</v>
      </c>
      <c r="E2" s="106"/>
      <c r="F2" s="106"/>
      <c r="G2" s="106" t="s">
        <v>6</v>
      </c>
      <c r="H2" s="106"/>
      <c r="I2" s="106"/>
      <c r="J2" s="106" t="s">
        <v>7</v>
      </c>
      <c r="K2" s="106"/>
      <c r="L2" s="106"/>
      <c r="M2" s="98" t="s">
        <v>8</v>
      </c>
      <c r="N2" s="99"/>
      <c r="O2" s="100"/>
      <c r="P2" s="98" t="s">
        <v>132</v>
      </c>
      <c r="Q2" s="99"/>
      <c r="R2" s="100"/>
      <c r="S2" s="98" t="s">
        <v>9</v>
      </c>
      <c r="T2" s="99"/>
      <c r="U2" s="100"/>
      <c r="V2" s="106" t="s">
        <v>131</v>
      </c>
      <c r="W2" s="106"/>
      <c r="X2" s="106"/>
      <c r="Y2" s="88" t="s">
        <v>134</v>
      </c>
      <c r="Z2" s="90" t="s">
        <v>204</v>
      </c>
    </row>
    <row r="3" spans="2:26" ht="49.9" customHeight="1">
      <c r="B3" s="87"/>
      <c r="C3" s="87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89"/>
      <c r="Z3" s="91"/>
    </row>
    <row r="4" spans="2:26">
      <c r="B4" s="50">
        <v>1004055</v>
      </c>
      <c r="C4" s="51" t="s">
        <v>149</v>
      </c>
      <c r="D4" s="52">
        <f>+'19.08.2568'!D4+'20.8.2568'!D4+'21.08.2568'!D4+'22.08.2568'!D4+'23.08.2568'!D4+'24.082568'!D4+'25.08.2568'!D4+'26.08.256'!D4+'27.08.2568'!D4+'28.08.2568'!D4+'29.08.2568'!D4+'30.08.2568'!D4+'31.08.2568'!D4</f>
        <v>10</v>
      </c>
      <c r="E4" s="52">
        <f>+'19.08.2568'!E4+'20.8.2568'!E4+'21.08.2568'!E4+'22.08.2568'!E4+'23.08.2568'!E4+'24.082568'!E4+'25.08.2568'!E4+'26.08.256'!E4+'27.08.2568'!E4+'28.08.2568'!E4+'29.08.2568'!E4+'30.08.2568'!E4+'31.08.2568'!E4</f>
        <v>0</v>
      </c>
      <c r="F4" s="69">
        <f>SUM(D4:E4)</f>
        <v>10</v>
      </c>
      <c r="G4" s="52">
        <f>+'19.08.2568'!G4+'20.8.2568'!G4+'21.08.2568'!G4+'22.08.2568'!G4+'23.08.2568'!G4+'24.082568'!G4+'25.08.2568'!G4+'26.08.256'!G4+'27.08.2568'!G4+'28.08.2568'!G4+'29.08.2568'!G4+'30.08.2568'!G4+'31.08.2568'!G4</f>
        <v>28</v>
      </c>
      <c r="H4" s="52">
        <f>+'19.08.2568'!H4+'20.8.2568'!H4+'21.08.2568'!H4+'22.08.2568'!H4+'23.08.2568'!H4+'24.082568'!H4+'25.08.2568'!H4+'26.08.256'!H4+'27.08.2568'!H4+'28.08.2568'!H4+'29.08.2568'!H4+'30.08.2568'!H4+'31.08.2568'!H4</f>
        <v>0</v>
      </c>
      <c r="I4" s="69">
        <f>G4+H4</f>
        <v>28</v>
      </c>
      <c r="J4" s="52">
        <f>+'19.08.2568'!J4+'20.8.2568'!J4+'21.08.2568'!J4+'22.08.2568'!J4+'23.08.2568'!J4+'24.082568'!J4+'25.08.2568'!J4+'26.08.256'!J4+'27.08.2568'!J4+'28.08.2568'!J4+'29.08.2568'!J4+'30.08.2568'!J4+'31.08.2568'!J4</f>
        <v>0</v>
      </c>
      <c r="K4" s="52">
        <f>+'19.08.2568'!K4+'20.8.2568'!K4+'21.08.2568'!K4+'22.08.2568'!K4+'23.08.2568'!K4+'24.082568'!K4+'25.08.2568'!K4+'26.08.256'!K4+'27.08.2568'!K4+'28.08.2568'!K4+'29.08.2568'!K4+'30.08.2568'!K4+'31.08.2568'!K4</f>
        <v>0</v>
      </c>
      <c r="L4" s="69">
        <f t="shared" ref="L4:L68" si="0">SUM(J4:K4)</f>
        <v>0</v>
      </c>
      <c r="M4" s="52">
        <f>+'19.08.2568'!M4+'20.8.2568'!M4+'21.08.2568'!M4+'22.08.2568'!M4+'23.08.2568'!M4+'24.082568'!M4+'25.08.2568'!M4+'26.08.256'!M4+'27.08.2568'!M4+'28.08.2568'!M4+'29.08.2568'!M4+'30.08.2568'!M4+'31.08.2568'!M4</f>
        <v>594</v>
      </c>
      <c r="N4" s="52">
        <f>+'19.08.2568'!N4+'20.8.2568'!N4+'21.08.2568'!N4+'22.08.2568'!N4+'23.08.2568'!N4+'24.082568'!N4+'25.08.2568'!N4+'26.08.256'!N4+'27.08.2568'!N4+'28.08.2568'!N4+'29.08.2568'!N4+'30.08.2568'!N4+'31.08.2568'!N4</f>
        <v>0</v>
      </c>
      <c r="O4" s="69">
        <f t="shared" ref="O4:O68" si="1">SUM(M4:N4)</f>
        <v>594</v>
      </c>
      <c r="P4" s="52">
        <f>+'19.08.2568'!P4+'20.8.2568'!P4+'21.08.2568'!P4+'22.08.2568'!P4+'23.08.2568'!P4+'24.082568'!P4+'25.08.2568'!P4+'26.08.256'!P4+'27.08.2568'!P4+'28.08.2568'!P4+'29.08.2568'!P4+'30.08.2568'!P4+'31.08.2568'!P4</f>
        <v>3</v>
      </c>
      <c r="Q4" s="52">
        <f>+'19.08.2568'!Q4+'20.8.2568'!Q4+'21.08.2568'!Q4+'22.08.2568'!Q4+'23.08.2568'!Q4+'24.082568'!Q4+'25.08.2568'!Q4+'26.08.256'!Q4+'27.08.2568'!Q4+'28.08.2568'!Q4+'29.08.2568'!Q4+'30.08.2568'!Q4+'31.08.2568'!Q4</f>
        <v>0</v>
      </c>
      <c r="R4" s="69">
        <f t="shared" ref="R4:R68" si="2">SUM(P4:Q4)</f>
        <v>3</v>
      </c>
      <c r="S4" s="52">
        <f>+'19.08.2568'!S4+'20.8.2568'!S4+'21.08.2568'!S4+'22.08.2568'!S4+'23.08.2568'!S4+'24.082568'!S4+'25.08.2568'!S4+'26.08.256'!S4+'27.08.2568'!S4+'28.08.2568'!S4+'29.08.2568'!S4+'30.08.2568'!S4+'31.08.2568'!S4</f>
        <v>0</v>
      </c>
      <c r="T4" s="52">
        <f>+'19.08.2568'!T4+'20.8.2568'!T4+'21.08.2568'!T4+'22.08.2568'!T4+'23.08.2568'!T4+'24.082568'!T4+'25.08.2568'!T4+'26.08.256'!T4+'27.08.2568'!T4+'28.08.2568'!T4+'29.08.2568'!T4+'30.08.2568'!T4+'31.08.2568'!T4</f>
        <v>0</v>
      </c>
      <c r="U4" s="69">
        <f t="shared" ref="U4:U68" si="3">SUM(S4:T4)</f>
        <v>0</v>
      </c>
      <c r="V4" s="52">
        <f>+'19.08.2568'!V4+'20.8.2568'!V4+'21.08.2568'!V4+'22.08.2568'!V4+'23.08.2568'!V4+'24.082568'!V4+'25.08.2568'!V4+'26.08.256'!V4+'27.08.2568'!V4+'28.08.2568'!V4+'29.08.2568'!V4+'30.08.2568'!V4+'31.08.2568'!V4</f>
        <v>0</v>
      </c>
      <c r="W4" s="52">
        <f>+'19.08.2568'!W4+'20.8.2568'!W4+'21.08.2568'!W4+'22.08.2568'!W4+'23.08.2568'!W4+'24.082568'!W4+'25.08.2568'!W4+'26.08.256'!W4+'27.08.2568'!W4+'28.08.2568'!W4+'29.08.2568'!W4+'30.08.2568'!W4+'31.08.2568'!W4</f>
        <v>0</v>
      </c>
      <c r="X4" s="69">
        <f t="shared" ref="X4:X68" si="4">SUM(V4:W4)</f>
        <v>0</v>
      </c>
      <c r="Y4" s="52">
        <f>+'19.08.2568'!Y4+'20.8.2568'!Y4+'21.08.2568'!Y4+'22.08.2568'!Y4+'23.08.2568'!Y4+'24.082568'!Y4+'25.08.2568'!Y4+'26.08.256'!Y4+'27.08.2568'!Y4+'28.08.2568'!Y4+'29.08.2568'!Y4+'30.08.2568'!Y4+'31.08.2568'!Y4</f>
        <v>48</v>
      </c>
      <c r="Z4" s="75">
        <f>+F4+I4+L4+O4+R4+U4+X4+Y4</f>
        <v>683</v>
      </c>
    </row>
    <row r="5" spans="2:26">
      <c r="B5" s="50">
        <v>1111002</v>
      </c>
      <c r="C5" s="51" t="s">
        <v>150</v>
      </c>
      <c r="D5" s="52">
        <f>+'19.08.2568'!D5+'20.8.2568'!D5+'21.08.2568'!D5+'22.08.2568'!D5+'23.08.2568'!D5+'24.082568'!D5+'25.08.2568'!D5+'26.08.256'!D5+'27.08.2568'!D5+'28.08.2568'!D5+'29.08.2568'!D5+'30.08.2568'!D5+'31.08.2568'!D5</f>
        <v>13</v>
      </c>
      <c r="E5" s="52">
        <f>+'19.08.2568'!E5+'20.8.2568'!E5+'21.08.2568'!E5+'22.08.2568'!E5+'23.08.2568'!E5+'24.082568'!E5+'25.08.2568'!E5+'26.08.256'!E5+'27.08.2568'!E5+'28.08.2568'!E5+'29.08.2568'!E5+'30.08.2568'!E5+'31.08.2568'!E5</f>
        <v>0</v>
      </c>
      <c r="F5" s="69">
        <f t="shared" ref="F5:F68" si="5">SUM(D5:E5)</f>
        <v>13</v>
      </c>
      <c r="G5" s="52">
        <f>+'19.08.2568'!G5+'20.8.2568'!G5+'21.08.2568'!G5+'22.08.2568'!G5+'23.08.2568'!G5+'24.082568'!G5+'25.08.2568'!G5+'26.08.256'!G5+'27.08.2568'!G5+'28.08.2568'!G5+'29.08.2568'!G5+'30.08.2568'!G5+'31.08.2568'!G5</f>
        <v>489</v>
      </c>
      <c r="H5" s="52">
        <f>+'19.08.2568'!H5+'20.8.2568'!H5+'21.08.2568'!H5+'22.08.2568'!H5+'23.08.2568'!H5+'24.082568'!H5+'25.08.2568'!H5+'26.08.256'!H5+'27.08.2568'!H5+'28.08.2568'!H5+'29.08.2568'!H5+'30.08.2568'!H5+'31.08.2568'!H5</f>
        <v>0</v>
      </c>
      <c r="I5" s="69">
        <f t="shared" ref="I5:I68" si="6">SUM(G5:H5)</f>
        <v>489</v>
      </c>
      <c r="J5" s="52">
        <f>+'19.08.2568'!J5+'20.8.2568'!J5+'21.08.2568'!J5+'22.08.2568'!J5+'23.08.2568'!J5+'24.082568'!J5+'25.08.2568'!J5+'26.08.256'!J5+'27.08.2568'!J5+'28.08.2568'!J5+'29.08.2568'!J5+'30.08.2568'!J5+'31.08.2568'!J5</f>
        <v>277</v>
      </c>
      <c r="K5" s="52">
        <f>+'19.08.2568'!K5+'20.8.2568'!K5+'21.08.2568'!K5+'22.08.2568'!K5+'23.08.2568'!K5+'24.082568'!K5+'25.08.2568'!K5+'26.08.256'!K5+'27.08.2568'!K5+'28.08.2568'!K5+'29.08.2568'!K5+'30.08.2568'!K5+'31.08.2568'!K5</f>
        <v>0</v>
      </c>
      <c r="L5" s="69">
        <f t="shared" si="0"/>
        <v>277</v>
      </c>
      <c r="M5" s="52">
        <f>+'19.08.2568'!M5+'20.8.2568'!M5+'21.08.2568'!M5+'22.08.2568'!M5+'23.08.2568'!M5+'24.082568'!M5+'25.08.2568'!M5+'26.08.256'!M5+'27.08.2568'!M5+'28.08.2568'!M5+'29.08.2568'!M5+'30.08.2568'!M5+'31.08.2568'!M5</f>
        <v>116</v>
      </c>
      <c r="N5" s="52">
        <f>+'19.08.2568'!N5+'20.8.2568'!N5+'21.08.2568'!N5+'22.08.2568'!N5+'23.08.2568'!N5+'24.082568'!N5+'25.08.2568'!N5+'26.08.256'!N5+'27.08.2568'!N5+'28.08.2568'!N5+'29.08.2568'!N5+'30.08.2568'!N5+'31.08.2568'!N5</f>
        <v>0</v>
      </c>
      <c r="O5" s="69">
        <f t="shared" si="1"/>
        <v>116</v>
      </c>
      <c r="P5" s="52">
        <f>+'19.08.2568'!P5+'20.8.2568'!P5+'21.08.2568'!P5+'22.08.2568'!P5+'23.08.2568'!P5+'24.082568'!P5+'25.08.2568'!P5+'26.08.256'!P5+'27.08.2568'!P5+'28.08.2568'!P5+'29.08.2568'!P5+'30.08.2568'!P5+'31.08.2568'!P5</f>
        <v>0</v>
      </c>
      <c r="Q5" s="52">
        <f>+'19.08.2568'!Q5+'20.8.2568'!Q5+'21.08.2568'!Q5+'22.08.2568'!Q5+'23.08.2568'!Q5+'24.082568'!Q5+'25.08.2568'!Q5+'26.08.256'!Q5+'27.08.2568'!Q5+'28.08.2568'!Q5+'29.08.2568'!Q5+'30.08.2568'!Q5+'31.08.2568'!Q5</f>
        <v>0</v>
      </c>
      <c r="R5" s="69">
        <f t="shared" si="2"/>
        <v>0</v>
      </c>
      <c r="S5" s="52"/>
      <c r="T5" s="52"/>
      <c r="U5" s="69">
        <f t="shared" si="3"/>
        <v>0</v>
      </c>
      <c r="V5" s="52"/>
      <c r="W5" s="52"/>
      <c r="X5" s="69">
        <f t="shared" si="4"/>
        <v>0</v>
      </c>
      <c r="Y5" s="52">
        <f>+'19.08.2568'!Y5+'20.8.2568'!Y5+'21.08.2568'!Y5+'22.08.2568'!Y5+'23.08.2568'!Y5+'24.082568'!Y5+'25.08.2568'!Y5+'26.08.256'!Y5+'27.08.2568'!Y5+'28.08.2568'!Y5+'29.08.2568'!Y5+'30.08.2568'!Y5+'31.08.2568'!Y5</f>
        <v>105</v>
      </c>
      <c r="Z5" s="75">
        <f>+F5+I5+L5+O5+R5+U5+X5+Y5</f>
        <v>1000</v>
      </c>
    </row>
    <row r="6" spans="2:26" hidden="1">
      <c r="B6" s="50">
        <v>1111055</v>
      </c>
      <c r="C6" s="51" t="s">
        <v>151</v>
      </c>
      <c r="D6" s="52">
        <f>+'19.08.2568'!D6+'20.8.2568'!D6+'21.08.2568'!D6+'22.08.2568'!D6+'23.08.2568'!D6+'24.082568'!D6+'25.08.2568'!D6+'26.08.256'!D6+'27.08.2568'!D6+'28.08.2568'!D6+'29.08.2568'!D6+'30.08.2568'!D6+'31.08.2568'!D6</f>
        <v>0</v>
      </c>
      <c r="E6" s="52">
        <f>+'19.08.2568'!E6+'20.8.2568'!E6+'21.08.2568'!E6+'22.08.2568'!E6+'23.08.2568'!E6+'24.082568'!E6+'25.08.2568'!E6+'26.08.256'!E6+'27.08.2568'!E6+'28.08.2568'!E6+'29.08.2568'!E6+'30.08.2568'!E6+'31.08.2568'!E6</f>
        <v>0</v>
      </c>
      <c r="F6" s="69">
        <f t="shared" si="5"/>
        <v>0</v>
      </c>
      <c r="G6" s="52">
        <f>+'19.08.2568'!G6+'20.8.2568'!G6+'21.08.2568'!G6+'22.08.2568'!G6+'23.08.2568'!G6+'24.082568'!G6+'25.08.2568'!G6+'26.08.256'!G6+'27.08.2568'!G6+'28.08.2568'!G6+'29.08.2568'!G6+'30.08.2568'!G6+'31.08.2568'!G6</f>
        <v>0</v>
      </c>
      <c r="H6" s="52">
        <f>+'19.08.2568'!H6+'20.8.2568'!H6+'21.08.2568'!H6+'22.08.2568'!H6+'23.08.2568'!H6+'24.082568'!H6+'25.08.2568'!H6+'26.08.256'!H6+'27.08.2568'!H6+'28.08.2568'!H6+'29.08.2568'!H6+'30.08.2568'!H6+'31.08.2568'!H6</f>
        <v>0</v>
      </c>
      <c r="I6" s="69">
        <f t="shared" si="6"/>
        <v>0</v>
      </c>
      <c r="J6" s="52">
        <f>+'19.08.2568'!J6+'20.8.2568'!J6+'21.08.2568'!J6+'22.08.2568'!J6+'23.08.2568'!J6+'24.082568'!J6+'25.08.2568'!J6+'26.08.256'!J6+'27.08.2568'!J6+'28.08.2568'!J6+'29.08.2568'!J6+'30.08.2568'!J6+'31.08.2568'!J6</f>
        <v>0</v>
      </c>
      <c r="K6" s="52">
        <f>+'19.08.2568'!K6+'20.8.2568'!K6+'21.08.2568'!K6+'22.08.2568'!K6+'23.08.2568'!K6+'24.082568'!K6+'25.08.2568'!K6+'26.08.256'!K6+'27.08.2568'!K6+'28.08.2568'!K6+'29.08.2568'!K6+'30.08.2568'!K6+'31.08.2568'!K6</f>
        <v>0</v>
      </c>
      <c r="L6" s="69">
        <f t="shared" si="0"/>
        <v>0</v>
      </c>
      <c r="M6" s="52">
        <f>+'19.08.2568'!M6+'20.8.2568'!M6+'21.08.2568'!M6+'22.08.2568'!M6+'23.08.2568'!M6+'24.082568'!M6+'25.08.2568'!M6+'26.08.256'!M6+'27.08.2568'!M6+'28.08.2568'!M6+'29.08.2568'!M6+'30.08.2568'!M6+'31.08.2568'!M6</f>
        <v>0</v>
      </c>
      <c r="N6" s="52">
        <f>+'19.08.2568'!N6+'20.8.2568'!N6+'21.08.2568'!N6+'22.08.2568'!N6+'23.08.2568'!N6+'24.082568'!N6+'25.08.2568'!N6+'26.08.256'!N6+'27.08.2568'!N6+'28.08.2568'!N6+'29.08.2568'!N6+'30.08.2568'!N6+'31.08.2568'!N6</f>
        <v>0</v>
      </c>
      <c r="O6" s="69">
        <f t="shared" si="1"/>
        <v>0</v>
      </c>
      <c r="P6" s="52">
        <f>+'19.08.2568'!P6+'20.8.2568'!P6+'21.08.2568'!P6+'22.08.2568'!P6+'23.08.2568'!P6+'24.082568'!P6+'25.08.2568'!P6+'26.08.256'!P6+'27.08.2568'!P6+'28.08.2568'!P6+'29.08.2568'!P6+'30.08.2568'!P6+'31.08.2568'!P6</f>
        <v>0</v>
      </c>
      <c r="Q6" s="52">
        <f>+'19.08.2568'!Q6+'20.8.2568'!Q6+'21.08.2568'!Q6+'22.08.2568'!Q6+'23.08.2568'!Q6+'24.082568'!Q6+'25.08.2568'!Q6+'26.08.256'!Q6+'27.08.2568'!Q6+'28.08.2568'!Q6+'29.08.2568'!Q6+'30.08.2568'!Q6+'31.08.2568'!Q6</f>
        <v>0</v>
      </c>
      <c r="R6" s="69">
        <f t="shared" si="2"/>
        <v>0</v>
      </c>
      <c r="S6" s="52"/>
      <c r="T6" s="52"/>
      <c r="U6" s="69">
        <f t="shared" si="3"/>
        <v>0</v>
      </c>
      <c r="V6" s="52"/>
      <c r="W6" s="52"/>
      <c r="X6" s="69">
        <f t="shared" si="4"/>
        <v>0</v>
      </c>
      <c r="Y6" s="52">
        <f>+'19.08.2568'!Y6+'20.8.2568'!Y6+'21.08.2568'!Y6+'22.08.2568'!Y6+'23.08.2568'!Y6+'24.082568'!Y6+'25.08.2568'!Y6+'26.08.256'!Y6+'27.08.2568'!Y6+'28.08.2568'!Y6+'29.08.2568'!Y6+'30.08.2568'!Y6+'31.08.2568'!Y6</f>
        <v>0</v>
      </c>
      <c r="Z6" s="64">
        <f t="shared" ref="Z6:Z68" si="7">+F6+I6+L6+O6+R6+U6+X6+Y6</f>
        <v>0</v>
      </c>
    </row>
    <row r="7" spans="2:26" hidden="1">
      <c r="B7" s="50">
        <v>1111084</v>
      </c>
      <c r="C7" s="51" t="s">
        <v>152</v>
      </c>
      <c r="D7" s="52">
        <f>+'19.08.2568'!D7+'20.8.2568'!D7+'21.08.2568'!D7+'22.08.2568'!D7+'23.08.2568'!D7+'24.082568'!D7+'25.08.2568'!D7+'26.08.256'!D7+'27.08.2568'!D7+'28.08.2568'!D7+'29.08.2568'!D7+'30.08.2568'!D7+'31.08.2568'!D7</f>
        <v>0</v>
      </c>
      <c r="E7" s="52">
        <f>+'19.08.2568'!E7+'20.8.2568'!E7+'21.08.2568'!E7+'22.08.2568'!E7+'23.08.2568'!E7+'24.082568'!E7+'25.08.2568'!E7+'26.08.256'!E7+'27.08.2568'!E7+'28.08.2568'!E7+'29.08.2568'!E7+'30.08.2568'!E7+'31.08.2568'!E7</f>
        <v>0</v>
      </c>
      <c r="F7" s="69">
        <f t="shared" si="5"/>
        <v>0</v>
      </c>
      <c r="G7" s="52">
        <f>+'19.08.2568'!G7+'20.8.2568'!G7+'21.08.2568'!G7+'22.08.2568'!G7+'23.08.2568'!G7+'24.082568'!G7+'25.08.2568'!G7+'26.08.256'!G7+'27.08.2568'!G7+'28.08.2568'!G7+'29.08.2568'!G7+'30.08.2568'!G7+'31.08.2568'!G7</f>
        <v>0</v>
      </c>
      <c r="H7" s="52">
        <f>+'19.08.2568'!H7+'20.8.2568'!H7+'21.08.2568'!H7+'22.08.2568'!H7+'23.08.2568'!H7+'24.082568'!H7+'25.08.2568'!H7+'26.08.256'!H7+'27.08.2568'!H7+'28.08.2568'!H7+'29.08.2568'!H7+'30.08.2568'!H7+'31.08.2568'!H7</f>
        <v>0</v>
      </c>
      <c r="I7" s="69">
        <f t="shared" si="6"/>
        <v>0</v>
      </c>
      <c r="J7" s="52">
        <f>+'19.08.2568'!J7+'20.8.2568'!J7+'21.08.2568'!J7+'22.08.2568'!J7+'23.08.2568'!J7+'24.082568'!J7+'25.08.2568'!J7+'26.08.256'!J7+'27.08.2568'!J7+'28.08.2568'!J7+'29.08.2568'!J7+'30.08.2568'!J7+'31.08.2568'!J7</f>
        <v>0</v>
      </c>
      <c r="K7" s="52">
        <f>+'19.08.2568'!K7+'20.8.2568'!K7+'21.08.2568'!K7+'22.08.2568'!K7+'23.08.2568'!K7+'24.082568'!K7+'25.08.2568'!K7+'26.08.256'!K7+'27.08.2568'!K7+'28.08.2568'!K7+'29.08.2568'!K7+'30.08.2568'!K7+'31.08.2568'!K7</f>
        <v>0</v>
      </c>
      <c r="L7" s="69">
        <f t="shared" si="0"/>
        <v>0</v>
      </c>
      <c r="M7" s="52">
        <f>+'19.08.2568'!M7+'20.8.2568'!M7+'21.08.2568'!M7+'22.08.2568'!M7+'23.08.2568'!M7+'24.082568'!M7+'25.08.2568'!M7+'26.08.256'!M7+'27.08.2568'!M7+'28.08.2568'!M7+'29.08.2568'!M7+'30.08.2568'!M7+'31.08.2568'!M7</f>
        <v>0</v>
      </c>
      <c r="N7" s="52">
        <f>+'19.08.2568'!N7+'20.8.2568'!N7+'21.08.2568'!N7+'22.08.2568'!N7+'23.08.2568'!N7+'24.082568'!N7+'25.08.2568'!N7+'26.08.256'!N7+'27.08.2568'!N7+'28.08.2568'!N7+'29.08.2568'!N7+'30.08.2568'!N7+'31.08.2568'!N7</f>
        <v>0</v>
      </c>
      <c r="O7" s="69">
        <f t="shared" si="1"/>
        <v>0</v>
      </c>
      <c r="P7" s="52">
        <f>+'19.08.2568'!P7+'20.8.2568'!P7+'21.08.2568'!P7+'22.08.2568'!P7+'23.08.2568'!P7+'24.082568'!P7+'25.08.2568'!P7+'26.08.256'!P7+'27.08.2568'!P7+'28.08.2568'!P7+'29.08.2568'!P7+'30.08.2568'!P7+'31.08.2568'!P7</f>
        <v>0</v>
      </c>
      <c r="Q7" s="52">
        <f>+'19.08.2568'!Q7+'20.8.2568'!Q7+'21.08.2568'!Q7+'22.08.2568'!Q7+'23.08.2568'!Q7+'24.082568'!Q7+'25.08.2568'!Q7+'26.08.256'!Q7+'27.08.2568'!Q7+'28.08.2568'!Q7+'29.08.2568'!Q7+'30.08.2568'!Q7+'31.08.2568'!Q7</f>
        <v>0</v>
      </c>
      <c r="R7" s="69">
        <f t="shared" si="2"/>
        <v>0</v>
      </c>
      <c r="S7" s="52"/>
      <c r="T7" s="52"/>
      <c r="U7" s="69">
        <f t="shared" si="3"/>
        <v>0</v>
      </c>
      <c r="V7" s="52"/>
      <c r="W7" s="52"/>
      <c r="X7" s="69">
        <f t="shared" si="4"/>
        <v>0</v>
      </c>
      <c r="Y7" s="52">
        <f>+'19.08.2568'!Y7+'20.8.2568'!Y7+'21.08.2568'!Y7+'22.08.2568'!Y7+'23.08.2568'!Y7+'24.082568'!Y7+'25.08.2568'!Y7+'26.08.256'!Y7+'27.08.2568'!Y7+'28.08.2568'!Y7+'29.08.2568'!Y7+'30.08.2568'!Y7+'31.08.2568'!Y7</f>
        <v>0</v>
      </c>
      <c r="Z7" s="64">
        <f t="shared" si="7"/>
        <v>0</v>
      </c>
    </row>
    <row r="8" spans="2:26" hidden="1">
      <c r="B8" s="50">
        <v>1111043</v>
      </c>
      <c r="C8" s="51" t="s">
        <v>153</v>
      </c>
      <c r="D8" s="52">
        <f>+'19.08.2568'!D8+'20.8.2568'!D8+'21.08.2568'!D8+'22.08.2568'!D8+'23.08.2568'!D8+'24.082568'!D8+'25.08.2568'!D8+'26.08.256'!D8+'27.08.2568'!D8+'28.08.2568'!D8+'29.08.2568'!D8+'30.08.2568'!D8+'31.08.2568'!D8</f>
        <v>0</v>
      </c>
      <c r="E8" s="52">
        <f>+'19.08.2568'!E8+'20.8.2568'!E8+'21.08.2568'!E8+'22.08.2568'!E8+'23.08.2568'!E8+'24.082568'!E8+'25.08.2568'!E8+'26.08.256'!E8+'27.08.2568'!E8+'28.08.2568'!E8+'29.08.2568'!E8+'30.08.2568'!E8+'31.08.2568'!E8</f>
        <v>0</v>
      </c>
      <c r="F8" s="69">
        <f t="shared" si="5"/>
        <v>0</v>
      </c>
      <c r="G8" s="52">
        <f>+'19.08.2568'!G8+'20.8.2568'!G8+'21.08.2568'!G8+'22.08.2568'!G8+'23.08.2568'!G8+'24.082568'!G8+'25.08.2568'!G8+'26.08.256'!G8+'27.08.2568'!G8+'28.08.2568'!G8+'29.08.2568'!G8+'30.08.2568'!G8+'31.08.2568'!G8</f>
        <v>0</v>
      </c>
      <c r="H8" s="52">
        <f>+'19.08.2568'!H8+'20.8.2568'!H8+'21.08.2568'!H8+'22.08.2568'!H8+'23.08.2568'!H8+'24.082568'!H8+'25.08.2568'!H8+'26.08.256'!H8+'27.08.2568'!H8+'28.08.2568'!H8+'29.08.2568'!H8+'30.08.2568'!H8+'31.08.2568'!H8</f>
        <v>0</v>
      </c>
      <c r="I8" s="69">
        <f t="shared" si="6"/>
        <v>0</v>
      </c>
      <c r="J8" s="52">
        <f>+'19.08.2568'!J8+'20.8.2568'!J8+'21.08.2568'!J8+'22.08.2568'!J8+'23.08.2568'!J8+'24.082568'!J8+'25.08.2568'!J8+'26.08.256'!J8+'27.08.2568'!J8+'28.08.2568'!J8+'29.08.2568'!J8+'30.08.2568'!J8+'31.08.2568'!J8</f>
        <v>0</v>
      </c>
      <c r="K8" s="52">
        <f>+'19.08.2568'!K8+'20.8.2568'!K8+'21.08.2568'!K8+'22.08.2568'!K8+'23.08.2568'!K8+'24.082568'!K8+'25.08.2568'!K8+'26.08.256'!K8+'27.08.2568'!K8+'28.08.2568'!K8+'29.08.2568'!K8+'30.08.2568'!K8+'31.08.2568'!K8</f>
        <v>0</v>
      </c>
      <c r="L8" s="69">
        <f t="shared" si="0"/>
        <v>0</v>
      </c>
      <c r="M8" s="52">
        <f>+'19.08.2568'!M8+'20.8.2568'!M8+'21.08.2568'!M8+'22.08.2568'!M8+'23.08.2568'!M8+'24.082568'!M8+'25.08.2568'!M8+'26.08.256'!M8+'27.08.2568'!M8+'28.08.2568'!M8+'29.08.2568'!M8+'30.08.2568'!M8+'31.08.2568'!M8</f>
        <v>0</v>
      </c>
      <c r="N8" s="52">
        <f>+'19.08.2568'!N8+'20.8.2568'!N8+'21.08.2568'!N8+'22.08.2568'!N8+'23.08.2568'!N8+'24.082568'!N8+'25.08.2568'!N8+'26.08.256'!N8+'27.08.2568'!N8+'28.08.2568'!N8+'29.08.2568'!N8+'30.08.2568'!N8+'31.08.2568'!N8</f>
        <v>0</v>
      </c>
      <c r="O8" s="69">
        <f t="shared" si="1"/>
        <v>0</v>
      </c>
      <c r="P8" s="52">
        <f>+'19.08.2568'!P8+'20.8.2568'!P8+'21.08.2568'!P8+'22.08.2568'!P8+'23.08.2568'!P8+'24.082568'!P8+'25.08.2568'!P8+'26.08.256'!P8+'27.08.2568'!P8+'28.08.2568'!P8+'29.08.2568'!P8+'30.08.2568'!P8+'31.08.2568'!P8</f>
        <v>0</v>
      </c>
      <c r="Q8" s="52">
        <f>+'19.08.2568'!Q8+'20.8.2568'!Q8+'21.08.2568'!Q8+'22.08.2568'!Q8+'23.08.2568'!Q8+'24.082568'!Q8+'25.08.2568'!Q8+'26.08.256'!Q8+'27.08.2568'!Q8+'28.08.2568'!Q8+'29.08.2568'!Q8+'30.08.2568'!Q8+'31.08.2568'!Q8</f>
        <v>0</v>
      </c>
      <c r="R8" s="69">
        <f t="shared" si="2"/>
        <v>0</v>
      </c>
      <c r="S8" s="52"/>
      <c r="T8" s="52"/>
      <c r="U8" s="69">
        <f t="shared" si="3"/>
        <v>0</v>
      </c>
      <c r="V8" s="52"/>
      <c r="W8" s="52"/>
      <c r="X8" s="69">
        <f t="shared" si="4"/>
        <v>0</v>
      </c>
      <c r="Y8" s="52">
        <f>+'19.08.2568'!Y8+'20.8.2568'!Y8+'21.08.2568'!Y8+'22.08.2568'!Y8+'23.08.2568'!Y8+'24.082568'!Y8+'25.08.2568'!Y8+'26.08.256'!Y8+'27.08.2568'!Y8+'28.08.2568'!Y8+'29.08.2568'!Y8+'30.08.2568'!Y8+'31.08.2568'!Y8</f>
        <v>0</v>
      </c>
      <c r="Z8" s="64">
        <f t="shared" si="7"/>
        <v>0</v>
      </c>
    </row>
    <row r="9" spans="2:26">
      <c r="B9" s="50">
        <v>1111057</v>
      </c>
      <c r="C9" s="51" t="s">
        <v>30</v>
      </c>
      <c r="D9" s="52">
        <f>+'19.08.2568'!D9+'20.8.2568'!D9+'21.08.2568'!D9+'22.08.2568'!D9+'23.08.2568'!D9+'24.082568'!D9+'25.08.2568'!D9+'26.08.256'!D9+'27.08.2568'!D9+'28.08.2568'!D9+'29.08.2568'!D9+'30.08.2568'!D9+'31.08.2568'!D9</f>
        <v>0</v>
      </c>
      <c r="E9" s="52">
        <f>+'19.08.2568'!E9+'20.8.2568'!E9+'21.08.2568'!E9+'22.08.2568'!E9+'23.08.2568'!E9+'24.082568'!E9+'25.08.2568'!E9+'26.08.256'!E9+'27.08.2568'!E9+'28.08.2568'!E9+'29.08.2568'!E9+'30.08.2568'!E9+'31.08.2568'!E9</f>
        <v>0</v>
      </c>
      <c r="F9" s="69">
        <f t="shared" si="5"/>
        <v>0</v>
      </c>
      <c r="G9" s="52">
        <f>+'19.08.2568'!G9+'20.8.2568'!G9+'21.08.2568'!G9+'22.08.2568'!G9+'23.08.2568'!G9+'24.082568'!G9+'25.08.2568'!G9+'26.08.256'!G9+'27.08.2568'!G9+'28.08.2568'!G9+'29.08.2568'!G9+'30.08.2568'!G9+'31.08.2568'!G9</f>
        <v>115</v>
      </c>
      <c r="H9" s="52">
        <f>+'19.08.2568'!H9+'20.8.2568'!H9+'21.08.2568'!H9+'22.08.2568'!H9+'23.08.2568'!H9+'24.082568'!H9+'25.08.2568'!H9+'26.08.256'!H9+'27.08.2568'!H9+'28.08.2568'!H9+'29.08.2568'!H9+'30.08.2568'!H9+'31.08.2568'!H9</f>
        <v>0</v>
      </c>
      <c r="I9" s="69">
        <f t="shared" si="6"/>
        <v>115</v>
      </c>
      <c r="J9" s="52">
        <f>+'19.08.2568'!J9+'20.8.2568'!J9+'21.08.2568'!J9+'22.08.2568'!J9+'23.08.2568'!J9+'24.082568'!J9+'25.08.2568'!J9+'26.08.256'!J9+'27.08.2568'!J9+'28.08.2568'!J9+'29.08.2568'!J9+'30.08.2568'!J9+'31.08.2568'!J9</f>
        <v>0</v>
      </c>
      <c r="K9" s="52">
        <f>+'19.08.2568'!K9+'20.8.2568'!K9+'21.08.2568'!K9+'22.08.2568'!K9+'23.08.2568'!K9+'24.082568'!K9+'25.08.2568'!K9+'26.08.256'!K9+'27.08.2568'!K9+'28.08.2568'!K9+'29.08.2568'!K9+'30.08.2568'!K9+'31.08.2568'!K9</f>
        <v>0</v>
      </c>
      <c r="L9" s="69">
        <f t="shared" si="0"/>
        <v>0</v>
      </c>
      <c r="M9" s="52">
        <f>+'19.08.2568'!M9+'20.8.2568'!M9+'21.08.2568'!M9+'22.08.2568'!M9+'23.08.2568'!M9+'24.082568'!M9+'25.08.2568'!M9+'26.08.256'!M9+'27.08.2568'!M9+'28.08.2568'!M9+'29.08.2568'!M9+'30.08.2568'!M9+'31.08.2568'!M9</f>
        <v>0</v>
      </c>
      <c r="N9" s="52">
        <f>+'19.08.2568'!N9+'20.8.2568'!N9+'21.08.2568'!N9+'22.08.2568'!N9+'23.08.2568'!N9+'24.082568'!N9+'25.08.2568'!N9+'26.08.256'!N9+'27.08.2568'!N9+'28.08.2568'!N9+'29.08.2568'!N9+'30.08.2568'!N9+'31.08.2568'!N9</f>
        <v>0</v>
      </c>
      <c r="O9" s="69">
        <f t="shared" si="1"/>
        <v>0</v>
      </c>
      <c r="P9" s="52">
        <f>+'19.08.2568'!P9+'20.8.2568'!P9+'21.08.2568'!P9+'22.08.2568'!P9+'23.08.2568'!P9+'24.082568'!P9+'25.08.2568'!P9+'26.08.256'!P9+'27.08.2568'!P9+'28.08.2568'!P9+'29.08.2568'!P9+'30.08.2568'!P9+'31.08.2568'!P9</f>
        <v>0</v>
      </c>
      <c r="Q9" s="52">
        <f>+'19.08.2568'!Q9+'20.8.2568'!Q9+'21.08.2568'!Q9+'22.08.2568'!Q9+'23.08.2568'!Q9+'24.082568'!Q9+'25.08.2568'!Q9+'26.08.256'!Q9+'27.08.2568'!Q9+'28.08.2568'!Q9+'29.08.2568'!Q9+'30.08.2568'!Q9+'31.08.2568'!Q9</f>
        <v>0</v>
      </c>
      <c r="R9" s="69">
        <f t="shared" si="2"/>
        <v>0</v>
      </c>
      <c r="S9" s="52"/>
      <c r="T9" s="52"/>
      <c r="U9" s="69">
        <f t="shared" si="3"/>
        <v>0</v>
      </c>
      <c r="V9" s="52"/>
      <c r="W9" s="52"/>
      <c r="X9" s="69">
        <f t="shared" si="4"/>
        <v>0</v>
      </c>
      <c r="Y9" s="52">
        <f>+'19.08.2568'!Y9+'20.8.2568'!Y9+'21.08.2568'!Y9+'22.08.2568'!Y9+'23.08.2568'!Y9+'24.082568'!Y9+'25.08.2568'!Y9+'26.08.256'!Y9+'27.08.2568'!Y9+'28.08.2568'!Y9+'29.08.2568'!Y9+'30.08.2568'!Y9+'31.08.2568'!Y9</f>
        <v>0</v>
      </c>
      <c r="Z9" s="75">
        <f t="shared" si="7"/>
        <v>115</v>
      </c>
    </row>
    <row r="10" spans="2:26">
      <c r="B10" s="50">
        <v>1111058</v>
      </c>
      <c r="C10" s="51" t="s">
        <v>154</v>
      </c>
      <c r="D10" s="52">
        <f>+'19.08.2568'!D10+'20.8.2568'!D10+'21.08.2568'!D10+'22.08.2568'!D10+'23.08.2568'!D10+'24.082568'!D10+'25.08.2568'!D10+'26.08.256'!D10+'27.08.2568'!D10+'28.08.2568'!D10+'29.08.2568'!D10+'30.08.2568'!D10+'31.08.2568'!D10</f>
        <v>0</v>
      </c>
      <c r="E10" s="52">
        <f>+'19.08.2568'!E10+'20.8.2568'!E10+'21.08.2568'!E10+'22.08.2568'!E10+'23.08.2568'!E10+'24.082568'!E10+'25.08.2568'!E10+'26.08.256'!E10+'27.08.2568'!E10+'28.08.2568'!E10+'29.08.2568'!E10+'30.08.2568'!E10+'31.08.2568'!E10</f>
        <v>0</v>
      </c>
      <c r="F10" s="69">
        <f t="shared" si="5"/>
        <v>0</v>
      </c>
      <c r="G10" s="52">
        <f>+'19.08.2568'!G10+'20.8.2568'!G10+'21.08.2568'!G10+'22.08.2568'!G10+'23.08.2568'!G10+'24.082568'!G10+'25.08.2568'!G10+'26.08.256'!G10+'27.08.2568'!G10+'28.08.2568'!G10+'29.08.2568'!G10+'30.08.2568'!G10+'31.08.2568'!G10</f>
        <v>113</v>
      </c>
      <c r="H10" s="52">
        <f>+'19.08.2568'!H10+'20.8.2568'!H10+'21.08.2568'!H10+'22.08.2568'!H10+'23.08.2568'!H10+'24.082568'!H10+'25.08.2568'!H10+'26.08.256'!H10+'27.08.2568'!H10+'28.08.2568'!H10+'29.08.2568'!H10+'30.08.2568'!H10+'31.08.2568'!H10</f>
        <v>0</v>
      </c>
      <c r="I10" s="69">
        <f t="shared" si="6"/>
        <v>113</v>
      </c>
      <c r="J10" s="52">
        <f>+'19.08.2568'!J10+'20.8.2568'!J10+'21.08.2568'!J10+'22.08.2568'!J10+'23.08.2568'!J10+'24.082568'!J10+'25.08.2568'!J10+'26.08.256'!J10+'27.08.2568'!J10+'28.08.2568'!J10+'29.08.2568'!J10+'30.08.2568'!J10+'31.08.2568'!J10</f>
        <v>0</v>
      </c>
      <c r="K10" s="52">
        <f>+'19.08.2568'!K10+'20.8.2568'!K10+'21.08.2568'!K10+'22.08.2568'!K10+'23.08.2568'!K10+'24.082568'!K10+'25.08.2568'!K10+'26.08.256'!K10+'27.08.2568'!K10+'28.08.2568'!K10+'29.08.2568'!K10+'30.08.2568'!K10+'31.08.2568'!K10</f>
        <v>0</v>
      </c>
      <c r="L10" s="69">
        <f t="shared" si="0"/>
        <v>0</v>
      </c>
      <c r="M10" s="52">
        <f>+'19.08.2568'!M10+'20.8.2568'!M10+'21.08.2568'!M10+'22.08.2568'!M10+'23.08.2568'!M10+'24.082568'!M10+'25.08.2568'!M10+'26.08.256'!M10+'27.08.2568'!M10+'28.08.2568'!M10+'29.08.2568'!M10+'30.08.2568'!M10+'31.08.2568'!M10</f>
        <v>0</v>
      </c>
      <c r="N10" s="52">
        <f>+'19.08.2568'!N10+'20.8.2568'!N10+'21.08.2568'!N10+'22.08.2568'!N10+'23.08.2568'!N10+'24.082568'!N10+'25.08.2568'!N10+'26.08.256'!N10+'27.08.2568'!N10+'28.08.2568'!N10+'29.08.2568'!N10+'30.08.2568'!N10+'31.08.2568'!N10</f>
        <v>0</v>
      </c>
      <c r="O10" s="69">
        <f t="shared" si="1"/>
        <v>0</v>
      </c>
      <c r="P10" s="52">
        <f>+'19.08.2568'!P10+'20.8.2568'!P10+'21.08.2568'!P10+'22.08.2568'!P10+'23.08.2568'!P10+'24.082568'!P10+'25.08.2568'!P10+'26.08.256'!P10+'27.08.2568'!P10+'28.08.2568'!P10+'29.08.2568'!P10+'30.08.2568'!P10+'31.08.2568'!P10</f>
        <v>0</v>
      </c>
      <c r="Q10" s="52">
        <f>+'19.08.2568'!Q10+'20.8.2568'!Q10+'21.08.2568'!Q10+'22.08.2568'!Q10+'23.08.2568'!Q10+'24.082568'!Q10+'25.08.2568'!Q10+'26.08.256'!Q10+'27.08.2568'!Q10+'28.08.2568'!Q10+'29.08.2568'!Q10+'30.08.2568'!Q10+'31.08.2568'!Q10</f>
        <v>0</v>
      </c>
      <c r="R10" s="69">
        <f t="shared" si="2"/>
        <v>0</v>
      </c>
      <c r="S10" s="52"/>
      <c r="T10" s="52"/>
      <c r="U10" s="69">
        <f t="shared" si="3"/>
        <v>0</v>
      </c>
      <c r="V10" s="52"/>
      <c r="W10" s="52"/>
      <c r="X10" s="69">
        <f t="shared" si="4"/>
        <v>0</v>
      </c>
      <c r="Y10" s="52">
        <f>+'19.08.2568'!Y10+'20.8.2568'!Y10+'21.08.2568'!Y10+'22.08.2568'!Y10+'23.08.2568'!Y10+'24.082568'!Y10+'25.08.2568'!Y10+'26.08.256'!Y10+'27.08.2568'!Y10+'28.08.2568'!Y10+'29.08.2568'!Y10+'30.08.2568'!Y10+'31.08.2568'!Y10</f>
        <v>0</v>
      </c>
      <c r="Z10" s="75">
        <f t="shared" si="7"/>
        <v>113</v>
      </c>
    </row>
    <row r="11" spans="2:26">
      <c r="B11" s="50">
        <v>1111059</v>
      </c>
      <c r="C11" s="51" t="s">
        <v>32</v>
      </c>
      <c r="D11" s="52">
        <f>+'19.08.2568'!D11+'20.8.2568'!D11+'21.08.2568'!D11+'22.08.2568'!D11+'23.08.2568'!D11+'24.082568'!D11+'25.08.2568'!D11+'26.08.256'!D11+'27.08.2568'!D11+'28.08.2568'!D11+'29.08.2568'!D11+'30.08.2568'!D11+'31.08.2568'!D11</f>
        <v>0</v>
      </c>
      <c r="E11" s="52">
        <f>+'19.08.2568'!E11+'20.8.2568'!E11+'21.08.2568'!E11+'22.08.2568'!E11+'23.08.2568'!E11+'24.082568'!E11+'25.08.2568'!E11+'26.08.256'!E11+'27.08.2568'!E11+'28.08.2568'!E11+'29.08.2568'!E11+'30.08.2568'!E11+'31.08.2568'!E11</f>
        <v>0</v>
      </c>
      <c r="F11" s="69">
        <f t="shared" si="5"/>
        <v>0</v>
      </c>
      <c r="G11" s="52">
        <f>+'19.08.2568'!G11+'20.8.2568'!G11+'21.08.2568'!G11+'22.08.2568'!G11+'23.08.2568'!G11+'24.082568'!G11+'25.08.2568'!G11+'26.08.256'!G11+'27.08.2568'!G11+'28.08.2568'!G11+'29.08.2568'!G11+'30.08.2568'!G11+'31.08.2568'!G11</f>
        <v>113</v>
      </c>
      <c r="H11" s="52">
        <f>+'19.08.2568'!H11+'20.8.2568'!H11+'21.08.2568'!H11+'22.08.2568'!H11+'23.08.2568'!H11+'24.082568'!H11+'25.08.2568'!H11+'26.08.256'!H11+'27.08.2568'!H11+'28.08.2568'!H11+'29.08.2568'!H11+'30.08.2568'!H11+'31.08.2568'!H11</f>
        <v>0</v>
      </c>
      <c r="I11" s="69">
        <f t="shared" si="6"/>
        <v>113</v>
      </c>
      <c r="J11" s="52">
        <f>+'19.08.2568'!J11+'20.8.2568'!J11+'21.08.2568'!J11+'22.08.2568'!J11+'23.08.2568'!J11+'24.082568'!J11+'25.08.2568'!J11+'26.08.256'!J11+'27.08.2568'!J11+'28.08.2568'!J11+'29.08.2568'!J11+'30.08.2568'!J11+'31.08.2568'!J11</f>
        <v>0</v>
      </c>
      <c r="K11" s="52">
        <f>+'19.08.2568'!K11+'20.8.2568'!K11+'21.08.2568'!K11+'22.08.2568'!K11+'23.08.2568'!K11+'24.082568'!K11+'25.08.2568'!K11+'26.08.256'!K11+'27.08.2568'!K11+'28.08.2568'!K11+'29.08.2568'!K11+'30.08.2568'!K11+'31.08.2568'!K11</f>
        <v>0</v>
      </c>
      <c r="L11" s="69">
        <f t="shared" si="0"/>
        <v>0</v>
      </c>
      <c r="M11" s="52">
        <f>+'19.08.2568'!M11+'20.8.2568'!M11+'21.08.2568'!M11+'22.08.2568'!M11+'23.08.2568'!M11+'24.082568'!M11+'25.08.2568'!M11+'26.08.256'!M11+'27.08.2568'!M11+'28.08.2568'!M11+'29.08.2568'!M11+'30.08.2568'!M11+'31.08.2568'!M11</f>
        <v>0</v>
      </c>
      <c r="N11" s="52">
        <f>+'19.08.2568'!N11+'20.8.2568'!N11+'21.08.2568'!N11+'22.08.2568'!N11+'23.08.2568'!N11+'24.082568'!N11+'25.08.2568'!N11+'26.08.256'!N11+'27.08.2568'!N11+'28.08.2568'!N11+'29.08.2568'!N11+'30.08.2568'!N11+'31.08.2568'!N11</f>
        <v>0</v>
      </c>
      <c r="O11" s="69">
        <f t="shared" si="1"/>
        <v>0</v>
      </c>
      <c r="P11" s="52">
        <f>+'19.08.2568'!P11+'20.8.2568'!P11+'21.08.2568'!P11+'22.08.2568'!P11+'23.08.2568'!P11+'24.082568'!P11+'25.08.2568'!P11+'26.08.256'!P11+'27.08.2568'!P11+'28.08.2568'!P11+'29.08.2568'!P11+'30.08.2568'!P11+'31.08.2568'!P11</f>
        <v>0</v>
      </c>
      <c r="Q11" s="52">
        <f>+'19.08.2568'!Q11+'20.8.2568'!Q11+'21.08.2568'!Q11+'22.08.2568'!Q11+'23.08.2568'!Q11+'24.082568'!Q11+'25.08.2568'!Q11+'26.08.256'!Q11+'27.08.2568'!Q11+'28.08.2568'!Q11+'29.08.2568'!Q11+'30.08.2568'!Q11+'31.08.2568'!Q11</f>
        <v>0</v>
      </c>
      <c r="R11" s="69">
        <f t="shared" si="2"/>
        <v>0</v>
      </c>
      <c r="S11" s="52"/>
      <c r="T11" s="52"/>
      <c r="U11" s="69">
        <f t="shared" si="3"/>
        <v>0</v>
      </c>
      <c r="V11" s="52"/>
      <c r="W11" s="52"/>
      <c r="X11" s="69">
        <f t="shared" si="4"/>
        <v>0</v>
      </c>
      <c r="Y11" s="52">
        <f>+'19.08.2568'!Y11+'20.8.2568'!Y11+'21.08.2568'!Y11+'22.08.2568'!Y11+'23.08.2568'!Y11+'24.082568'!Y11+'25.08.2568'!Y11+'26.08.256'!Y11+'27.08.2568'!Y11+'28.08.2568'!Y11+'29.08.2568'!Y11+'30.08.2568'!Y11+'31.08.2568'!Y11</f>
        <v>0</v>
      </c>
      <c r="Z11" s="75">
        <f t="shared" si="7"/>
        <v>113</v>
      </c>
    </row>
    <row r="12" spans="2:26">
      <c r="B12" s="50">
        <v>1111060</v>
      </c>
      <c r="C12" s="51" t="s">
        <v>33</v>
      </c>
      <c r="D12" s="52">
        <f>+'19.08.2568'!D12+'20.8.2568'!D12+'21.08.2568'!D12+'22.08.2568'!D12+'23.08.2568'!D12+'24.082568'!D12+'25.08.2568'!D12+'26.08.256'!D12+'27.08.2568'!D12+'28.08.2568'!D12+'29.08.2568'!D12+'30.08.2568'!D12+'31.08.2568'!D12</f>
        <v>0</v>
      </c>
      <c r="E12" s="52">
        <f>+'19.08.2568'!E12+'20.8.2568'!E12+'21.08.2568'!E12+'22.08.2568'!E12+'23.08.2568'!E12+'24.082568'!E12+'25.08.2568'!E12+'26.08.256'!E12+'27.08.2568'!E12+'28.08.2568'!E12+'29.08.2568'!E12+'30.08.2568'!E12+'31.08.2568'!E12</f>
        <v>0</v>
      </c>
      <c r="F12" s="69">
        <f t="shared" si="5"/>
        <v>0</v>
      </c>
      <c r="G12" s="52">
        <f>+'19.08.2568'!G12+'20.8.2568'!G12+'21.08.2568'!G12+'22.08.2568'!G12+'23.08.2568'!G12+'24.082568'!G12+'25.08.2568'!G12+'26.08.256'!G12+'27.08.2568'!G12+'28.08.2568'!G12+'29.08.2568'!G12+'30.08.2568'!G12+'31.08.2568'!G12</f>
        <v>113</v>
      </c>
      <c r="H12" s="52">
        <f>+'19.08.2568'!H12+'20.8.2568'!H12+'21.08.2568'!H12+'22.08.2568'!H12+'23.08.2568'!H12+'24.082568'!H12+'25.08.2568'!H12+'26.08.256'!H12+'27.08.2568'!H12+'28.08.2568'!H12+'29.08.2568'!H12+'30.08.2568'!H12+'31.08.2568'!H12</f>
        <v>0</v>
      </c>
      <c r="I12" s="69">
        <f t="shared" si="6"/>
        <v>113</v>
      </c>
      <c r="J12" s="52">
        <f>+'19.08.2568'!J12+'20.8.2568'!J12+'21.08.2568'!J12+'22.08.2568'!J12+'23.08.2568'!J12+'24.082568'!J12+'25.08.2568'!J12+'26.08.256'!J12+'27.08.2568'!J12+'28.08.2568'!J12+'29.08.2568'!J12+'30.08.2568'!J12+'31.08.2568'!J12</f>
        <v>0</v>
      </c>
      <c r="K12" s="52">
        <f>+'19.08.2568'!K12+'20.8.2568'!K12+'21.08.2568'!K12+'22.08.2568'!K12+'23.08.2568'!K12+'24.082568'!K12+'25.08.2568'!K12+'26.08.256'!K12+'27.08.2568'!K12+'28.08.2568'!K12+'29.08.2568'!K12+'30.08.2568'!K12+'31.08.2568'!K12</f>
        <v>0</v>
      </c>
      <c r="L12" s="69">
        <f t="shared" si="0"/>
        <v>0</v>
      </c>
      <c r="M12" s="52">
        <f>+'19.08.2568'!M12+'20.8.2568'!M12+'21.08.2568'!M12+'22.08.2568'!M12+'23.08.2568'!M12+'24.082568'!M12+'25.08.2568'!M12+'26.08.256'!M12+'27.08.2568'!M12+'28.08.2568'!M12+'29.08.2568'!M12+'30.08.2568'!M12+'31.08.2568'!M12</f>
        <v>0</v>
      </c>
      <c r="N12" s="52">
        <f>+'19.08.2568'!N12+'20.8.2568'!N12+'21.08.2568'!N12+'22.08.2568'!N12+'23.08.2568'!N12+'24.082568'!N12+'25.08.2568'!N12+'26.08.256'!N12+'27.08.2568'!N12+'28.08.2568'!N12+'29.08.2568'!N12+'30.08.2568'!N12+'31.08.2568'!N12</f>
        <v>0</v>
      </c>
      <c r="O12" s="69">
        <f t="shared" si="1"/>
        <v>0</v>
      </c>
      <c r="P12" s="52">
        <f>+'19.08.2568'!P12+'20.8.2568'!P12+'21.08.2568'!P12+'22.08.2568'!P12+'23.08.2568'!P12+'24.082568'!P12+'25.08.2568'!P12+'26.08.256'!P12+'27.08.2568'!P12+'28.08.2568'!P12+'29.08.2568'!P12+'30.08.2568'!P12+'31.08.2568'!P12</f>
        <v>0</v>
      </c>
      <c r="Q12" s="52">
        <f>+'19.08.2568'!Q12+'20.8.2568'!Q12+'21.08.2568'!Q12+'22.08.2568'!Q12+'23.08.2568'!Q12+'24.082568'!Q12+'25.08.2568'!Q12+'26.08.256'!Q12+'27.08.2568'!Q12+'28.08.2568'!Q12+'29.08.2568'!Q12+'30.08.2568'!Q12+'31.08.2568'!Q12</f>
        <v>0</v>
      </c>
      <c r="R12" s="69">
        <f t="shared" si="2"/>
        <v>0</v>
      </c>
      <c r="S12" s="52"/>
      <c r="T12" s="52"/>
      <c r="U12" s="69">
        <f t="shared" si="3"/>
        <v>0</v>
      </c>
      <c r="V12" s="52"/>
      <c r="W12" s="52"/>
      <c r="X12" s="69">
        <f t="shared" si="4"/>
        <v>0</v>
      </c>
      <c r="Y12" s="52">
        <f>+'19.08.2568'!Y12+'20.8.2568'!Y12+'21.08.2568'!Y12+'22.08.2568'!Y12+'23.08.2568'!Y12+'24.082568'!Y12+'25.08.2568'!Y12+'26.08.256'!Y12+'27.08.2568'!Y12+'28.08.2568'!Y12+'29.08.2568'!Y12+'30.08.2568'!Y12+'31.08.2568'!Y12</f>
        <v>0</v>
      </c>
      <c r="Z12" s="75">
        <f t="shared" si="7"/>
        <v>113</v>
      </c>
    </row>
    <row r="13" spans="2:26">
      <c r="B13" s="50">
        <v>1111061</v>
      </c>
      <c r="C13" s="51" t="s">
        <v>34</v>
      </c>
      <c r="D13" s="52">
        <f>+'19.08.2568'!D13+'20.8.2568'!D13+'21.08.2568'!D13+'22.08.2568'!D13+'23.08.2568'!D13+'24.082568'!D13+'25.08.2568'!D13+'26.08.256'!D13+'27.08.2568'!D13+'28.08.2568'!D13+'29.08.2568'!D13+'30.08.2568'!D13+'31.08.2568'!D13</f>
        <v>0</v>
      </c>
      <c r="E13" s="52">
        <f>+'19.08.2568'!E13+'20.8.2568'!E13+'21.08.2568'!E13+'22.08.2568'!E13+'23.08.2568'!E13+'24.082568'!E13+'25.08.2568'!E13+'26.08.256'!E13+'27.08.2568'!E13+'28.08.2568'!E13+'29.08.2568'!E13+'30.08.2568'!E13+'31.08.2568'!E13</f>
        <v>0</v>
      </c>
      <c r="F13" s="69">
        <f t="shared" si="5"/>
        <v>0</v>
      </c>
      <c r="G13" s="52">
        <f>+'19.08.2568'!G13+'20.8.2568'!G13+'21.08.2568'!G13+'22.08.2568'!G13+'23.08.2568'!G13+'24.082568'!G13+'25.08.2568'!G13+'26.08.256'!G13+'27.08.2568'!G13+'28.08.2568'!G13+'29.08.2568'!G13+'30.08.2568'!G13+'31.08.2568'!G13</f>
        <v>111</v>
      </c>
      <c r="H13" s="52">
        <f>+'19.08.2568'!H13+'20.8.2568'!H13+'21.08.2568'!H13+'22.08.2568'!H13+'23.08.2568'!H13+'24.082568'!H13+'25.08.2568'!H13+'26.08.256'!H13+'27.08.2568'!H13+'28.08.2568'!H13+'29.08.2568'!H13+'30.08.2568'!H13+'31.08.2568'!H13</f>
        <v>0</v>
      </c>
      <c r="I13" s="69">
        <f t="shared" si="6"/>
        <v>111</v>
      </c>
      <c r="J13" s="52">
        <f>+'19.08.2568'!J13+'20.8.2568'!J13+'21.08.2568'!J13+'22.08.2568'!J13+'23.08.2568'!J13+'24.082568'!J13+'25.08.2568'!J13+'26.08.256'!J13+'27.08.2568'!J13+'28.08.2568'!J13+'29.08.2568'!J13+'30.08.2568'!J13+'31.08.2568'!J13</f>
        <v>0</v>
      </c>
      <c r="K13" s="52">
        <f>+'19.08.2568'!K13+'20.8.2568'!K13+'21.08.2568'!K13+'22.08.2568'!K13+'23.08.2568'!K13+'24.082568'!K13+'25.08.2568'!K13+'26.08.256'!K13+'27.08.2568'!K13+'28.08.2568'!K13+'29.08.2568'!K13+'30.08.2568'!K13+'31.08.2568'!K13</f>
        <v>0</v>
      </c>
      <c r="L13" s="69">
        <f t="shared" si="0"/>
        <v>0</v>
      </c>
      <c r="M13" s="52">
        <f>+'19.08.2568'!M13+'20.8.2568'!M13+'21.08.2568'!M13+'22.08.2568'!M13+'23.08.2568'!M13+'24.082568'!M13+'25.08.2568'!M13+'26.08.256'!M13+'27.08.2568'!M13+'28.08.2568'!M13+'29.08.2568'!M13+'30.08.2568'!M13+'31.08.2568'!M13</f>
        <v>0</v>
      </c>
      <c r="N13" s="52">
        <f>+'19.08.2568'!N13+'20.8.2568'!N13+'21.08.2568'!N13+'22.08.2568'!N13+'23.08.2568'!N13+'24.082568'!N13+'25.08.2568'!N13+'26.08.256'!N13+'27.08.2568'!N13+'28.08.2568'!N13+'29.08.2568'!N13+'30.08.2568'!N13+'31.08.2568'!N13</f>
        <v>0</v>
      </c>
      <c r="O13" s="69">
        <f t="shared" si="1"/>
        <v>0</v>
      </c>
      <c r="P13" s="52">
        <f>+'19.08.2568'!P13+'20.8.2568'!P13+'21.08.2568'!P13+'22.08.2568'!P13+'23.08.2568'!P13+'24.082568'!P13+'25.08.2568'!P13+'26.08.256'!P13+'27.08.2568'!P13+'28.08.2568'!P13+'29.08.2568'!P13+'30.08.2568'!P13+'31.08.2568'!P13</f>
        <v>0</v>
      </c>
      <c r="Q13" s="52">
        <f>+'19.08.2568'!Q13+'20.8.2568'!Q13+'21.08.2568'!Q13+'22.08.2568'!Q13+'23.08.2568'!Q13+'24.082568'!Q13+'25.08.2568'!Q13+'26.08.256'!Q13+'27.08.2568'!Q13+'28.08.2568'!Q13+'29.08.2568'!Q13+'30.08.2568'!Q13+'31.08.2568'!Q13</f>
        <v>0</v>
      </c>
      <c r="R13" s="69">
        <f t="shared" si="2"/>
        <v>0</v>
      </c>
      <c r="S13" s="52"/>
      <c r="T13" s="52"/>
      <c r="U13" s="69">
        <f t="shared" si="3"/>
        <v>0</v>
      </c>
      <c r="V13" s="52"/>
      <c r="W13" s="52"/>
      <c r="X13" s="69">
        <f t="shared" si="4"/>
        <v>0</v>
      </c>
      <c r="Y13" s="52">
        <f>+'19.08.2568'!Y13+'20.8.2568'!Y13+'21.08.2568'!Y13+'22.08.2568'!Y13+'23.08.2568'!Y13+'24.082568'!Y13+'25.08.2568'!Y13+'26.08.256'!Y13+'27.08.2568'!Y13+'28.08.2568'!Y13+'29.08.2568'!Y13+'30.08.2568'!Y13+'31.08.2568'!Y13</f>
        <v>0</v>
      </c>
      <c r="Z13" s="75">
        <f t="shared" si="7"/>
        <v>111</v>
      </c>
    </row>
    <row r="14" spans="2:26">
      <c r="B14" s="50">
        <v>1111062</v>
      </c>
      <c r="C14" s="51" t="s">
        <v>35</v>
      </c>
      <c r="D14" s="52">
        <f>+'19.08.2568'!D14+'20.8.2568'!D14+'21.08.2568'!D14+'22.08.2568'!D14+'23.08.2568'!D14+'24.082568'!D14+'25.08.2568'!D14+'26.08.256'!D14+'27.08.2568'!D14+'28.08.2568'!D14+'29.08.2568'!D14+'30.08.2568'!D14+'31.08.2568'!D14</f>
        <v>0</v>
      </c>
      <c r="E14" s="52">
        <f>+'19.08.2568'!E14+'20.8.2568'!E14+'21.08.2568'!E14+'22.08.2568'!E14+'23.08.2568'!E14+'24.082568'!E14+'25.08.2568'!E14+'26.08.256'!E14+'27.08.2568'!E14+'28.08.2568'!E14+'29.08.2568'!E14+'30.08.2568'!E14+'31.08.2568'!E14</f>
        <v>0</v>
      </c>
      <c r="F14" s="69">
        <f t="shared" si="5"/>
        <v>0</v>
      </c>
      <c r="G14" s="52">
        <f>+'19.08.2568'!G14+'20.8.2568'!G14+'21.08.2568'!G14+'22.08.2568'!G14+'23.08.2568'!G14+'24.082568'!G14+'25.08.2568'!G14+'26.08.256'!G14+'27.08.2568'!G14+'28.08.2568'!G14+'29.08.2568'!G14+'30.08.2568'!G14+'31.08.2568'!G14</f>
        <v>109</v>
      </c>
      <c r="H14" s="52">
        <f>+'19.08.2568'!H14+'20.8.2568'!H14+'21.08.2568'!H14+'22.08.2568'!H14+'23.08.2568'!H14+'24.082568'!H14+'25.08.2568'!H14+'26.08.256'!H14+'27.08.2568'!H14+'28.08.2568'!H14+'29.08.2568'!H14+'30.08.2568'!H14+'31.08.2568'!H14</f>
        <v>0</v>
      </c>
      <c r="I14" s="69">
        <f t="shared" si="6"/>
        <v>109</v>
      </c>
      <c r="J14" s="52">
        <f>+'19.08.2568'!J14+'20.8.2568'!J14+'21.08.2568'!J14+'22.08.2568'!J14+'23.08.2568'!J14+'24.082568'!J14+'25.08.2568'!J14+'26.08.256'!J14+'27.08.2568'!J14+'28.08.2568'!J14+'29.08.2568'!J14+'30.08.2568'!J14+'31.08.2568'!J14</f>
        <v>0</v>
      </c>
      <c r="K14" s="52">
        <f>+'19.08.2568'!K14+'20.8.2568'!K14+'21.08.2568'!K14+'22.08.2568'!K14+'23.08.2568'!K14+'24.082568'!K14+'25.08.2568'!K14+'26.08.256'!K14+'27.08.2568'!K14+'28.08.2568'!K14+'29.08.2568'!K14+'30.08.2568'!K14+'31.08.2568'!K14</f>
        <v>0</v>
      </c>
      <c r="L14" s="69">
        <f t="shared" si="0"/>
        <v>0</v>
      </c>
      <c r="M14" s="52">
        <f>+'19.08.2568'!M14+'20.8.2568'!M14+'21.08.2568'!M14+'22.08.2568'!M14+'23.08.2568'!M14+'24.082568'!M14+'25.08.2568'!M14+'26.08.256'!M14+'27.08.2568'!M14+'28.08.2568'!M14+'29.08.2568'!M14+'30.08.2568'!M14+'31.08.2568'!M14</f>
        <v>0</v>
      </c>
      <c r="N14" s="52">
        <f>+'19.08.2568'!N14+'20.8.2568'!N14+'21.08.2568'!N14+'22.08.2568'!N14+'23.08.2568'!N14+'24.082568'!N14+'25.08.2568'!N14+'26.08.256'!N14+'27.08.2568'!N14+'28.08.2568'!N14+'29.08.2568'!N14+'30.08.2568'!N14+'31.08.2568'!N14</f>
        <v>0</v>
      </c>
      <c r="O14" s="69">
        <f t="shared" si="1"/>
        <v>0</v>
      </c>
      <c r="P14" s="52">
        <f>+'19.08.2568'!P14+'20.8.2568'!P14+'21.08.2568'!P14+'22.08.2568'!P14+'23.08.2568'!P14+'24.082568'!P14+'25.08.2568'!P14+'26.08.256'!P14+'27.08.2568'!P14+'28.08.2568'!P14+'29.08.2568'!P14+'30.08.2568'!P14+'31.08.2568'!P14</f>
        <v>0</v>
      </c>
      <c r="Q14" s="52">
        <f>+'19.08.2568'!Q14+'20.8.2568'!Q14+'21.08.2568'!Q14+'22.08.2568'!Q14+'23.08.2568'!Q14+'24.082568'!Q14+'25.08.2568'!Q14+'26.08.256'!Q14+'27.08.2568'!Q14+'28.08.2568'!Q14+'29.08.2568'!Q14+'30.08.2568'!Q14+'31.08.2568'!Q14</f>
        <v>0</v>
      </c>
      <c r="R14" s="69">
        <f t="shared" si="2"/>
        <v>0</v>
      </c>
      <c r="S14" s="52"/>
      <c r="T14" s="52"/>
      <c r="U14" s="69">
        <f t="shared" si="3"/>
        <v>0</v>
      </c>
      <c r="V14" s="52"/>
      <c r="W14" s="52"/>
      <c r="X14" s="69">
        <f t="shared" si="4"/>
        <v>0</v>
      </c>
      <c r="Y14" s="52">
        <f>+'19.08.2568'!Y14+'20.8.2568'!Y14+'21.08.2568'!Y14+'22.08.2568'!Y14+'23.08.2568'!Y14+'24.082568'!Y14+'25.08.2568'!Y14+'26.08.256'!Y14+'27.08.2568'!Y14+'28.08.2568'!Y14+'29.08.2568'!Y14+'30.08.2568'!Y14+'31.08.2568'!Y14</f>
        <v>0</v>
      </c>
      <c r="Z14" s="75">
        <f t="shared" si="7"/>
        <v>109</v>
      </c>
    </row>
    <row r="15" spans="2:26">
      <c r="B15" s="50">
        <v>1111063</v>
      </c>
      <c r="C15" s="51" t="s">
        <v>36</v>
      </c>
      <c r="D15" s="52">
        <f>+'19.08.2568'!D15+'20.8.2568'!D15+'21.08.2568'!D15+'22.08.2568'!D15+'23.08.2568'!D15+'24.082568'!D15+'25.08.2568'!D15+'26.08.256'!D15+'27.08.2568'!D15+'28.08.2568'!D15+'29.08.2568'!D15+'30.08.2568'!D15+'31.08.2568'!D15</f>
        <v>0</v>
      </c>
      <c r="E15" s="52">
        <f>+'19.08.2568'!E15+'20.8.2568'!E15+'21.08.2568'!E15+'22.08.2568'!E15+'23.08.2568'!E15+'24.082568'!E15+'25.08.2568'!E15+'26.08.256'!E15+'27.08.2568'!E15+'28.08.2568'!E15+'29.08.2568'!E15+'30.08.2568'!E15+'31.08.2568'!E15</f>
        <v>0</v>
      </c>
      <c r="F15" s="69">
        <f t="shared" si="5"/>
        <v>0</v>
      </c>
      <c r="G15" s="52">
        <f>+'19.08.2568'!G15+'20.8.2568'!G15+'21.08.2568'!G15+'22.08.2568'!G15+'23.08.2568'!G15+'24.082568'!G15+'25.08.2568'!G15+'26.08.256'!G15+'27.08.2568'!G15+'28.08.2568'!G15+'29.08.2568'!G15+'30.08.2568'!G15+'31.08.2568'!G15</f>
        <v>109</v>
      </c>
      <c r="H15" s="52">
        <f>+'19.08.2568'!H15+'20.8.2568'!H15+'21.08.2568'!H15+'22.08.2568'!H15+'23.08.2568'!H15+'24.082568'!H15+'25.08.2568'!H15+'26.08.256'!H15+'27.08.2568'!H15+'28.08.2568'!H15+'29.08.2568'!H15+'30.08.2568'!H15+'31.08.2568'!H15</f>
        <v>0</v>
      </c>
      <c r="I15" s="69">
        <f t="shared" si="6"/>
        <v>109</v>
      </c>
      <c r="J15" s="52">
        <f>+'19.08.2568'!J15+'20.8.2568'!J15+'21.08.2568'!J15+'22.08.2568'!J15+'23.08.2568'!J15+'24.082568'!J15+'25.08.2568'!J15+'26.08.256'!J15+'27.08.2568'!J15+'28.08.2568'!J15+'29.08.2568'!J15+'30.08.2568'!J15+'31.08.2568'!J15</f>
        <v>0</v>
      </c>
      <c r="K15" s="52">
        <f>+'19.08.2568'!K15+'20.8.2568'!K15+'21.08.2568'!K15+'22.08.2568'!K15+'23.08.2568'!K15+'24.082568'!K15+'25.08.2568'!K15+'26.08.256'!K15+'27.08.2568'!K15+'28.08.2568'!K15+'29.08.2568'!K15+'30.08.2568'!K15+'31.08.2568'!K15</f>
        <v>0</v>
      </c>
      <c r="L15" s="69">
        <f t="shared" si="0"/>
        <v>0</v>
      </c>
      <c r="M15" s="52">
        <f>+'19.08.2568'!M15+'20.8.2568'!M15+'21.08.2568'!M15+'22.08.2568'!M15+'23.08.2568'!M15+'24.082568'!M15+'25.08.2568'!M15+'26.08.256'!M15+'27.08.2568'!M15+'28.08.2568'!M15+'29.08.2568'!M15+'30.08.2568'!M15+'31.08.2568'!M15</f>
        <v>0</v>
      </c>
      <c r="N15" s="52">
        <f>+'19.08.2568'!N15+'20.8.2568'!N15+'21.08.2568'!N15+'22.08.2568'!N15+'23.08.2568'!N15+'24.082568'!N15+'25.08.2568'!N15+'26.08.256'!N15+'27.08.2568'!N15+'28.08.2568'!N15+'29.08.2568'!N15+'30.08.2568'!N15+'31.08.2568'!N15</f>
        <v>0</v>
      </c>
      <c r="O15" s="69">
        <f t="shared" si="1"/>
        <v>0</v>
      </c>
      <c r="P15" s="52">
        <f>+'19.08.2568'!P15+'20.8.2568'!P15+'21.08.2568'!P15+'22.08.2568'!P15+'23.08.2568'!P15+'24.082568'!P15+'25.08.2568'!P15+'26.08.256'!P15+'27.08.2568'!P15+'28.08.2568'!P15+'29.08.2568'!P15+'30.08.2568'!P15+'31.08.2568'!P15</f>
        <v>0</v>
      </c>
      <c r="Q15" s="52">
        <f>+'19.08.2568'!Q15+'20.8.2568'!Q15+'21.08.2568'!Q15+'22.08.2568'!Q15+'23.08.2568'!Q15+'24.082568'!Q15+'25.08.2568'!Q15+'26.08.256'!Q15+'27.08.2568'!Q15+'28.08.2568'!Q15+'29.08.2568'!Q15+'30.08.2568'!Q15+'31.08.2568'!Q15</f>
        <v>0</v>
      </c>
      <c r="R15" s="69">
        <f t="shared" si="2"/>
        <v>0</v>
      </c>
      <c r="S15" s="52"/>
      <c r="T15" s="52"/>
      <c r="U15" s="69">
        <f t="shared" si="3"/>
        <v>0</v>
      </c>
      <c r="V15" s="52"/>
      <c r="W15" s="52"/>
      <c r="X15" s="69">
        <f t="shared" si="4"/>
        <v>0</v>
      </c>
      <c r="Y15" s="52">
        <f>+'19.08.2568'!Y15+'20.8.2568'!Y15+'21.08.2568'!Y15+'22.08.2568'!Y15+'23.08.2568'!Y15+'24.082568'!Y15+'25.08.2568'!Y15+'26.08.256'!Y15+'27.08.2568'!Y15+'28.08.2568'!Y15+'29.08.2568'!Y15+'30.08.2568'!Y15+'31.08.2568'!Y15</f>
        <v>0</v>
      </c>
      <c r="Z15" s="75">
        <f t="shared" si="7"/>
        <v>109</v>
      </c>
    </row>
    <row r="16" spans="2:26">
      <c r="B16" s="50">
        <v>1111064</v>
      </c>
      <c r="C16" s="51" t="s">
        <v>37</v>
      </c>
      <c r="D16" s="52">
        <f>+'19.08.2568'!D16+'20.8.2568'!D16+'21.08.2568'!D16+'22.08.2568'!D16+'23.08.2568'!D16+'24.082568'!D16+'25.08.2568'!D16+'26.08.256'!D16+'27.08.2568'!D16+'28.08.2568'!D16+'29.08.2568'!D16+'30.08.2568'!D16+'31.08.2568'!D16</f>
        <v>0</v>
      </c>
      <c r="E16" s="52">
        <f>+'19.08.2568'!E16+'20.8.2568'!E16+'21.08.2568'!E16+'22.08.2568'!E16+'23.08.2568'!E16+'24.082568'!E16+'25.08.2568'!E16+'26.08.256'!E16+'27.08.2568'!E16+'28.08.2568'!E16+'29.08.2568'!E16+'30.08.2568'!E16+'31.08.2568'!E16</f>
        <v>0</v>
      </c>
      <c r="F16" s="69">
        <f t="shared" si="5"/>
        <v>0</v>
      </c>
      <c r="G16" s="52">
        <f>+'19.08.2568'!G16+'20.8.2568'!G16+'21.08.2568'!G16+'22.08.2568'!G16+'23.08.2568'!G16+'24.082568'!G16+'25.08.2568'!G16+'26.08.256'!G16+'27.08.2568'!G16+'28.08.2568'!G16+'29.08.2568'!G16+'30.08.2568'!G16+'31.08.2568'!G16</f>
        <v>107</v>
      </c>
      <c r="H16" s="52">
        <f>+'19.08.2568'!H16+'20.8.2568'!H16+'21.08.2568'!H16+'22.08.2568'!H16+'23.08.2568'!H16+'24.082568'!H16+'25.08.2568'!H16+'26.08.256'!H16+'27.08.2568'!H16+'28.08.2568'!H16+'29.08.2568'!H16+'30.08.2568'!H16+'31.08.2568'!H16</f>
        <v>0</v>
      </c>
      <c r="I16" s="69">
        <f t="shared" si="6"/>
        <v>107</v>
      </c>
      <c r="J16" s="52">
        <f>+'19.08.2568'!J16+'20.8.2568'!J16+'21.08.2568'!J16+'22.08.2568'!J16+'23.08.2568'!J16+'24.082568'!J16+'25.08.2568'!J16+'26.08.256'!J16+'27.08.2568'!J16+'28.08.2568'!J16+'29.08.2568'!J16+'30.08.2568'!J16+'31.08.2568'!J16</f>
        <v>0</v>
      </c>
      <c r="K16" s="52">
        <f>+'19.08.2568'!K16+'20.8.2568'!K16+'21.08.2568'!K16+'22.08.2568'!K16+'23.08.2568'!K16+'24.082568'!K16+'25.08.2568'!K16+'26.08.256'!K16+'27.08.2568'!K16+'28.08.2568'!K16+'29.08.2568'!K16+'30.08.2568'!K16+'31.08.2568'!K16</f>
        <v>0</v>
      </c>
      <c r="L16" s="69">
        <f t="shared" si="0"/>
        <v>0</v>
      </c>
      <c r="M16" s="52">
        <f>+'19.08.2568'!M16+'20.8.2568'!M16+'21.08.2568'!M16+'22.08.2568'!M16+'23.08.2568'!M16+'24.082568'!M16+'25.08.2568'!M16+'26.08.256'!M16+'27.08.2568'!M16+'28.08.2568'!M16+'29.08.2568'!M16+'30.08.2568'!M16+'31.08.2568'!M16</f>
        <v>0</v>
      </c>
      <c r="N16" s="52">
        <f>+'19.08.2568'!N16+'20.8.2568'!N16+'21.08.2568'!N16+'22.08.2568'!N16+'23.08.2568'!N16+'24.082568'!N16+'25.08.2568'!N16+'26.08.256'!N16+'27.08.2568'!N16+'28.08.2568'!N16+'29.08.2568'!N16+'30.08.2568'!N16+'31.08.2568'!N16</f>
        <v>0</v>
      </c>
      <c r="O16" s="69">
        <f t="shared" si="1"/>
        <v>0</v>
      </c>
      <c r="P16" s="52">
        <f>+'19.08.2568'!P16+'20.8.2568'!P16+'21.08.2568'!P16+'22.08.2568'!P16+'23.08.2568'!P16+'24.082568'!P16+'25.08.2568'!P16+'26.08.256'!P16+'27.08.2568'!P16+'28.08.2568'!P16+'29.08.2568'!P16+'30.08.2568'!P16+'31.08.2568'!P16</f>
        <v>0</v>
      </c>
      <c r="Q16" s="52">
        <f>+'19.08.2568'!Q16+'20.8.2568'!Q16+'21.08.2568'!Q16+'22.08.2568'!Q16+'23.08.2568'!Q16+'24.082568'!Q16+'25.08.2568'!Q16+'26.08.256'!Q16+'27.08.2568'!Q16+'28.08.2568'!Q16+'29.08.2568'!Q16+'30.08.2568'!Q16+'31.08.2568'!Q16</f>
        <v>0</v>
      </c>
      <c r="R16" s="69">
        <f t="shared" si="2"/>
        <v>0</v>
      </c>
      <c r="S16" s="52"/>
      <c r="T16" s="52"/>
      <c r="U16" s="69">
        <f t="shared" si="3"/>
        <v>0</v>
      </c>
      <c r="V16" s="52"/>
      <c r="W16" s="52"/>
      <c r="X16" s="69">
        <f t="shared" si="4"/>
        <v>0</v>
      </c>
      <c r="Y16" s="52">
        <f>+'19.08.2568'!Y16+'20.8.2568'!Y16+'21.08.2568'!Y16+'22.08.2568'!Y16+'23.08.2568'!Y16+'24.082568'!Y16+'25.08.2568'!Y16+'26.08.256'!Y16+'27.08.2568'!Y16+'28.08.2568'!Y16+'29.08.2568'!Y16+'30.08.2568'!Y16+'31.08.2568'!Y16</f>
        <v>0</v>
      </c>
      <c r="Z16" s="75">
        <f t="shared" si="7"/>
        <v>107</v>
      </c>
    </row>
    <row r="17" spans="2:26">
      <c r="B17" s="50">
        <v>1111065</v>
      </c>
      <c r="C17" s="51" t="s">
        <v>38</v>
      </c>
      <c r="D17" s="52">
        <f>+'19.08.2568'!D17+'20.8.2568'!D17+'21.08.2568'!D17+'22.08.2568'!D17+'23.08.2568'!D17+'24.082568'!D17+'25.08.2568'!D17+'26.08.256'!D17+'27.08.2568'!D17+'28.08.2568'!D17+'29.08.2568'!D17+'30.08.2568'!D17+'31.08.2568'!D17</f>
        <v>0</v>
      </c>
      <c r="E17" s="52">
        <f>+'19.08.2568'!E17+'20.8.2568'!E17+'21.08.2568'!E17+'22.08.2568'!E17+'23.08.2568'!E17+'24.082568'!E17+'25.08.2568'!E17+'26.08.256'!E17+'27.08.2568'!E17+'28.08.2568'!E17+'29.08.2568'!E17+'30.08.2568'!E17+'31.08.2568'!E17</f>
        <v>0</v>
      </c>
      <c r="F17" s="69">
        <f t="shared" si="5"/>
        <v>0</v>
      </c>
      <c r="G17" s="52">
        <f>+'19.08.2568'!G17+'20.8.2568'!G17+'21.08.2568'!G17+'22.08.2568'!G17+'23.08.2568'!G17+'24.082568'!G17+'25.08.2568'!G17+'26.08.256'!G17+'27.08.2568'!G17+'28.08.2568'!G17+'29.08.2568'!G17+'30.08.2568'!G17+'31.08.2568'!G17</f>
        <v>106</v>
      </c>
      <c r="H17" s="52">
        <f>+'19.08.2568'!H17+'20.8.2568'!H17+'21.08.2568'!H17+'22.08.2568'!H17+'23.08.2568'!H17+'24.082568'!H17+'25.08.2568'!H17+'26.08.256'!H17+'27.08.2568'!H17+'28.08.2568'!H17+'29.08.2568'!H17+'30.08.2568'!H17+'31.08.2568'!H17</f>
        <v>0</v>
      </c>
      <c r="I17" s="69">
        <f t="shared" si="6"/>
        <v>106</v>
      </c>
      <c r="J17" s="52">
        <f>+'19.08.2568'!J17+'20.8.2568'!J17+'21.08.2568'!J17+'22.08.2568'!J17+'23.08.2568'!J17+'24.082568'!J17+'25.08.2568'!J17+'26.08.256'!J17+'27.08.2568'!J17+'28.08.2568'!J17+'29.08.2568'!J17+'30.08.2568'!J17+'31.08.2568'!J17</f>
        <v>0</v>
      </c>
      <c r="K17" s="52">
        <f>+'19.08.2568'!K17+'20.8.2568'!K17+'21.08.2568'!K17+'22.08.2568'!K17+'23.08.2568'!K17+'24.082568'!K17+'25.08.2568'!K17+'26.08.256'!K17+'27.08.2568'!K17+'28.08.2568'!K17+'29.08.2568'!K17+'30.08.2568'!K17+'31.08.2568'!K17</f>
        <v>0</v>
      </c>
      <c r="L17" s="69">
        <f t="shared" si="0"/>
        <v>0</v>
      </c>
      <c r="M17" s="52">
        <f>+'19.08.2568'!M17+'20.8.2568'!M17+'21.08.2568'!M17+'22.08.2568'!M17+'23.08.2568'!M17+'24.082568'!M17+'25.08.2568'!M17+'26.08.256'!M17+'27.08.2568'!M17+'28.08.2568'!M17+'29.08.2568'!M17+'30.08.2568'!M17+'31.08.2568'!M17</f>
        <v>0</v>
      </c>
      <c r="N17" s="52">
        <f>+'19.08.2568'!N17+'20.8.2568'!N17+'21.08.2568'!N17+'22.08.2568'!N17+'23.08.2568'!N17+'24.082568'!N17+'25.08.2568'!N17+'26.08.256'!N17+'27.08.2568'!N17+'28.08.2568'!N17+'29.08.2568'!N17+'30.08.2568'!N17+'31.08.2568'!N17</f>
        <v>0</v>
      </c>
      <c r="O17" s="69">
        <f t="shared" si="1"/>
        <v>0</v>
      </c>
      <c r="P17" s="52">
        <f>+'19.08.2568'!P17+'20.8.2568'!P17+'21.08.2568'!P17+'22.08.2568'!P17+'23.08.2568'!P17+'24.082568'!P17+'25.08.2568'!P17+'26.08.256'!P17+'27.08.2568'!P17+'28.08.2568'!P17+'29.08.2568'!P17+'30.08.2568'!P17+'31.08.2568'!P17</f>
        <v>0</v>
      </c>
      <c r="Q17" s="52">
        <f>+'19.08.2568'!Q17+'20.8.2568'!Q17+'21.08.2568'!Q17+'22.08.2568'!Q17+'23.08.2568'!Q17+'24.082568'!Q17+'25.08.2568'!Q17+'26.08.256'!Q17+'27.08.2568'!Q17+'28.08.2568'!Q17+'29.08.2568'!Q17+'30.08.2568'!Q17+'31.08.2568'!Q17</f>
        <v>0</v>
      </c>
      <c r="R17" s="69">
        <f t="shared" si="2"/>
        <v>0</v>
      </c>
      <c r="S17" s="52"/>
      <c r="T17" s="52"/>
      <c r="U17" s="69">
        <f t="shared" si="3"/>
        <v>0</v>
      </c>
      <c r="V17" s="52"/>
      <c r="W17" s="52"/>
      <c r="X17" s="69">
        <f t="shared" si="4"/>
        <v>0</v>
      </c>
      <c r="Y17" s="52">
        <f>+'19.08.2568'!Y17+'20.8.2568'!Y17+'21.08.2568'!Y17+'22.08.2568'!Y17+'23.08.2568'!Y17+'24.082568'!Y17+'25.08.2568'!Y17+'26.08.256'!Y17+'27.08.2568'!Y17+'28.08.2568'!Y17+'29.08.2568'!Y17+'30.08.2568'!Y17+'31.08.2568'!Y17</f>
        <v>0</v>
      </c>
      <c r="Z17" s="75">
        <f t="shared" si="7"/>
        <v>106</v>
      </c>
    </row>
    <row r="18" spans="2:26">
      <c r="B18" s="50">
        <v>1111066</v>
      </c>
      <c r="C18" s="51" t="s">
        <v>39</v>
      </c>
      <c r="D18" s="52">
        <f>+'19.08.2568'!D18+'20.8.2568'!D18+'21.08.2568'!D18+'22.08.2568'!D18+'23.08.2568'!D18+'24.082568'!D18+'25.08.2568'!D18+'26.08.256'!D18+'27.08.2568'!D18+'28.08.2568'!D18+'29.08.2568'!D18+'30.08.2568'!D18+'31.08.2568'!D18</f>
        <v>0</v>
      </c>
      <c r="E18" s="52">
        <f>+'19.08.2568'!E18+'20.8.2568'!E18+'21.08.2568'!E18+'22.08.2568'!E18+'23.08.2568'!E18+'24.082568'!E18+'25.08.2568'!E18+'26.08.256'!E18+'27.08.2568'!E18+'28.08.2568'!E18+'29.08.2568'!E18+'30.08.2568'!E18+'31.08.2568'!E18</f>
        <v>0</v>
      </c>
      <c r="F18" s="69">
        <f t="shared" si="5"/>
        <v>0</v>
      </c>
      <c r="G18" s="52">
        <f>+'19.08.2568'!G18+'20.8.2568'!G18+'21.08.2568'!G18+'22.08.2568'!G18+'23.08.2568'!G18+'24.082568'!G18+'25.08.2568'!G18+'26.08.256'!G18+'27.08.2568'!G18+'28.08.2568'!G18+'29.08.2568'!G18+'30.08.2568'!G18+'31.08.2568'!G18</f>
        <v>105</v>
      </c>
      <c r="H18" s="52">
        <f>+'19.08.2568'!H18+'20.8.2568'!H18+'21.08.2568'!H18+'22.08.2568'!H18+'23.08.2568'!H18+'24.082568'!H18+'25.08.2568'!H18+'26.08.256'!H18+'27.08.2568'!H18+'28.08.2568'!H18+'29.08.2568'!H18+'30.08.2568'!H18+'31.08.2568'!H18</f>
        <v>0</v>
      </c>
      <c r="I18" s="69">
        <f t="shared" si="6"/>
        <v>105</v>
      </c>
      <c r="J18" s="52">
        <f>+'19.08.2568'!J18+'20.8.2568'!J18+'21.08.2568'!J18+'22.08.2568'!J18+'23.08.2568'!J18+'24.082568'!J18+'25.08.2568'!J18+'26.08.256'!J18+'27.08.2568'!J18+'28.08.2568'!J18+'29.08.2568'!J18+'30.08.2568'!J18+'31.08.2568'!J18</f>
        <v>0</v>
      </c>
      <c r="K18" s="52">
        <f>+'19.08.2568'!K18+'20.8.2568'!K18+'21.08.2568'!K18+'22.08.2568'!K18+'23.08.2568'!K18+'24.082568'!K18+'25.08.2568'!K18+'26.08.256'!K18+'27.08.2568'!K18+'28.08.2568'!K18+'29.08.2568'!K18+'30.08.2568'!K18+'31.08.2568'!K18</f>
        <v>0</v>
      </c>
      <c r="L18" s="69">
        <f t="shared" si="0"/>
        <v>0</v>
      </c>
      <c r="M18" s="52">
        <f>+'19.08.2568'!M18+'20.8.2568'!M18+'21.08.2568'!M18+'22.08.2568'!M18+'23.08.2568'!M18+'24.082568'!M18+'25.08.2568'!M18+'26.08.256'!M18+'27.08.2568'!M18+'28.08.2568'!M18+'29.08.2568'!M18+'30.08.2568'!M18+'31.08.2568'!M18</f>
        <v>0</v>
      </c>
      <c r="N18" s="52">
        <f>+'19.08.2568'!N18+'20.8.2568'!N18+'21.08.2568'!N18+'22.08.2568'!N18+'23.08.2568'!N18+'24.082568'!N18+'25.08.2568'!N18+'26.08.256'!N18+'27.08.2568'!N18+'28.08.2568'!N18+'29.08.2568'!N18+'30.08.2568'!N18+'31.08.2568'!N18</f>
        <v>0</v>
      </c>
      <c r="O18" s="69">
        <f t="shared" si="1"/>
        <v>0</v>
      </c>
      <c r="P18" s="52">
        <f>+'19.08.2568'!P18+'20.8.2568'!P18+'21.08.2568'!P18+'22.08.2568'!P18+'23.08.2568'!P18+'24.082568'!P18+'25.08.2568'!P18+'26.08.256'!P18+'27.08.2568'!P18+'28.08.2568'!P18+'29.08.2568'!P18+'30.08.2568'!P18+'31.08.2568'!P18</f>
        <v>0</v>
      </c>
      <c r="Q18" s="52">
        <f>+'19.08.2568'!Q18+'20.8.2568'!Q18+'21.08.2568'!Q18+'22.08.2568'!Q18+'23.08.2568'!Q18+'24.082568'!Q18+'25.08.2568'!Q18+'26.08.256'!Q18+'27.08.2568'!Q18+'28.08.2568'!Q18+'29.08.2568'!Q18+'30.08.2568'!Q18+'31.08.2568'!Q18</f>
        <v>0</v>
      </c>
      <c r="R18" s="69">
        <f t="shared" si="2"/>
        <v>0</v>
      </c>
      <c r="S18" s="52"/>
      <c r="T18" s="52"/>
      <c r="U18" s="69">
        <f t="shared" si="3"/>
        <v>0</v>
      </c>
      <c r="V18" s="52"/>
      <c r="W18" s="52"/>
      <c r="X18" s="69">
        <f t="shared" si="4"/>
        <v>0</v>
      </c>
      <c r="Y18" s="52">
        <f>+'19.08.2568'!Y18+'20.8.2568'!Y18+'21.08.2568'!Y18+'22.08.2568'!Y18+'23.08.2568'!Y18+'24.082568'!Y18+'25.08.2568'!Y18+'26.08.256'!Y18+'27.08.2568'!Y18+'28.08.2568'!Y18+'29.08.2568'!Y18+'30.08.2568'!Y18+'31.08.2568'!Y18</f>
        <v>0</v>
      </c>
      <c r="Z18" s="75">
        <f t="shared" si="7"/>
        <v>105</v>
      </c>
    </row>
    <row r="19" spans="2:26">
      <c r="B19" s="50">
        <v>1111067</v>
      </c>
      <c r="C19" s="51" t="s">
        <v>40</v>
      </c>
      <c r="D19" s="52">
        <f>+'19.08.2568'!D19+'20.8.2568'!D19+'21.08.2568'!D19+'22.08.2568'!D19+'23.08.2568'!D19+'24.082568'!D19+'25.08.2568'!D19+'26.08.256'!D19+'27.08.2568'!D19+'28.08.2568'!D19+'29.08.2568'!D19+'30.08.2568'!D19+'31.08.2568'!D19</f>
        <v>0</v>
      </c>
      <c r="E19" s="52">
        <f>+'19.08.2568'!E19+'20.8.2568'!E19+'21.08.2568'!E19+'22.08.2568'!E19+'23.08.2568'!E19+'24.082568'!E19+'25.08.2568'!E19+'26.08.256'!E19+'27.08.2568'!E19+'28.08.2568'!E19+'29.08.2568'!E19+'30.08.2568'!E19+'31.08.2568'!E19</f>
        <v>0</v>
      </c>
      <c r="F19" s="69">
        <f t="shared" si="5"/>
        <v>0</v>
      </c>
      <c r="G19" s="52">
        <f>+'19.08.2568'!G19+'20.8.2568'!G19+'21.08.2568'!G19+'22.08.2568'!G19+'23.08.2568'!G19+'24.082568'!G19+'25.08.2568'!G19+'26.08.256'!G19+'27.08.2568'!G19+'28.08.2568'!G19+'29.08.2568'!G19+'30.08.2568'!G19+'31.08.2568'!G19</f>
        <v>53</v>
      </c>
      <c r="H19" s="52">
        <f>+'19.08.2568'!H19+'20.8.2568'!H19+'21.08.2568'!H19+'22.08.2568'!H19+'23.08.2568'!H19+'24.082568'!H19+'25.08.2568'!H19+'26.08.256'!H19+'27.08.2568'!H19+'28.08.2568'!H19+'29.08.2568'!H19+'30.08.2568'!H19+'31.08.2568'!H19</f>
        <v>0</v>
      </c>
      <c r="I19" s="69">
        <f t="shared" si="6"/>
        <v>53</v>
      </c>
      <c r="J19" s="52">
        <f>+'19.08.2568'!J19+'20.8.2568'!J19+'21.08.2568'!J19+'22.08.2568'!J19+'23.08.2568'!J19+'24.082568'!J19+'25.08.2568'!J19+'26.08.256'!J19+'27.08.2568'!J19+'28.08.2568'!J19+'29.08.2568'!J19+'30.08.2568'!J19+'31.08.2568'!J19</f>
        <v>0</v>
      </c>
      <c r="K19" s="52">
        <f>+'19.08.2568'!K19+'20.8.2568'!K19+'21.08.2568'!K19+'22.08.2568'!K19+'23.08.2568'!K19+'24.082568'!K19+'25.08.2568'!K19+'26.08.256'!K19+'27.08.2568'!K19+'28.08.2568'!K19+'29.08.2568'!K19+'30.08.2568'!K19+'31.08.2568'!K19</f>
        <v>0</v>
      </c>
      <c r="L19" s="69">
        <f t="shared" si="0"/>
        <v>0</v>
      </c>
      <c r="M19" s="52">
        <f>+'19.08.2568'!M19+'20.8.2568'!M19+'21.08.2568'!M19+'22.08.2568'!M19+'23.08.2568'!M19+'24.082568'!M19+'25.08.2568'!M19+'26.08.256'!M19+'27.08.2568'!M19+'28.08.2568'!M19+'29.08.2568'!M19+'30.08.2568'!M19+'31.08.2568'!M19</f>
        <v>0</v>
      </c>
      <c r="N19" s="52">
        <f>+'19.08.2568'!N19+'20.8.2568'!N19+'21.08.2568'!N19+'22.08.2568'!N19+'23.08.2568'!N19+'24.082568'!N19+'25.08.2568'!N19+'26.08.256'!N19+'27.08.2568'!N19+'28.08.2568'!N19+'29.08.2568'!N19+'30.08.2568'!N19+'31.08.2568'!N19</f>
        <v>0</v>
      </c>
      <c r="O19" s="69">
        <f t="shared" si="1"/>
        <v>0</v>
      </c>
      <c r="P19" s="52">
        <f>+'19.08.2568'!P19+'20.8.2568'!P19+'21.08.2568'!P19+'22.08.2568'!P19+'23.08.2568'!P19+'24.082568'!P19+'25.08.2568'!P19+'26.08.256'!P19+'27.08.2568'!P19+'28.08.2568'!P19+'29.08.2568'!P19+'30.08.2568'!P19+'31.08.2568'!P19</f>
        <v>0</v>
      </c>
      <c r="Q19" s="52">
        <f>+'19.08.2568'!Q19+'20.8.2568'!Q19+'21.08.2568'!Q19+'22.08.2568'!Q19+'23.08.2568'!Q19+'24.082568'!Q19+'25.08.2568'!Q19+'26.08.256'!Q19+'27.08.2568'!Q19+'28.08.2568'!Q19+'29.08.2568'!Q19+'30.08.2568'!Q19+'31.08.2568'!Q19</f>
        <v>0</v>
      </c>
      <c r="R19" s="69">
        <f t="shared" si="2"/>
        <v>0</v>
      </c>
      <c r="S19" s="52"/>
      <c r="T19" s="52"/>
      <c r="U19" s="69">
        <f t="shared" si="3"/>
        <v>0</v>
      </c>
      <c r="V19" s="52"/>
      <c r="W19" s="52"/>
      <c r="X19" s="69">
        <f t="shared" si="4"/>
        <v>0</v>
      </c>
      <c r="Y19" s="52">
        <f>+'19.08.2568'!Y19+'20.8.2568'!Y19+'21.08.2568'!Y19+'22.08.2568'!Y19+'23.08.2568'!Y19+'24.082568'!Y19+'25.08.2568'!Y19+'26.08.256'!Y19+'27.08.2568'!Y19+'28.08.2568'!Y19+'29.08.2568'!Y19+'30.08.2568'!Y19+'31.08.2568'!Y19</f>
        <v>0</v>
      </c>
      <c r="Z19" s="75">
        <f t="shared" si="7"/>
        <v>53</v>
      </c>
    </row>
    <row r="20" spans="2:26">
      <c r="B20" s="50">
        <v>1111068</v>
      </c>
      <c r="C20" s="51" t="s">
        <v>41</v>
      </c>
      <c r="D20" s="52">
        <f>+'19.08.2568'!D20+'20.8.2568'!D20+'21.08.2568'!D20+'22.08.2568'!D20+'23.08.2568'!D20+'24.082568'!D20+'25.08.2568'!D20+'26.08.256'!D20+'27.08.2568'!D20+'28.08.2568'!D20+'29.08.2568'!D20+'30.08.2568'!D20+'31.08.2568'!D20</f>
        <v>0</v>
      </c>
      <c r="E20" s="52">
        <f>+'19.08.2568'!E20+'20.8.2568'!E20+'21.08.2568'!E20+'22.08.2568'!E20+'23.08.2568'!E20+'24.082568'!E20+'25.08.2568'!E20+'26.08.256'!E20+'27.08.2568'!E20+'28.08.2568'!E20+'29.08.2568'!E20+'30.08.2568'!E20+'31.08.2568'!E20</f>
        <v>0</v>
      </c>
      <c r="F20" s="69">
        <f t="shared" si="5"/>
        <v>0</v>
      </c>
      <c r="G20" s="52">
        <f>+'19.08.2568'!G20+'20.8.2568'!G20+'21.08.2568'!G20+'22.08.2568'!G20+'23.08.2568'!G20+'24.082568'!G20+'25.08.2568'!G20+'26.08.256'!G20+'27.08.2568'!G20+'28.08.2568'!G20+'29.08.2568'!G20+'30.08.2568'!G20+'31.08.2568'!G20</f>
        <v>53</v>
      </c>
      <c r="H20" s="52">
        <f>+'19.08.2568'!H20+'20.8.2568'!H20+'21.08.2568'!H20+'22.08.2568'!H20+'23.08.2568'!H20+'24.082568'!H20+'25.08.2568'!H20+'26.08.256'!H20+'27.08.2568'!H20+'28.08.2568'!H20+'29.08.2568'!H20+'30.08.2568'!H20+'31.08.2568'!H20</f>
        <v>0</v>
      </c>
      <c r="I20" s="69">
        <f t="shared" si="6"/>
        <v>53</v>
      </c>
      <c r="J20" s="52">
        <f>+'19.08.2568'!J20+'20.8.2568'!J20+'21.08.2568'!J20+'22.08.2568'!J20+'23.08.2568'!J20+'24.082568'!J20+'25.08.2568'!J20+'26.08.256'!J20+'27.08.2568'!J20+'28.08.2568'!J20+'29.08.2568'!J20+'30.08.2568'!J20+'31.08.2568'!J20</f>
        <v>0</v>
      </c>
      <c r="K20" s="52">
        <f>+'19.08.2568'!K20+'20.8.2568'!K20+'21.08.2568'!K20+'22.08.2568'!K20+'23.08.2568'!K20+'24.082568'!K20+'25.08.2568'!K20+'26.08.256'!K20+'27.08.2568'!K20+'28.08.2568'!K20+'29.08.2568'!K20+'30.08.2568'!K20+'31.08.2568'!K20</f>
        <v>0</v>
      </c>
      <c r="L20" s="69">
        <f t="shared" si="0"/>
        <v>0</v>
      </c>
      <c r="M20" s="52">
        <f>+'19.08.2568'!M20+'20.8.2568'!M20+'21.08.2568'!M20+'22.08.2568'!M20+'23.08.2568'!M20+'24.082568'!M20+'25.08.2568'!M20+'26.08.256'!M20+'27.08.2568'!M20+'28.08.2568'!M20+'29.08.2568'!M20+'30.08.2568'!M20+'31.08.2568'!M20</f>
        <v>0</v>
      </c>
      <c r="N20" s="52">
        <f>+'19.08.2568'!N20+'20.8.2568'!N20+'21.08.2568'!N20+'22.08.2568'!N20+'23.08.2568'!N20+'24.082568'!N20+'25.08.2568'!N20+'26.08.256'!N20+'27.08.2568'!N20+'28.08.2568'!N20+'29.08.2568'!N20+'30.08.2568'!N20+'31.08.2568'!N20</f>
        <v>0</v>
      </c>
      <c r="O20" s="69">
        <f t="shared" si="1"/>
        <v>0</v>
      </c>
      <c r="P20" s="52">
        <f>+'19.08.2568'!P20+'20.8.2568'!P20+'21.08.2568'!P20+'22.08.2568'!P20+'23.08.2568'!P20+'24.082568'!P20+'25.08.2568'!P20+'26.08.256'!P20+'27.08.2568'!P20+'28.08.2568'!P20+'29.08.2568'!P20+'30.08.2568'!P20+'31.08.2568'!P20</f>
        <v>0</v>
      </c>
      <c r="Q20" s="52">
        <f>+'19.08.2568'!Q20+'20.8.2568'!Q20+'21.08.2568'!Q20+'22.08.2568'!Q20+'23.08.2568'!Q20+'24.082568'!Q20+'25.08.2568'!Q20+'26.08.256'!Q20+'27.08.2568'!Q20+'28.08.2568'!Q20+'29.08.2568'!Q20+'30.08.2568'!Q20+'31.08.2568'!Q20</f>
        <v>0</v>
      </c>
      <c r="R20" s="69">
        <f t="shared" si="2"/>
        <v>0</v>
      </c>
      <c r="S20" s="52"/>
      <c r="T20" s="52"/>
      <c r="U20" s="69">
        <f t="shared" si="3"/>
        <v>0</v>
      </c>
      <c r="V20" s="52"/>
      <c r="W20" s="52"/>
      <c r="X20" s="69">
        <f t="shared" si="4"/>
        <v>0</v>
      </c>
      <c r="Y20" s="52">
        <f>+'19.08.2568'!Y20+'20.8.2568'!Y20+'21.08.2568'!Y20+'22.08.2568'!Y20+'23.08.2568'!Y20+'24.082568'!Y20+'25.08.2568'!Y20+'26.08.256'!Y20+'27.08.2568'!Y20+'28.08.2568'!Y20+'29.08.2568'!Y20+'30.08.2568'!Y20+'31.08.2568'!Y20</f>
        <v>0</v>
      </c>
      <c r="Z20" s="75">
        <f t="shared" si="7"/>
        <v>53</v>
      </c>
    </row>
    <row r="21" spans="2:26">
      <c r="B21" s="50">
        <v>1111069</v>
      </c>
      <c r="C21" s="51" t="s">
        <v>42</v>
      </c>
      <c r="D21" s="52">
        <f>+'19.08.2568'!D21+'20.8.2568'!D21+'21.08.2568'!D21+'22.08.2568'!D21+'23.08.2568'!D21+'24.082568'!D21+'25.08.2568'!D21+'26.08.256'!D21+'27.08.2568'!D21+'28.08.2568'!D21+'29.08.2568'!D21+'30.08.2568'!D21+'31.08.2568'!D21</f>
        <v>0</v>
      </c>
      <c r="E21" s="52">
        <f>+'19.08.2568'!E21+'20.8.2568'!E21+'21.08.2568'!E21+'22.08.2568'!E21+'23.08.2568'!E21+'24.082568'!E21+'25.08.2568'!E21+'26.08.256'!E21+'27.08.2568'!E21+'28.08.2568'!E21+'29.08.2568'!E21+'30.08.2568'!E21+'31.08.2568'!E21</f>
        <v>0</v>
      </c>
      <c r="F21" s="69">
        <f t="shared" si="5"/>
        <v>0</v>
      </c>
      <c r="G21" s="52">
        <f>+'19.08.2568'!G21+'20.8.2568'!G21+'21.08.2568'!G21+'22.08.2568'!G21+'23.08.2568'!G21+'24.082568'!G21+'25.08.2568'!G21+'26.08.256'!G21+'27.08.2568'!G21+'28.08.2568'!G21+'29.08.2568'!G21+'30.08.2568'!G21+'31.08.2568'!G21</f>
        <v>53</v>
      </c>
      <c r="H21" s="52">
        <f>+'19.08.2568'!H21+'20.8.2568'!H21+'21.08.2568'!H21+'22.08.2568'!H21+'23.08.2568'!H21+'24.082568'!H21+'25.08.2568'!H21+'26.08.256'!H21+'27.08.2568'!H21+'28.08.2568'!H21+'29.08.2568'!H21+'30.08.2568'!H21+'31.08.2568'!H21</f>
        <v>0</v>
      </c>
      <c r="I21" s="69">
        <f t="shared" si="6"/>
        <v>53</v>
      </c>
      <c r="J21" s="52">
        <f>+'19.08.2568'!J21+'20.8.2568'!J21+'21.08.2568'!J21+'22.08.2568'!J21+'23.08.2568'!J21+'24.082568'!J21+'25.08.2568'!J21+'26.08.256'!J21+'27.08.2568'!J21+'28.08.2568'!J21+'29.08.2568'!J21+'30.08.2568'!J21+'31.08.2568'!J21</f>
        <v>0</v>
      </c>
      <c r="K21" s="52">
        <f>+'19.08.2568'!K21+'20.8.2568'!K21+'21.08.2568'!K21+'22.08.2568'!K21+'23.08.2568'!K21+'24.082568'!K21+'25.08.2568'!K21+'26.08.256'!K21+'27.08.2568'!K21+'28.08.2568'!K21+'29.08.2568'!K21+'30.08.2568'!K21+'31.08.2568'!K21</f>
        <v>0</v>
      </c>
      <c r="L21" s="69">
        <f t="shared" si="0"/>
        <v>0</v>
      </c>
      <c r="M21" s="52">
        <f>+'19.08.2568'!M21+'20.8.2568'!M21+'21.08.2568'!M21+'22.08.2568'!M21+'23.08.2568'!M21+'24.082568'!M21+'25.08.2568'!M21+'26.08.256'!M21+'27.08.2568'!M21+'28.08.2568'!M21+'29.08.2568'!M21+'30.08.2568'!M21+'31.08.2568'!M21</f>
        <v>0</v>
      </c>
      <c r="N21" s="52">
        <f>+'19.08.2568'!N21+'20.8.2568'!N21+'21.08.2568'!N21+'22.08.2568'!N21+'23.08.2568'!N21+'24.082568'!N21+'25.08.2568'!N21+'26.08.256'!N21+'27.08.2568'!N21+'28.08.2568'!N21+'29.08.2568'!N21+'30.08.2568'!N21+'31.08.2568'!N21</f>
        <v>0</v>
      </c>
      <c r="O21" s="69">
        <f t="shared" si="1"/>
        <v>0</v>
      </c>
      <c r="P21" s="52">
        <f>+'19.08.2568'!P21+'20.8.2568'!P21+'21.08.2568'!P21+'22.08.2568'!P21+'23.08.2568'!P21+'24.082568'!P21+'25.08.2568'!P21+'26.08.256'!P21+'27.08.2568'!P21+'28.08.2568'!P21+'29.08.2568'!P21+'30.08.2568'!P21+'31.08.2568'!P21</f>
        <v>0</v>
      </c>
      <c r="Q21" s="52">
        <f>+'19.08.2568'!Q21+'20.8.2568'!Q21+'21.08.2568'!Q21+'22.08.2568'!Q21+'23.08.2568'!Q21+'24.082568'!Q21+'25.08.2568'!Q21+'26.08.256'!Q21+'27.08.2568'!Q21+'28.08.2568'!Q21+'29.08.2568'!Q21+'30.08.2568'!Q21+'31.08.2568'!Q21</f>
        <v>0</v>
      </c>
      <c r="R21" s="69">
        <f t="shared" si="2"/>
        <v>0</v>
      </c>
      <c r="S21" s="52"/>
      <c r="T21" s="52"/>
      <c r="U21" s="69">
        <f t="shared" si="3"/>
        <v>0</v>
      </c>
      <c r="V21" s="52"/>
      <c r="W21" s="52"/>
      <c r="X21" s="69">
        <f t="shared" si="4"/>
        <v>0</v>
      </c>
      <c r="Y21" s="52">
        <f>+'19.08.2568'!Y21+'20.8.2568'!Y21+'21.08.2568'!Y21+'22.08.2568'!Y21+'23.08.2568'!Y21+'24.082568'!Y21+'25.08.2568'!Y21+'26.08.256'!Y21+'27.08.2568'!Y21+'28.08.2568'!Y21+'29.08.2568'!Y21+'30.08.2568'!Y21+'31.08.2568'!Y21</f>
        <v>0</v>
      </c>
      <c r="Z21" s="75">
        <f t="shared" si="7"/>
        <v>53</v>
      </c>
    </row>
    <row r="22" spans="2:26" hidden="1">
      <c r="B22" s="50">
        <v>1111070</v>
      </c>
      <c r="C22" s="51" t="s">
        <v>127</v>
      </c>
      <c r="D22" s="52">
        <f>+'19.08.2568'!D22+'20.8.2568'!D22+'21.08.2568'!D22+'22.08.2568'!D22+'23.08.2568'!D22+'24.082568'!D22+'25.08.2568'!D22+'26.08.256'!D22+'27.08.2568'!D22+'28.08.2568'!D22+'29.08.2568'!D22+'30.08.2568'!D22+'31.08.2568'!D22</f>
        <v>0</v>
      </c>
      <c r="E22" s="52">
        <f>+'19.08.2568'!E22+'20.8.2568'!E22+'21.08.2568'!E22+'22.08.2568'!E22+'23.08.2568'!E22+'24.082568'!E22+'25.08.2568'!E22+'26.08.256'!E22+'27.08.2568'!E22+'28.08.2568'!E22+'29.08.2568'!E22+'30.08.2568'!E22+'31.08.2568'!E22</f>
        <v>0</v>
      </c>
      <c r="F22" s="69">
        <f t="shared" si="5"/>
        <v>0</v>
      </c>
      <c r="G22" s="52">
        <f>+'19.08.2568'!G22+'20.8.2568'!G22+'21.08.2568'!G22+'22.08.2568'!G22+'23.08.2568'!G22+'24.082568'!G22+'25.08.2568'!G22+'26.08.256'!G22+'27.08.2568'!G22+'28.08.2568'!G22+'29.08.2568'!G22+'30.08.2568'!G22+'31.08.2568'!G22</f>
        <v>0</v>
      </c>
      <c r="H22" s="52">
        <f>+'19.08.2568'!H22+'20.8.2568'!H22+'21.08.2568'!H22+'22.08.2568'!H22+'23.08.2568'!H22+'24.082568'!H22+'25.08.2568'!H22+'26.08.256'!H22+'27.08.2568'!H22+'28.08.2568'!H22+'29.08.2568'!H22+'30.08.2568'!H22+'31.08.2568'!H22</f>
        <v>0</v>
      </c>
      <c r="I22" s="69">
        <f t="shared" si="6"/>
        <v>0</v>
      </c>
      <c r="J22" s="52">
        <f>+'19.08.2568'!J22+'20.8.2568'!J22+'21.08.2568'!J22+'22.08.2568'!J22+'23.08.2568'!J22+'24.082568'!J22+'25.08.2568'!J22+'26.08.256'!J22+'27.08.2568'!J22+'28.08.2568'!J22+'29.08.2568'!J22+'30.08.2568'!J22+'31.08.2568'!J22</f>
        <v>0</v>
      </c>
      <c r="K22" s="52">
        <f>+'19.08.2568'!K22+'20.8.2568'!K22+'21.08.2568'!K22+'22.08.2568'!K22+'23.08.2568'!K22+'24.082568'!K22+'25.08.2568'!K22+'26.08.256'!K22+'27.08.2568'!K22+'28.08.2568'!K22+'29.08.2568'!K22+'30.08.2568'!K22+'31.08.2568'!K22</f>
        <v>0</v>
      </c>
      <c r="L22" s="69">
        <f t="shared" si="0"/>
        <v>0</v>
      </c>
      <c r="M22" s="52">
        <f>+'19.08.2568'!M22+'20.8.2568'!M22+'21.08.2568'!M22+'22.08.2568'!M22+'23.08.2568'!M22+'24.082568'!M22+'25.08.2568'!M22+'26.08.256'!M22+'27.08.2568'!M22+'28.08.2568'!M22+'29.08.2568'!M22+'30.08.2568'!M22+'31.08.2568'!M22</f>
        <v>0</v>
      </c>
      <c r="N22" s="52">
        <f>+'19.08.2568'!N22+'20.8.2568'!N22+'21.08.2568'!N22+'22.08.2568'!N22+'23.08.2568'!N22+'24.082568'!N22+'25.08.2568'!N22+'26.08.256'!N22+'27.08.2568'!N22+'28.08.2568'!N22+'29.08.2568'!N22+'30.08.2568'!N22+'31.08.2568'!N22</f>
        <v>0</v>
      </c>
      <c r="O22" s="69">
        <f t="shared" si="1"/>
        <v>0</v>
      </c>
      <c r="P22" s="52">
        <f>+'19.08.2568'!P22+'20.8.2568'!P22+'21.08.2568'!P22+'22.08.2568'!P22+'23.08.2568'!P22+'24.082568'!P22+'25.08.2568'!P22+'26.08.256'!P22+'27.08.2568'!P22+'28.08.2568'!P22+'29.08.2568'!P22+'30.08.2568'!P22+'31.08.2568'!P22</f>
        <v>0</v>
      </c>
      <c r="Q22" s="52">
        <f>+'19.08.2568'!Q22+'20.8.2568'!Q22+'21.08.2568'!Q22+'22.08.2568'!Q22+'23.08.2568'!Q22+'24.082568'!Q22+'25.08.2568'!Q22+'26.08.256'!Q22+'27.08.2568'!Q22+'28.08.2568'!Q22+'29.08.2568'!Q22+'30.08.2568'!Q22+'31.08.2568'!Q22</f>
        <v>0</v>
      </c>
      <c r="R22" s="69">
        <f t="shared" si="2"/>
        <v>0</v>
      </c>
      <c r="S22" s="52"/>
      <c r="T22" s="52"/>
      <c r="U22" s="69">
        <f t="shared" si="3"/>
        <v>0</v>
      </c>
      <c r="V22" s="52"/>
      <c r="W22" s="52"/>
      <c r="X22" s="69">
        <f t="shared" si="4"/>
        <v>0</v>
      </c>
      <c r="Y22" s="52">
        <f>+'19.08.2568'!Y22+'20.8.2568'!Y22+'21.08.2568'!Y22+'22.08.2568'!Y22+'23.08.2568'!Y22+'24.082568'!Y22+'25.08.2568'!Y22+'26.08.256'!Y22+'27.08.2568'!Y22+'28.08.2568'!Y22+'29.08.2568'!Y22+'30.08.2568'!Y22+'31.08.2568'!Y22</f>
        <v>0</v>
      </c>
      <c r="Z22" s="64">
        <f t="shared" si="7"/>
        <v>0</v>
      </c>
    </row>
    <row r="23" spans="2:26" hidden="1">
      <c r="B23" s="50">
        <v>1111071</v>
      </c>
      <c r="C23" s="51" t="s">
        <v>128</v>
      </c>
      <c r="D23" s="52">
        <f>+'19.08.2568'!D23+'20.8.2568'!D23+'21.08.2568'!D23+'22.08.2568'!D23+'23.08.2568'!D23+'24.082568'!D23+'25.08.2568'!D23+'26.08.256'!D23+'27.08.2568'!D23+'28.08.2568'!D23+'29.08.2568'!D23+'30.08.2568'!D23+'31.08.2568'!D23</f>
        <v>0</v>
      </c>
      <c r="E23" s="52">
        <f>+'19.08.2568'!E23+'20.8.2568'!E23+'21.08.2568'!E23+'22.08.2568'!E23+'23.08.2568'!E23+'24.082568'!E23+'25.08.2568'!E23+'26.08.256'!E23+'27.08.2568'!E23+'28.08.2568'!E23+'29.08.2568'!E23+'30.08.2568'!E23+'31.08.2568'!E23</f>
        <v>0</v>
      </c>
      <c r="F23" s="69">
        <f t="shared" si="5"/>
        <v>0</v>
      </c>
      <c r="G23" s="52">
        <f>+'19.08.2568'!G23+'20.8.2568'!G23+'21.08.2568'!G23+'22.08.2568'!G23+'23.08.2568'!G23+'24.082568'!G23+'25.08.2568'!G23+'26.08.256'!G23+'27.08.2568'!G23+'28.08.2568'!G23+'29.08.2568'!G23+'30.08.2568'!G23+'31.08.2568'!G23</f>
        <v>0</v>
      </c>
      <c r="H23" s="52">
        <f>+'19.08.2568'!H23+'20.8.2568'!H23+'21.08.2568'!H23+'22.08.2568'!H23+'23.08.2568'!H23+'24.082568'!H23+'25.08.2568'!H23+'26.08.256'!H23+'27.08.2568'!H23+'28.08.2568'!H23+'29.08.2568'!H23+'30.08.2568'!H23+'31.08.2568'!H23</f>
        <v>0</v>
      </c>
      <c r="I23" s="69">
        <f t="shared" si="6"/>
        <v>0</v>
      </c>
      <c r="J23" s="52">
        <f>+'19.08.2568'!J23+'20.8.2568'!J23+'21.08.2568'!J23+'22.08.2568'!J23+'23.08.2568'!J23+'24.082568'!J23+'25.08.2568'!J23+'26.08.256'!J23+'27.08.2568'!J23+'28.08.2568'!J23+'29.08.2568'!J23+'30.08.2568'!J23+'31.08.2568'!J23</f>
        <v>0</v>
      </c>
      <c r="K23" s="52">
        <f>+'19.08.2568'!K23+'20.8.2568'!K23+'21.08.2568'!K23+'22.08.2568'!K23+'23.08.2568'!K23+'24.082568'!K23+'25.08.2568'!K23+'26.08.256'!K23+'27.08.2568'!K23+'28.08.2568'!K23+'29.08.2568'!K23+'30.08.2568'!K23+'31.08.2568'!K23</f>
        <v>0</v>
      </c>
      <c r="L23" s="69">
        <f t="shared" si="0"/>
        <v>0</v>
      </c>
      <c r="M23" s="52">
        <f>+'19.08.2568'!M23+'20.8.2568'!M23+'21.08.2568'!M23+'22.08.2568'!M23+'23.08.2568'!M23+'24.082568'!M23+'25.08.2568'!M23+'26.08.256'!M23+'27.08.2568'!M23+'28.08.2568'!M23+'29.08.2568'!M23+'30.08.2568'!M23+'31.08.2568'!M23</f>
        <v>0</v>
      </c>
      <c r="N23" s="52">
        <f>+'19.08.2568'!N23+'20.8.2568'!N23+'21.08.2568'!N23+'22.08.2568'!N23+'23.08.2568'!N23+'24.082568'!N23+'25.08.2568'!N23+'26.08.256'!N23+'27.08.2568'!N23+'28.08.2568'!N23+'29.08.2568'!N23+'30.08.2568'!N23+'31.08.2568'!N23</f>
        <v>0</v>
      </c>
      <c r="O23" s="69">
        <f t="shared" si="1"/>
        <v>0</v>
      </c>
      <c r="P23" s="52">
        <f>+'19.08.2568'!P23+'20.8.2568'!P23+'21.08.2568'!P23+'22.08.2568'!P23+'23.08.2568'!P23+'24.082568'!P23+'25.08.2568'!P23+'26.08.256'!P23+'27.08.2568'!P23+'28.08.2568'!P23+'29.08.2568'!P23+'30.08.2568'!P23+'31.08.2568'!P23</f>
        <v>0</v>
      </c>
      <c r="Q23" s="52">
        <f>+'19.08.2568'!Q23+'20.8.2568'!Q23+'21.08.2568'!Q23+'22.08.2568'!Q23+'23.08.2568'!Q23+'24.082568'!Q23+'25.08.2568'!Q23+'26.08.256'!Q23+'27.08.2568'!Q23+'28.08.2568'!Q23+'29.08.2568'!Q23+'30.08.2568'!Q23+'31.08.2568'!Q23</f>
        <v>0</v>
      </c>
      <c r="R23" s="69">
        <f t="shared" si="2"/>
        <v>0</v>
      </c>
      <c r="S23" s="52"/>
      <c r="T23" s="52"/>
      <c r="U23" s="69">
        <f t="shared" si="3"/>
        <v>0</v>
      </c>
      <c r="V23" s="52"/>
      <c r="W23" s="52"/>
      <c r="X23" s="69">
        <f t="shared" si="4"/>
        <v>0</v>
      </c>
      <c r="Y23" s="52">
        <f>+'19.08.2568'!Y23+'20.8.2568'!Y23+'21.08.2568'!Y23+'22.08.2568'!Y23+'23.08.2568'!Y23+'24.082568'!Y23+'25.08.2568'!Y23+'26.08.256'!Y23+'27.08.2568'!Y23+'28.08.2568'!Y23+'29.08.2568'!Y23+'30.08.2568'!Y23+'31.08.2568'!Y23</f>
        <v>0</v>
      </c>
      <c r="Z23" s="64">
        <f t="shared" si="7"/>
        <v>0</v>
      </c>
    </row>
    <row r="24" spans="2:26" hidden="1">
      <c r="B24" s="50">
        <v>1111010</v>
      </c>
      <c r="C24" s="51" t="s">
        <v>155</v>
      </c>
      <c r="D24" s="52">
        <f>+'19.08.2568'!D24+'20.8.2568'!D24+'21.08.2568'!D24+'22.08.2568'!D24+'23.08.2568'!D24+'24.082568'!D24+'25.08.2568'!D24+'26.08.256'!D24+'27.08.2568'!D24+'28.08.2568'!D24+'29.08.2568'!D24+'30.08.2568'!D24+'31.08.2568'!D24</f>
        <v>0</v>
      </c>
      <c r="E24" s="52">
        <f>+'19.08.2568'!E24+'20.8.2568'!E24+'21.08.2568'!E24+'22.08.2568'!E24+'23.08.2568'!E24+'24.082568'!E24+'25.08.2568'!E24+'26.08.256'!E24+'27.08.2568'!E24+'28.08.2568'!E24+'29.08.2568'!E24+'30.08.2568'!E24+'31.08.2568'!E24</f>
        <v>0</v>
      </c>
      <c r="F24" s="69">
        <f t="shared" si="5"/>
        <v>0</v>
      </c>
      <c r="G24" s="52">
        <f>+'19.08.2568'!G24+'20.8.2568'!G24+'21.08.2568'!G24+'22.08.2568'!G24+'23.08.2568'!G24+'24.082568'!G24+'25.08.2568'!G24+'26.08.256'!G24+'27.08.2568'!G24+'28.08.2568'!G24+'29.08.2568'!G24+'30.08.2568'!G24+'31.08.2568'!G24</f>
        <v>0</v>
      </c>
      <c r="H24" s="52">
        <f>+'19.08.2568'!H24+'20.8.2568'!H24+'21.08.2568'!H24+'22.08.2568'!H24+'23.08.2568'!H24+'24.082568'!H24+'25.08.2568'!H24+'26.08.256'!H24+'27.08.2568'!H24+'28.08.2568'!H24+'29.08.2568'!H24+'30.08.2568'!H24+'31.08.2568'!H24</f>
        <v>0</v>
      </c>
      <c r="I24" s="69">
        <f t="shared" si="6"/>
        <v>0</v>
      </c>
      <c r="J24" s="52">
        <f>+'19.08.2568'!J24+'20.8.2568'!J24+'21.08.2568'!J24+'22.08.2568'!J24+'23.08.2568'!J24+'24.082568'!J24+'25.08.2568'!J24+'26.08.256'!J24+'27.08.2568'!J24+'28.08.2568'!J24+'29.08.2568'!J24+'30.08.2568'!J24+'31.08.2568'!J24</f>
        <v>0</v>
      </c>
      <c r="K24" s="52">
        <f>+'19.08.2568'!K24+'20.8.2568'!K24+'21.08.2568'!K24+'22.08.2568'!K24+'23.08.2568'!K24+'24.082568'!K24+'25.08.2568'!K24+'26.08.256'!K24+'27.08.2568'!K24+'28.08.2568'!K24+'29.08.2568'!K24+'30.08.2568'!K24+'31.08.2568'!K24</f>
        <v>0</v>
      </c>
      <c r="L24" s="69">
        <f t="shared" si="0"/>
        <v>0</v>
      </c>
      <c r="M24" s="52">
        <f>+'19.08.2568'!M24+'20.8.2568'!M24+'21.08.2568'!M24+'22.08.2568'!M24+'23.08.2568'!M24+'24.082568'!M24+'25.08.2568'!M24+'26.08.256'!M24+'27.08.2568'!M24+'28.08.2568'!M24+'29.08.2568'!M24+'30.08.2568'!M24+'31.08.2568'!M24</f>
        <v>0</v>
      </c>
      <c r="N24" s="52">
        <f>+'19.08.2568'!N24+'20.8.2568'!N24+'21.08.2568'!N24+'22.08.2568'!N24+'23.08.2568'!N24+'24.082568'!N24+'25.08.2568'!N24+'26.08.256'!N24+'27.08.2568'!N24+'28.08.2568'!N24+'29.08.2568'!N24+'30.08.2568'!N24+'31.08.2568'!N24</f>
        <v>0</v>
      </c>
      <c r="O24" s="69">
        <f t="shared" si="1"/>
        <v>0</v>
      </c>
      <c r="P24" s="52">
        <f>+'19.08.2568'!P24+'20.8.2568'!P24+'21.08.2568'!P24+'22.08.2568'!P24+'23.08.2568'!P24+'24.082568'!P24+'25.08.2568'!P24+'26.08.256'!P24+'27.08.2568'!P24+'28.08.2568'!P24+'29.08.2568'!P24+'30.08.2568'!P24+'31.08.2568'!P24</f>
        <v>0</v>
      </c>
      <c r="Q24" s="52">
        <f>+'19.08.2568'!Q24+'20.8.2568'!Q24+'21.08.2568'!Q24+'22.08.2568'!Q24+'23.08.2568'!Q24+'24.082568'!Q24+'25.08.2568'!Q24+'26.08.256'!Q24+'27.08.2568'!Q24+'28.08.2568'!Q24+'29.08.2568'!Q24+'30.08.2568'!Q24+'31.08.2568'!Q24</f>
        <v>0</v>
      </c>
      <c r="R24" s="69">
        <f t="shared" si="2"/>
        <v>0</v>
      </c>
      <c r="S24" s="52"/>
      <c r="T24" s="52"/>
      <c r="U24" s="69">
        <f t="shared" si="3"/>
        <v>0</v>
      </c>
      <c r="V24" s="52"/>
      <c r="W24" s="52"/>
      <c r="X24" s="69">
        <f t="shared" si="4"/>
        <v>0</v>
      </c>
      <c r="Y24" s="52">
        <f>+'19.08.2568'!Y24+'20.8.2568'!Y24+'21.08.2568'!Y24+'22.08.2568'!Y24+'23.08.2568'!Y24+'24.082568'!Y24+'25.08.2568'!Y24+'26.08.256'!Y24+'27.08.2568'!Y24+'28.08.2568'!Y24+'29.08.2568'!Y24+'30.08.2568'!Y24+'31.08.2568'!Y24</f>
        <v>0</v>
      </c>
      <c r="Z24" s="64">
        <f t="shared" si="7"/>
        <v>0</v>
      </c>
    </row>
    <row r="25" spans="2:26">
      <c r="B25" s="50">
        <v>1111008</v>
      </c>
      <c r="C25" s="51" t="s">
        <v>156</v>
      </c>
      <c r="D25" s="52">
        <f>+'19.08.2568'!D25+'20.8.2568'!D25+'21.08.2568'!D25+'22.08.2568'!D25+'23.08.2568'!D25+'24.082568'!D25+'25.08.2568'!D25+'26.08.256'!D25+'27.08.2568'!D25+'28.08.2568'!D25+'29.08.2568'!D25+'30.08.2568'!D25+'31.08.2568'!D25</f>
        <v>0</v>
      </c>
      <c r="E25" s="52">
        <f>+'19.08.2568'!E25+'20.8.2568'!E25+'21.08.2568'!E25+'22.08.2568'!E25+'23.08.2568'!E25+'24.082568'!E25+'25.08.2568'!E25+'26.08.256'!E25+'27.08.2568'!E25+'28.08.2568'!E25+'29.08.2568'!E25+'30.08.2568'!E25+'31.08.2568'!E25</f>
        <v>0</v>
      </c>
      <c r="F25" s="69">
        <f t="shared" si="5"/>
        <v>0</v>
      </c>
      <c r="G25" s="52">
        <f>+'19.08.2568'!G25+'20.8.2568'!G25+'21.08.2568'!G25+'22.08.2568'!G25+'23.08.2568'!G25+'24.082568'!G25+'25.08.2568'!G25+'26.08.256'!G25+'27.08.2568'!G25+'28.08.2568'!G25+'29.08.2568'!G25+'30.08.2568'!G25+'31.08.2568'!G25</f>
        <v>34</v>
      </c>
      <c r="H25" s="52">
        <f>+'19.08.2568'!H25+'20.8.2568'!H25+'21.08.2568'!H25+'22.08.2568'!H25+'23.08.2568'!H25+'24.082568'!H25+'25.08.2568'!H25+'26.08.256'!H25+'27.08.2568'!H25+'28.08.2568'!H25+'29.08.2568'!H25+'30.08.2568'!H25+'31.08.2568'!H25</f>
        <v>0</v>
      </c>
      <c r="I25" s="69">
        <f t="shared" si="6"/>
        <v>34</v>
      </c>
      <c r="J25" s="52">
        <f>+'19.08.2568'!J25+'20.8.2568'!J25+'21.08.2568'!J25+'22.08.2568'!J25+'23.08.2568'!J25+'24.082568'!J25+'25.08.2568'!J25+'26.08.256'!J25+'27.08.2568'!J25+'28.08.2568'!J25+'29.08.2568'!J25+'30.08.2568'!J25+'31.08.2568'!J25</f>
        <v>0</v>
      </c>
      <c r="K25" s="52">
        <f>+'19.08.2568'!K25+'20.8.2568'!K25+'21.08.2568'!K25+'22.08.2568'!K25+'23.08.2568'!K25+'24.082568'!K25+'25.08.2568'!K25+'26.08.256'!K25+'27.08.2568'!K25+'28.08.2568'!K25+'29.08.2568'!K25+'30.08.2568'!K25+'31.08.2568'!K25</f>
        <v>0</v>
      </c>
      <c r="L25" s="69">
        <f t="shared" si="0"/>
        <v>0</v>
      </c>
      <c r="M25" s="52">
        <f>+'19.08.2568'!M25+'20.8.2568'!M25+'21.08.2568'!M25+'22.08.2568'!M25+'23.08.2568'!M25+'24.082568'!M25+'25.08.2568'!M25+'26.08.256'!M25+'27.08.2568'!M25+'28.08.2568'!M25+'29.08.2568'!M25+'30.08.2568'!M25+'31.08.2568'!M25</f>
        <v>393</v>
      </c>
      <c r="N25" s="52">
        <f>+'19.08.2568'!N25+'20.8.2568'!N25+'21.08.2568'!N25+'22.08.2568'!N25+'23.08.2568'!N25+'24.082568'!N25+'25.08.2568'!N25+'26.08.256'!N25+'27.08.2568'!N25+'28.08.2568'!N25+'29.08.2568'!N25+'30.08.2568'!N25+'31.08.2568'!N25</f>
        <v>0</v>
      </c>
      <c r="O25" s="69">
        <f t="shared" si="1"/>
        <v>393</v>
      </c>
      <c r="P25" s="52">
        <f>+'19.08.2568'!P25+'20.8.2568'!P25+'21.08.2568'!P25+'22.08.2568'!P25+'23.08.2568'!P25+'24.082568'!P25+'25.08.2568'!P25+'26.08.256'!P25+'27.08.2568'!P25+'28.08.2568'!P25+'29.08.2568'!P25+'30.08.2568'!P25+'31.08.2568'!P25</f>
        <v>3</v>
      </c>
      <c r="Q25" s="52">
        <f>+'19.08.2568'!Q25+'20.8.2568'!Q25+'21.08.2568'!Q25+'22.08.2568'!Q25+'23.08.2568'!Q25+'24.082568'!Q25+'25.08.2568'!Q25+'26.08.256'!Q25+'27.08.2568'!Q25+'28.08.2568'!Q25+'29.08.2568'!Q25+'30.08.2568'!Q25+'31.08.2568'!Q25</f>
        <v>0</v>
      </c>
      <c r="R25" s="69">
        <f t="shared" si="2"/>
        <v>3</v>
      </c>
      <c r="S25" s="52"/>
      <c r="T25" s="52"/>
      <c r="U25" s="69">
        <f t="shared" si="3"/>
        <v>0</v>
      </c>
      <c r="V25" s="52"/>
      <c r="W25" s="52"/>
      <c r="X25" s="69">
        <f t="shared" si="4"/>
        <v>0</v>
      </c>
      <c r="Y25" s="52">
        <f>+'19.08.2568'!Y25+'20.8.2568'!Y25+'21.08.2568'!Y25+'22.08.2568'!Y25+'23.08.2568'!Y25+'24.082568'!Y25+'25.08.2568'!Y25+'26.08.256'!Y25+'27.08.2568'!Y25+'28.08.2568'!Y25+'29.08.2568'!Y25+'30.08.2568'!Y25+'31.08.2568'!Y25</f>
        <v>0</v>
      </c>
      <c r="Z25" s="75">
        <f t="shared" si="7"/>
        <v>430</v>
      </c>
    </row>
    <row r="26" spans="2:26">
      <c r="B26" s="50">
        <v>1111009</v>
      </c>
      <c r="C26" s="51" t="s">
        <v>157</v>
      </c>
      <c r="D26" s="52">
        <f>+'19.08.2568'!D26+'20.8.2568'!D26+'21.08.2568'!D26+'22.08.2568'!D26+'23.08.2568'!D26+'24.082568'!D26+'25.08.2568'!D26+'26.08.256'!D26+'27.08.2568'!D26+'28.08.2568'!D26+'29.08.2568'!D26+'30.08.2568'!D26+'31.08.2568'!D26</f>
        <v>2</v>
      </c>
      <c r="E26" s="52">
        <f>+'19.08.2568'!E26+'20.8.2568'!E26+'21.08.2568'!E26+'22.08.2568'!E26+'23.08.2568'!E26+'24.082568'!E26+'25.08.2568'!E26+'26.08.256'!E26+'27.08.2568'!E26+'28.08.2568'!E26+'29.08.2568'!E26+'30.08.2568'!E26+'31.08.2568'!E26</f>
        <v>0</v>
      </c>
      <c r="F26" s="69">
        <f t="shared" si="5"/>
        <v>2</v>
      </c>
      <c r="G26" s="52">
        <f>+'19.08.2568'!G26+'20.8.2568'!G26+'21.08.2568'!G26+'22.08.2568'!G26+'23.08.2568'!G26+'24.082568'!G26+'25.08.2568'!G26+'26.08.256'!G26+'27.08.2568'!G26+'28.08.2568'!G26+'29.08.2568'!G26+'30.08.2568'!G26+'31.08.2568'!G26</f>
        <v>50</v>
      </c>
      <c r="H26" s="52">
        <f>+'19.08.2568'!H26+'20.8.2568'!H26+'21.08.2568'!H26+'22.08.2568'!H26+'23.08.2568'!H26+'24.082568'!H26+'25.08.2568'!H26+'26.08.256'!H26+'27.08.2568'!H26+'28.08.2568'!H26+'29.08.2568'!H26+'30.08.2568'!H26+'31.08.2568'!H26</f>
        <v>0</v>
      </c>
      <c r="I26" s="69">
        <f t="shared" si="6"/>
        <v>50</v>
      </c>
      <c r="J26" s="52">
        <f>+'19.08.2568'!J26+'20.8.2568'!J26+'21.08.2568'!J26+'22.08.2568'!J26+'23.08.2568'!J26+'24.082568'!J26+'25.08.2568'!J26+'26.08.256'!J26+'27.08.2568'!J26+'28.08.2568'!J26+'29.08.2568'!J26+'30.08.2568'!J26+'31.08.2568'!J26</f>
        <v>26</v>
      </c>
      <c r="K26" s="52">
        <f>+'19.08.2568'!K26+'20.8.2568'!K26+'21.08.2568'!K26+'22.08.2568'!K26+'23.08.2568'!K26+'24.082568'!K26+'25.08.2568'!K26+'26.08.256'!K26+'27.08.2568'!K26+'28.08.2568'!K26+'29.08.2568'!K26+'30.08.2568'!K26+'31.08.2568'!K26</f>
        <v>0</v>
      </c>
      <c r="L26" s="69">
        <f t="shared" si="0"/>
        <v>26</v>
      </c>
      <c r="M26" s="52">
        <f>+'19.08.2568'!M26+'20.8.2568'!M26+'21.08.2568'!M26+'22.08.2568'!M26+'23.08.2568'!M26+'24.082568'!M26+'25.08.2568'!M26+'26.08.256'!M26+'27.08.2568'!M26+'28.08.2568'!M26+'29.08.2568'!M26+'30.08.2568'!M26+'31.08.2568'!M26</f>
        <v>31</v>
      </c>
      <c r="N26" s="52">
        <f>+'19.08.2568'!N26+'20.8.2568'!N26+'21.08.2568'!N26+'22.08.2568'!N26+'23.08.2568'!N26+'24.082568'!N26+'25.08.2568'!N26+'26.08.256'!N26+'27.08.2568'!N26+'28.08.2568'!N26+'29.08.2568'!N26+'30.08.2568'!N26+'31.08.2568'!N26</f>
        <v>0</v>
      </c>
      <c r="O26" s="69">
        <f t="shared" si="1"/>
        <v>31</v>
      </c>
      <c r="P26" s="52">
        <f>+'19.08.2568'!P26+'20.8.2568'!P26+'21.08.2568'!P26+'22.08.2568'!P26+'23.08.2568'!P26+'24.082568'!P26+'25.08.2568'!P26+'26.08.256'!P26+'27.08.2568'!P26+'28.08.2568'!P26+'29.08.2568'!P26+'30.08.2568'!P26+'31.08.2568'!P26</f>
        <v>1</v>
      </c>
      <c r="Q26" s="52">
        <f>+'19.08.2568'!Q26+'20.8.2568'!Q26+'21.08.2568'!Q26+'22.08.2568'!Q26+'23.08.2568'!Q26+'24.082568'!Q26+'25.08.2568'!Q26+'26.08.256'!Q26+'27.08.2568'!Q26+'28.08.2568'!Q26+'29.08.2568'!Q26+'30.08.2568'!Q26+'31.08.2568'!Q26</f>
        <v>0</v>
      </c>
      <c r="R26" s="69">
        <f t="shared" si="2"/>
        <v>1</v>
      </c>
      <c r="S26" s="52"/>
      <c r="T26" s="52"/>
      <c r="U26" s="69">
        <f t="shared" si="3"/>
        <v>0</v>
      </c>
      <c r="V26" s="52"/>
      <c r="W26" s="52"/>
      <c r="X26" s="69">
        <f t="shared" si="4"/>
        <v>0</v>
      </c>
      <c r="Y26" s="52">
        <f>+'19.08.2568'!Y26+'20.8.2568'!Y26+'21.08.2568'!Y26+'22.08.2568'!Y26+'23.08.2568'!Y26+'24.082568'!Y26+'25.08.2568'!Y26+'26.08.256'!Y26+'27.08.2568'!Y26+'28.08.2568'!Y26+'29.08.2568'!Y26+'30.08.2568'!Y26+'31.08.2568'!Y26</f>
        <v>0</v>
      </c>
      <c r="Z26" s="75">
        <f t="shared" si="7"/>
        <v>110</v>
      </c>
    </row>
    <row r="27" spans="2:26" hidden="1">
      <c r="B27" s="50">
        <v>1111011</v>
      </c>
      <c r="C27" s="51" t="s">
        <v>158</v>
      </c>
      <c r="D27" s="52">
        <f>+'19.08.2568'!D27+'20.8.2568'!D27+'21.08.2568'!D27+'22.08.2568'!D27+'23.08.2568'!D27+'24.082568'!D27+'25.08.2568'!D27+'26.08.256'!D27+'27.08.2568'!D27+'28.08.2568'!D27+'29.08.2568'!D27+'30.08.2568'!D27+'31.08.2568'!D27</f>
        <v>0</v>
      </c>
      <c r="E27" s="52">
        <f>+'19.08.2568'!E27+'20.8.2568'!E27+'21.08.2568'!E27+'22.08.2568'!E27+'23.08.2568'!E27+'24.082568'!E27+'25.08.2568'!E27+'26.08.256'!E27+'27.08.2568'!E27+'28.08.2568'!E27+'29.08.2568'!E27+'30.08.2568'!E27+'31.08.2568'!E27</f>
        <v>0</v>
      </c>
      <c r="F27" s="69">
        <f t="shared" si="5"/>
        <v>0</v>
      </c>
      <c r="G27" s="52">
        <f>+'19.08.2568'!G27+'20.8.2568'!G27+'21.08.2568'!G27+'22.08.2568'!G27+'23.08.2568'!G27+'24.082568'!G27+'25.08.2568'!G27+'26.08.256'!G27+'27.08.2568'!G27+'28.08.2568'!G27+'29.08.2568'!G27+'30.08.2568'!G27+'31.08.2568'!G27</f>
        <v>0</v>
      </c>
      <c r="H27" s="52">
        <f>+'19.08.2568'!H27+'20.8.2568'!H27+'21.08.2568'!H27+'22.08.2568'!H27+'23.08.2568'!H27+'24.082568'!H27+'25.08.2568'!H27+'26.08.256'!H27+'27.08.2568'!H27+'28.08.2568'!H27+'29.08.2568'!H27+'30.08.2568'!H27+'31.08.2568'!H27</f>
        <v>0</v>
      </c>
      <c r="I27" s="69">
        <f t="shared" si="6"/>
        <v>0</v>
      </c>
      <c r="J27" s="52">
        <f>+'19.08.2568'!J27+'20.8.2568'!J27+'21.08.2568'!J27+'22.08.2568'!J27+'23.08.2568'!J27+'24.082568'!J27+'25.08.2568'!J27+'26.08.256'!J27+'27.08.2568'!J27+'28.08.2568'!J27+'29.08.2568'!J27+'30.08.2568'!J27+'31.08.2568'!J27</f>
        <v>0</v>
      </c>
      <c r="K27" s="52">
        <f>+'19.08.2568'!K27+'20.8.2568'!K27+'21.08.2568'!K27+'22.08.2568'!K27+'23.08.2568'!K27+'24.082568'!K27+'25.08.2568'!K27+'26.08.256'!K27+'27.08.2568'!K27+'28.08.2568'!K27+'29.08.2568'!K27+'30.08.2568'!K27+'31.08.2568'!K27</f>
        <v>0</v>
      </c>
      <c r="L27" s="69">
        <f t="shared" si="0"/>
        <v>0</v>
      </c>
      <c r="M27" s="52">
        <f>+'19.08.2568'!M27+'20.8.2568'!M27+'21.08.2568'!M27+'22.08.2568'!M27+'23.08.2568'!M27+'24.082568'!M27+'25.08.2568'!M27+'26.08.256'!M27+'27.08.2568'!M27+'28.08.2568'!M27+'29.08.2568'!M27+'30.08.2568'!M27+'31.08.2568'!M27</f>
        <v>0</v>
      </c>
      <c r="N27" s="52">
        <f>+'19.08.2568'!N27+'20.8.2568'!N27+'21.08.2568'!N27+'22.08.2568'!N27+'23.08.2568'!N27+'24.082568'!N27+'25.08.2568'!N27+'26.08.256'!N27+'27.08.2568'!N27+'28.08.2568'!N27+'29.08.2568'!N27+'30.08.2568'!N27+'31.08.2568'!N27</f>
        <v>0</v>
      </c>
      <c r="O27" s="69">
        <f t="shared" si="1"/>
        <v>0</v>
      </c>
      <c r="P27" s="52">
        <f>+'19.08.2568'!P27+'20.8.2568'!P27+'21.08.2568'!P27+'22.08.2568'!P27+'23.08.2568'!P27+'24.082568'!P27+'25.08.2568'!P27+'26.08.256'!P27+'27.08.2568'!P27+'28.08.2568'!P27+'29.08.2568'!P27+'30.08.2568'!P27+'31.08.2568'!P27</f>
        <v>0</v>
      </c>
      <c r="Q27" s="52">
        <f>+'19.08.2568'!Q27+'20.8.2568'!Q27+'21.08.2568'!Q27+'22.08.2568'!Q27+'23.08.2568'!Q27+'24.082568'!Q27+'25.08.2568'!Q27+'26.08.256'!Q27+'27.08.2568'!Q27+'28.08.2568'!Q27+'29.08.2568'!Q27+'30.08.2568'!Q27+'31.08.2568'!Q27</f>
        <v>0</v>
      </c>
      <c r="R27" s="69">
        <f t="shared" si="2"/>
        <v>0</v>
      </c>
      <c r="S27" s="52"/>
      <c r="T27" s="52"/>
      <c r="U27" s="69">
        <f t="shared" si="3"/>
        <v>0</v>
      </c>
      <c r="V27" s="52"/>
      <c r="W27" s="52"/>
      <c r="X27" s="69">
        <f t="shared" si="4"/>
        <v>0</v>
      </c>
      <c r="Y27" s="52">
        <f>+'19.08.2568'!Y27+'20.8.2568'!Y27+'21.08.2568'!Y27+'22.08.2568'!Y27+'23.08.2568'!Y27+'24.082568'!Y27+'25.08.2568'!Y27+'26.08.256'!Y27+'27.08.2568'!Y27+'28.08.2568'!Y27+'29.08.2568'!Y27+'30.08.2568'!Y27+'31.08.2568'!Y27</f>
        <v>0</v>
      </c>
      <c r="Z27" s="64">
        <f t="shared" si="7"/>
        <v>0</v>
      </c>
    </row>
    <row r="28" spans="2:26" hidden="1">
      <c r="B28" s="50">
        <v>1111012</v>
      </c>
      <c r="C28" s="51" t="s">
        <v>159</v>
      </c>
      <c r="D28" s="52">
        <f>+'19.08.2568'!D28+'20.8.2568'!D28+'21.08.2568'!D28+'22.08.2568'!D28+'23.08.2568'!D28+'24.082568'!D28+'25.08.2568'!D28+'26.08.256'!D28+'27.08.2568'!D28+'28.08.2568'!D28+'29.08.2568'!D28+'30.08.2568'!D28+'31.08.2568'!D28</f>
        <v>0</v>
      </c>
      <c r="E28" s="52">
        <f>+'19.08.2568'!E28+'20.8.2568'!E28+'21.08.2568'!E28+'22.08.2568'!E28+'23.08.2568'!E28+'24.082568'!E28+'25.08.2568'!E28+'26.08.256'!E28+'27.08.2568'!E28+'28.08.2568'!E28+'29.08.2568'!E28+'30.08.2568'!E28+'31.08.2568'!E28</f>
        <v>0</v>
      </c>
      <c r="F28" s="69">
        <f t="shared" si="5"/>
        <v>0</v>
      </c>
      <c r="G28" s="52">
        <f>+'19.08.2568'!G28+'20.8.2568'!G28+'21.08.2568'!G28+'22.08.2568'!G28+'23.08.2568'!G28+'24.082568'!G28+'25.08.2568'!G28+'26.08.256'!G28+'27.08.2568'!G28+'28.08.2568'!G28+'29.08.2568'!G28+'30.08.2568'!G28+'31.08.2568'!G28</f>
        <v>0</v>
      </c>
      <c r="H28" s="52">
        <f>+'19.08.2568'!H28+'20.8.2568'!H28+'21.08.2568'!H28+'22.08.2568'!H28+'23.08.2568'!H28+'24.082568'!H28+'25.08.2568'!H28+'26.08.256'!H28+'27.08.2568'!H28+'28.08.2568'!H28+'29.08.2568'!H28+'30.08.2568'!H28+'31.08.2568'!H28</f>
        <v>0</v>
      </c>
      <c r="I28" s="69">
        <f t="shared" si="6"/>
        <v>0</v>
      </c>
      <c r="J28" s="52">
        <f>+'19.08.2568'!J28+'20.8.2568'!J28+'21.08.2568'!J28+'22.08.2568'!J28+'23.08.2568'!J28+'24.082568'!J28+'25.08.2568'!J28+'26.08.256'!J28+'27.08.2568'!J28+'28.08.2568'!J28+'29.08.2568'!J28+'30.08.2568'!J28+'31.08.2568'!J28</f>
        <v>0</v>
      </c>
      <c r="K28" s="52">
        <f>+'19.08.2568'!K28+'20.8.2568'!K28+'21.08.2568'!K28+'22.08.2568'!K28+'23.08.2568'!K28+'24.082568'!K28+'25.08.2568'!K28+'26.08.256'!K28+'27.08.2568'!K28+'28.08.2568'!K28+'29.08.2568'!K28+'30.08.2568'!K28+'31.08.2568'!K28</f>
        <v>0</v>
      </c>
      <c r="L28" s="69">
        <f t="shared" si="0"/>
        <v>0</v>
      </c>
      <c r="M28" s="52">
        <f>+'19.08.2568'!M28+'20.8.2568'!M28+'21.08.2568'!M28+'22.08.2568'!M28+'23.08.2568'!M28+'24.082568'!M28+'25.08.2568'!M28+'26.08.256'!M28+'27.08.2568'!M28+'28.08.2568'!M28+'29.08.2568'!M28+'30.08.2568'!M28+'31.08.2568'!M28</f>
        <v>0</v>
      </c>
      <c r="N28" s="52">
        <f>+'19.08.2568'!N28+'20.8.2568'!N28+'21.08.2568'!N28+'22.08.2568'!N28+'23.08.2568'!N28+'24.082568'!N28+'25.08.2568'!N28+'26.08.256'!N28+'27.08.2568'!N28+'28.08.2568'!N28+'29.08.2568'!N28+'30.08.2568'!N28+'31.08.2568'!N28</f>
        <v>0</v>
      </c>
      <c r="O28" s="69">
        <f t="shared" si="1"/>
        <v>0</v>
      </c>
      <c r="P28" s="52">
        <f>+'19.08.2568'!P28+'20.8.2568'!P28+'21.08.2568'!P28+'22.08.2568'!P28+'23.08.2568'!P28+'24.082568'!P28+'25.08.2568'!P28+'26.08.256'!P28+'27.08.2568'!P28+'28.08.2568'!P28+'29.08.2568'!P28+'30.08.2568'!P28+'31.08.2568'!P28</f>
        <v>0</v>
      </c>
      <c r="Q28" s="52">
        <f>+'19.08.2568'!Q28+'20.8.2568'!Q28+'21.08.2568'!Q28+'22.08.2568'!Q28+'23.08.2568'!Q28+'24.082568'!Q28+'25.08.2568'!Q28+'26.08.256'!Q28+'27.08.2568'!Q28+'28.08.2568'!Q28+'29.08.2568'!Q28+'30.08.2568'!Q28+'31.08.2568'!Q28</f>
        <v>0</v>
      </c>
      <c r="R28" s="69">
        <f t="shared" si="2"/>
        <v>0</v>
      </c>
      <c r="S28" s="52"/>
      <c r="T28" s="52"/>
      <c r="U28" s="69">
        <f t="shared" si="3"/>
        <v>0</v>
      </c>
      <c r="V28" s="52"/>
      <c r="W28" s="52"/>
      <c r="X28" s="69">
        <f t="shared" si="4"/>
        <v>0</v>
      </c>
      <c r="Y28" s="52">
        <f>+'19.08.2568'!Y28+'20.8.2568'!Y28+'21.08.2568'!Y28+'22.08.2568'!Y28+'23.08.2568'!Y28+'24.082568'!Y28+'25.08.2568'!Y28+'26.08.256'!Y28+'27.08.2568'!Y28+'28.08.2568'!Y28+'29.08.2568'!Y28+'30.08.2568'!Y28+'31.08.2568'!Y28</f>
        <v>0</v>
      </c>
      <c r="Z28" s="64">
        <f t="shared" si="7"/>
        <v>0</v>
      </c>
    </row>
    <row r="29" spans="2:26" hidden="1">
      <c r="B29" s="50">
        <v>1111013</v>
      </c>
      <c r="C29" s="51" t="s">
        <v>160</v>
      </c>
      <c r="D29" s="52">
        <f>+'19.08.2568'!D29+'20.8.2568'!D29+'21.08.2568'!D29+'22.08.2568'!D29+'23.08.2568'!D29+'24.082568'!D29+'25.08.2568'!D29+'26.08.256'!D29+'27.08.2568'!D29+'28.08.2568'!D29+'29.08.2568'!D29+'30.08.2568'!D29+'31.08.2568'!D29</f>
        <v>0</v>
      </c>
      <c r="E29" s="52">
        <f>+'19.08.2568'!E29+'20.8.2568'!E29+'21.08.2568'!E29+'22.08.2568'!E29+'23.08.2568'!E29+'24.082568'!E29+'25.08.2568'!E29+'26.08.256'!E29+'27.08.2568'!E29+'28.08.2568'!E29+'29.08.2568'!E29+'30.08.2568'!E29+'31.08.2568'!E29</f>
        <v>0</v>
      </c>
      <c r="F29" s="69">
        <f t="shared" si="5"/>
        <v>0</v>
      </c>
      <c r="G29" s="52">
        <f>+'19.08.2568'!G29+'20.8.2568'!G29+'21.08.2568'!G29+'22.08.2568'!G29+'23.08.2568'!G29+'24.082568'!G29+'25.08.2568'!G29+'26.08.256'!G29+'27.08.2568'!G29+'28.08.2568'!G29+'29.08.2568'!G29+'30.08.2568'!G29+'31.08.2568'!G29</f>
        <v>0</v>
      </c>
      <c r="H29" s="52">
        <f>+'19.08.2568'!H29+'20.8.2568'!H29+'21.08.2568'!H29+'22.08.2568'!H29+'23.08.2568'!H29+'24.082568'!H29+'25.08.2568'!H29+'26.08.256'!H29+'27.08.2568'!H29+'28.08.2568'!H29+'29.08.2568'!H29+'30.08.2568'!H29+'31.08.2568'!H29</f>
        <v>0</v>
      </c>
      <c r="I29" s="69">
        <f t="shared" si="6"/>
        <v>0</v>
      </c>
      <c r="J29" s="52">
        <f>+'19.08.2568'!J29+'20.8.2568'!J29+'21.08.2568'!J29+'22.08.2568'!J29+'23.08.2568'!J29+'24.082568'!J29+'25.08.2568'!J29+'26.08.256'!J29+'27.08.2568'!J29+'28.08.2568'!J29+'29.08.2568'!J29+'30.08.2568'!J29+'31.08.2568'!J29</f>
        <v>0</v>
      </c>
      <c r="K29" s="52">
        <f>+'19.08.2568'!K29+'20.8.2568'!K29+'21.08.2568'!K29+'22.08.2568'!K29+'23.08.2568'!K29+'24.082568'!K29+'25.08.2568'!K29+'26.08.256'!K29+'27.08.2568'!K29+'28.08.2568'!K29+'29.08.2568'!K29+'30.08.2568'!K29+'31.08.2568'!K29</f>
        <v>0</v>
      </c>
      <c r="L29" s="69">
        <f t="shared" si="0"/>
        <v>0</v>
      </c>
      <c r="M29" s="52">
        <f>+'19.08.2568'!M29+'20.8.2568'!M29+'21.08.2568'!M29+'22.08.2568'!M29+'23.08.2568'!M29+'24.082568'!M29+'25.08.2568'!M29+'26.08.256'!M29+'27.08.2568'!M29+'28.08.2568'!M29+'29.08.2568'!M29+'30.08.2568'!M29+'31.08.2568'!M29</f>
        <v>0</v>
      </c>
      <c r="N29" s="52">
        <f>+'19.08.2568'!N29+'20.8.2568'!N29+'21.08.2568'!N29+'22.08.2568'!N29+'23.08.2568'!N29+'24.082568'!N29+'25.08.2568'!N29+'26.08.256'!N29+'27.08.2568'!N29+'28.08.2568'!N29+'29.08.2568'!N29+'30.08.2568'!N29+'31.08.2568'!N29</f>
        <v>0</v>
      </c>
      <c r="O29" s="69">
        <f t="shared" si="1"/>
        <v>0</v>
      </c>
      <c r="P29" s="52">
        <f>+'19.08.2568'!P29+'20.8.2568'!P29+'21.08.2568'!P29+'22.08.2568'!P29+'23.08.2568'!P29+'24.082568'!P29+'25.08.2568'!P29+'26.08.256'!P29+'27.08.2568'!P29+'28.08.2568'!P29+'29.08.2568'!P29+'30.08.2568'!P29+'31.08.2568'!P29</f>
        <v>0</v>
      </c>
      <c r="Q29" s="52">
        <f>+'19.08.2568'!Q29+'20.8.2568'!Q29+'21.08.2568'!Q29+'22.08.2568'!Q29+'23.08.2568'!Q29+'24.082568'!Q29+'25.08.2568'!Q29+'26.08.256'!Q29+'27.08.2568'!Q29+'28.08.2568'!Q29+'29.08.2568'!Q29+'30.08.2568'!Q29+'31.08.2568'!Q29</f>
        <v>0</v>
      </c>
      <c r="R29" s="69">
        <f t="shared" si="2"/>
        <v>0</v>
      </c>
      <c r="S29" s="52"/>
      <c r="T29" s="52"/>
      <c r="U29" s="69">
        <f t="shared" si="3"/>
        <v>0</v>
      </c>
      <c r="V29" s="52"/>
      <c r="W29" s="52"/>
      <c r="X29" s="69">
        <f t="shared" si="4"/>
        <v>0</v>
      </c>
      <c r="Y29" s="52">
        <f>+'19.08.2568'!Y29+'20.8.2568'!Y29+'21.08.2568'!Y29+'22.08.2568'!Y29+'23.08.2568'!Y29+'24.082568'!Y29+'25.08.2568'!Y29+'26.08.256'!Y29+'27.08.2568'!Y29+'28.08.2568'!Y29+'29.08.2568'!Y29+'30.08.2568'!Y29+'31.08.2568'!Y29</f>
        <v>0</v>
      </c>
      <c r="Z29" s="64">
        <f t="shared" si="7"/>
        <v>0</v>
      </c>
    </row>
    <row r="30" spans="2:26" hidden="1">
      <c r="B30" s="50">
        <v>1111014</v>
      </c>
      <c r="C30" s="51" t="s">
        <v>161</v>
      </c>
      <c r="D30" s="52">
        <f>+'19.08.2568'!D30+'20.8.2568'!D30+'21.08.2568'!D30+'22.08.2568'!D30+'23.08.2568'!D30+'24.082568'!D30+'25.08.2568'!D30+'26.08.256'!D30+'27.08.2568'!D30+'28.08.2568'!D30+'29.08.2568'!D30+'30.08.2568'!D30+'31.08.2568'!D30</f>
        <v>0</v>
      </c>
      <c r="E30" s="52">
        <f>+'19.08.2568'!E30+'20.8.2568'!E30+'21.08.2568'!E30+'22.08.2568'!E30+'23.08.2568'!E30+'24.082568'!E30+'25.08.2568'!E30+'26.08.256'!E30+'27.08.2568'!E30+'28.08.2568'!E30+'29.08.2568'!E30+'30.08.2568'!E30+'31.08.2568'!E30</f>
        <v>0</v>
      </c>
      <c r="F30" s="69">
        <f t="shared" si="5"/>
        <v>0</v>
      </c>
      <c r="G30" s="52">
        <f>+'19.08.2568'!G30+'20.8.2568'!G30+'21.08.2568'!G30+'22.08.2568'!G30+'23.08.2568'!G30+'24.082568'!G30+'25.08.2568'!G30+'26.08.256'!G30+'27.08.2568'!G30+'28.08.2568'!G30+'29.08.2568'!G30+'30.08.2568'!G30+'31.08.2568'!G30</f>
        <v>0</v>
      </c>
      <c r="H30" s="52">
        <f>+'19.08.2568'!H30+'20.8.2568'!H30+'21.08.2568'!H30+'22.08.2568'!H30+'23.08.2568'!H30+'24.082568'!H30+'25.08.2568'!H30+'26.08.256'!H30+'27.08.2568'!H30+'28.08.2568'!H30+'29.08.2568'!H30+'30.08.2568'!H30+'31.08.2568'!H30</f>
        <v>0</v>
      </c>
      <c r="I30" s="69">
        <f t="shared" si="6"/>
        <v>0</v>
      </c>
      <c r="J30" s="52">
        <f>+'19.08.2568'!J30+'20.8.2568'!J30+'21.08.2568'!J30+'22.08.2568'!J30+'23.08.2568'!J30+'24.082568'!J30+'25.08.2568'!J30+'26.08.256'!J30+'27.08.2568'!J30+'28.08.2568'!J30+'29.08.2568'!J30+'30.08.2568'!J30+'31.08.2568'!J30</f>
        <v>0</v>
      </c>
      <c r="K30" s="52">
        <f>+'19.08.2568'!K30+'20.8.2568'!K30+'21.08.2568'!K30+'22.08.2568'!K30+'23.08.2568'!K30+'24.082568'!K30+'25.08.2568'!K30+'26.08.256'!K30+'27.08.2568'!K30+'28.08.2568'!K30+'29.08.2568'!K30+'30.08.2568'!K30+'31.08.2568'!K30</f>
        <v>0</v>
      </c>
      <c r="L30" s="69">
        <f t="shared" si="0"/>
        <v>0</v>
      </c>
      <c r="M30" s="52">
        <f>+'19.08.2568'!M30+'20.8.2568'!M30+'21.08.2568'!M30+'22.08.2568'!M30+'23.08.2568'!M30+'24.082568'!M30+'25.08.2568'!M30+'26.08.256'!M30+'27.08.2568'!M30+'28.08.2568'!M30+'29.08.2568'!M30+'30.08.2568'!M30+'31.08.2568'!M30</f>
        <v>0</v>
      </c>
      <c r="N30" s="52">
        <f>+'19.08.2568'!N30+'20.8.2568'!N30+'21.08.2568'!N30+'22.08.2568'!N30+'23.08.2568'!N30+'24.082568'!N30+'25.08.2568'!N30+'26.08.256'!N30+'27.08.2568'!N30+'28.08.2568'!N30+'29.08.2568'!N30+'30.08.2568'!N30+'31.08.2568'!N30</f>
        <v>0</v>
      </c>
      <c r="O30" s="69">
        <f t="shared" si="1"/>
        <v>0</v>
      </c>
      <c r="P30" s="52">
        <f>+'19.08.2568'!P30+'20.8.2568'!P30+'21.08.2568'!P30+'22.08.2568'!P30+'23.08.2568'!P30+'24.082568'!P30+'25.08.2568'!P30+'26.08.256'!P30+'27.08.2568'!P30+'28.08.2568'!P30+'29.08.2568'!P30+'30.08.2568'!P30+'31.08.2568'!P30</f>
        <v>0</v>
      </c>
      <c r="Q30" s="52">
        <f>+'19.08.2568'!Q30+'20.8.2568'!Q30+'21.08.2568'!Q30+'22.08.2568'!Q30+'23.08.2568'!Q30+'24.082568'!Q30+'25.08.2568'!Q30+'26.08.256'!Q30+'27.08.2568'!Q30+'28.08.2568'!Q30+'29.08.2568'!Q30+'30.08.2568'!Q30+'31.08.2568'!Q30</f>
        <v>0</v>
      </c>
      <c r="R30" s="69">
        <f t="shared" si="2"/>
        <v>0</v>
      </c>
      <c r="S30" s="52"/>
      <c r="T30" s="52"/>
      <c r="U30" s="69">
        <f t="shared" si="3"/>
        <v>0</v>
      </c>
      <c r="V30" s="52"/>
      <c r="W30" s="52"/>
      <c r="X30" s="69">
        <f t="shared" si="4"/>
        <v>0</v>
      </c>
      <c r="Y30" s="52">
        <f>+'19.08.2568'!Y30+'20.8.2568'!Y30+'21.08.2568'!Y30+'22.08.2568'!Y30+'23.08.2568'!Y30+'24.082568'!Y30+'25.08.2568'!Y30+'26.08.256'!Y30+'27.08.2568'!Y30+'28.08.2568'!Y30+'29.08.2568'!Y30+'30.08.2568'!Y30+'31.08.2568'!Y30</f>
        <v>0</v>
      </c>
      <c r="Z30" s="64">
        <f t="shared" si="7"/>
        <v>0</v>
      </c>
    </row>
    <row r="31" spans="2:26" hidden="1">
      <c r="B31" s="50">
        <v>1111015</v>
      </c>
      <c r="C31" s="51" t="s">
        <v>162</v>
      </c>
      <c r="D31" s="52">
        <f>+'19.08.2568'!D31+'20.8.2568'!D31+'21.08.2568'!D31+'22.08.2568'!D31+'23.08.2568'!D31+'24.082568'!D31+'25.08.2568'!D31+'26.08.256'!D31+'27.08.2568'!D31+'28.08.2568'!D31+'29.08.2568'!D31+'30.08.2568'!D31+'31.08.2568'!D31</f>
        <v>0</v>
      </c>
      <c r="E31" s="52">
        <f>+'19.08.2568'!E31+'20.8.2568'!E31+'21.08.2568'!E31+'22.08.2568'!E31+'23.08.2568'!E31+'24.082568'!E31+'25.08.2568'!E31+'26.08.256'!E31+'27.08.2568'!E31+'28.08.2568'!E31+'29.08.2568'!E31+'30.08.2568'!E31+'31.08.2568'!E31</f>
        <v>0</v>
      </c>
      <c r="F31" s="69">
        <f t="shared" si="5"/>
        <v>0</v>
      </c>
      <c r="G31" s="52">
        <f>+'19.08.2568'!G31+'20.8.2568'!G31+'21.08.2568'!G31+'22.08.2568'!G31+'23.08.2568'!G31+'24.082568'!G31+'25.08.2568'!G31+'26.08.256'!G31+'27.08.2568'!G31+'28.08.2568'!G31+'29.08.2568'!G31+'30.08.2568'!G31+'31.08.2568'!G31</f>
        <v>0</v>
      </c>
      <c r="H31" s="52">
        <f>+'19.08.2568'!H31+'20.8.2568'!H31+'21.08.2568'!H31+'22.08.2568'!H31+'23.08.2568'!H31+'24.082568'!H31+'25.08.2568'!H31+'26.08.256'!H31+'27.08.2568'!H31+'28.08.2568'!H31+'29.08.2568'!H31+'30.08.2568'!H31+'31.08.2568'!H31</f>
        <v>0</v>
      </c>
      <c r="I31" s="69">
        <f t="shared" si="6"/>
        <v>0</v>
      </c>
      <c r="J31" s="52">
        <f>+'19.08.2568'!J31+'20.8.2568'!J31+'21.08.2568'!J31+'22.08.2568'!J31+'23.08.2568'!J31+'24.082568'!J31+'25.08.2568'!J31+'26.08.256'!J31+'27.08.2568'!J31+'28.08.2568'!J31+'29.08.2568'!J31+'30.08.2568'!J31+'31.08.2568'!J31</f>
        <v>0</v>
      </c>
      <c r="K31" s="52">
        <f>+'19.08.2568'!K31+'20.8.2568'!K31+'21.08.2568'!K31+'22.08.2568'!K31+'23.08.2568'!K31+'24.082568'!K31+'25.08.2568'!K31+'26.08.256'!K31+'27.08.2568'!K31+'28.08.2568'!K31+'29.08.2568'!K31+'30.08.2568'!K31+'31.08.2568'!K31</f>
        <v>0</v>
      </c>
      <c r="L31" s="69">
        <f t="shared" si="0"/>
        <v>0</v>
      </c>
      <c r="M31" s="52">
        <f>+'19.08.2568'!M31+'20.8.2568'!M31+'21.08.2568'!M31+'22.08.2568'!M31+'23.08.2568'!M31+'24.082568'!M31+'25.08.2568'!M31+'26.08.256'!M31+'27.08.2568'!M31+'28.08.2568'!M31+'29.08.2568'!M31+'30.08.2568'!M31+'31.08.2568'!M31</f>
        <v>0</v>
      </c>
      <c r="N31" s="52">
        <f>+'19.08.2568'!N31+'20.8.2568'!N31+'21.08.2568'!N31+'22.08.2568'!N31+'23.08.2568'!N31+'24.082568'!N31+'25.08.2568'!N31+'26.08.256'!N31+'27.08.2568'!N31+'28.08.2568'!N31+'29.08.2568'!N31+'30.08.2568'!N31+'31.08.2568'!N31</f>
        <v>0</v>
      </c>
      <c r="O31" s="69">
        <f t="shared" si="1"/>
        <v>0</v>
      </c>
      <c r="P31" s="52">
        <f>+'19.08.2568'!P31+'20.8.2568'!P31+'21.08.2568'!P31+'22.08.2568'!P31+'23.08.2568'!P31+'24.082568'!P31+'25.08.2568'!P31+'26.08.256'!P31+'27.08.2568'!P31+'28.08.2568'!P31+'29.08.2568'!P31+'30.08.2568'!P31+'31.08.2568'!P31</f>
        <v>0</v>
      </c>
      <c r="Q31" s="52">
        <f>+'19.08.2568'!Q31+'20.8.2568'!Q31+'21.08.2568'!Q31+'22.08.2568'!Q31+'23.08.2568'!Q31+'24.082568'!Q31+'25.08.2568'!Q31+'26.08.256'!Q31+'27.08.2568'!Q31+'28.08.2568'!Q31+'29.08.2568'!Q31+'30.08.2568'!Q31+'31.08.2568'!Q31</f>
        <v>0</v>
      </c>
      <c r="R31" s="69">
        <f t="shared" si="2"/>
        <v>0</v>
      </c>
      <c r="S31" s="52"/>
      <c r="T31" s="52"/>
      <c r="U31" s="69">
        <f t="shared" si="3"/>
        <v>0</v>
      </c>
      <c r="V31" s="52"/>
      <c r="W31" s="52"/>
      <c r="X31" s="69">
        <f t="shared" si="4"/>
        <v>0</v>
      </c>
      <c r="Y31" s="52">
        <f>+'19.08.2568'!Y31+'20.8.2568'!Y31+'21.08.2568'!Y31+'22.08.2568'!Y31+'23.08.2568'!Y31+'24.082568'!Y31+'25.08.2568'!Y31+'26.08.256'!Y31+'27.08.2568'!Y31+'28.08.2568'!Y31+'29.08.2568'!Y31+'30.08.2568'!Y31+'31.08.2568'!Y31</f>
        <v>0</v>
      </c>
      <c r="Z31" s="64">
        <f t="shared" si="7"/>
        <v>0</v>
      </c>
    </row>
    <row r="32" spans="2:26">
      <c r="B32" s="50">
        <v>1111016</v>
      </c>
      <c r="C32" s="51" t="s">
        <v>163</v>
      </c>
      <c r="D32" s="52">
        <f>+'19.08.2568'!D32+'20.8.2568'!D32+'21.08.2568'!D32+'22.08.2568'!D32+'23.08.2568'!D32+'24.082568'!D32+'25.08.2568'!D32+'26.08.256'!D32+'27.08.2568'!D32+'28.08.2568'!D32+'29.08.2568'!D32+'30.08.2568'!D32+'31.08.2568'!D32</f>
        <v>0</v>
      </c>
      <c r="E32" s="52">
        <f>+'19.08.2568'!E32+'20.8.2568'!E32+'21.08.2568'!E32+'22.08.2568'!E32+'23.08.2568'!E32+'24.082568'!E32+'25.08.2568'!E32+'26.08.256'!E32+'27.08.2568'!E32+'28.08.2568'!E32+'29.08.2568'!E32+'30.08.2568'!E32+'31.08.2568'!E32</f>
        <v>0</v>
      </c>
      <c r="F32" s="69">
        <f t="shared" si="5"/>
        <v>0</v>
      </c>
      <c r="G32" s="52">
        <f>+'19.08.2568'!G32+'20.8.2568'!G32+'21.08.2568'!G32+'22.08.2568'!G32+'23.08.2568'!G32+'24.082568'!G32+'25.08.2568'!G32+'26.08.256'!G32+'27.08.2568'!G32+'28.08.2568'!G32+'29.08.2568'!G32+'30.08.2568'!G32+'31.08.2568'!G32</f>
        <v>0</v>
      </c>
      <c r="H32" s="52">
        <f>+'19.08.2568'!H32+'20.8.2568'!H32+'21.08.2568'!H32+'22.08.2568'!H32+'23.08.2568'!H32+'24.082568'!H32+'25.08.2568'!H32+'26.08.256'!H32+'27.08.2568'!H32+'28.08.2568'!H32+'29.08.2568'!H32+'30.08.2568'!H32+'31.08.2568'!H32</f>
        <v>0</v>
      </c>
      <c r="I32" s="69">
        <f t="shared" si="6"/>
        <v>0</v>
      </c>
      <c r="J32" s="52">
        <f>+'19.08.2568'!J32+'20.8.2568'!J32+'21.08.2568'!J32+'22.08.2568'!J32+'23.08.2568'!J32+'24.082568'!J32+'25.08.2568'!J32+'26.08.256'!J32+'27.08.2568'!J32+'28.08.2568'!J32+'29.08.2568'!J32+'30.08.2568'!J32+'31.08.2568'!J32</f>
        <v>0</v>
      </c>
      <c r="K32" s="52">
        <f>+'19.08.2568'!K32+'20.8.2568'!K32+'21.08.2568'!K32+'22.08.2568'!K32+'23.08.2568'!K32+'24.082568'!K32+'25.08.2568'!K32+'26.08.256'!K32+'27.08.2568'!K32+'28.08.2568'!K32+'29.08.2568'!K32+'30.08.2568'!K32+'31.08.2568'!K32</f>
        <v>0</v>
      </c>
      <c r="L32" s="69">
        <f t="shared" si="0"/>
        <v>0</v>
      </c>
      <c r="M32" s="52">
        <f>+'19.08.2568'!M32+'20.8.2568'!M32+'21.08.2568'!M32+'22.08.2568'!M32+'23.08.2568'!M32+'24.082568'!M32+'25.08.2568'!M32+'26.08.256'!M32+'27.08.2568'!M32+'28.08.2568'!M32+'29.08.2568'!M32+'30.08.2568'!M32+'31.08.2568'!M32</f>
        <v>0</v>
      </c>
      <c r="N32" s="52">
        <f>+'19.08.2568'!N32+'20.8.2568'!N32+'21.08.2568'!N32+'22.08.2568'!N32+'23.08.2568'!N32+'24.082568'!N32+'25.08.2568'!N32+'26.08.256'!N32+'27.08.2568'!N32+'28.08.2568'!N32+'29.08.2568'!N32+'30.08.2568'!N32+'31.08.2568'!N32</f>
        <v>0</v>
      </c>
      <c r="O32" s="69">
        <f t="shared" si="1"/>
        <v>0</v>
      </c>
      <c r="P32" s="52">
        <f>+'19.08.2568'!P32+'20.8.2568'!P32+'21.08.2568'!P32+'22.08.2568'!P32+'23.08.2568'!P32+'24.082568'!P32+'25.08.2568'!P32+'26.08.256'!P32+'27.08.2568'!P32+'28.08.2568'!P32+'29.08.2568'!P32+'30.08.2568'!P32+'31.08.2568'!P32</f>
        <v>0</v>
      </c>
      <c r="Q32" s="52">
        <f>+'19.08.2568'!Q32+'20.8.2568'!Q32+'21.08.2568'!Q32+'22.08.2568'!Q32+'23.08.2568'!Q32+'24.082568'!Q32+'25.08.2568'!Q32+'26.08.256'!Q32+'27.08.2568'!Q32+'28.08.2568'!Q32+'29.08.2568'!Q32+'30.08.2568'!Q32+'31.08.2568'!Q32</f>
        <v>0</v>
      </c>
      <c r="R32" s="69">
        <f t="shared" si="2"/>
        <v>0</v>
      </c>
      <c r="S32" s="52"/>
      <c r="T32" s="52"/>
      <c r="U32" s="69">
        <f t="shared" si="3"/>
        <v>0</v>
      </c>
      <c r="V32" s="52"/>
      <c r="W32" s="52"/>
      <c r="X32" s="69">
        <f t="shared" si="4"/>
        <v>0</v>
      </c>
      <c r="Y32" s="52">
        <f>+'19.08.2568'!Y32+'20.8.2568'!Y32+'21.08.2568'!Y32+'22.08.2568'!Y32+'23.08.2568'!Y32+'24.082568'!Y32+'25.08.2568'!Y32+'26.08.256'!Y32+'27.08.2568'!Y32+'28.08.2568'!Y32+'29.08.2568'!Y32+'30.08.2568'!Y32+'31.08.2568'!Y32</f>
        <v>5</v>
      </c>
      <c r="Z32" s="75">
        <f>+F32+I32+L32+O32+R32+U32+X32+Y32</f>
        <v>5</v>
      </c>
    </row>
    <row r="33" spans="2:26" hidden="1">
      <c r="B33" s="50">
        <v>1111017</v>
      </c>
      <c r="C33" s="51" t="s">
        <v>164</v>
      </c>
      <c r="D33" s="52">
        <f>+'19.08.2568'!D33+'20.8.2568'!D33+'21.08.2568'!D33+'22.08.2568'!D33+'23.08.2568'!D33+'24.082568'!D33+'25.08.2568'!D33+'26.08.256'!D33+'27.08.2568'!D33+'28.08.2568'!D33+'29.08.2568'!D33+'30.08.2568'!D33+'31.08.2568'!D33</f>
        <v>0</v>
      </c>
      <c r="E33" s="52">
        <f>+'19.08.2568'!E33+'20.8.2568'!E33+'21.08.2568'!E33+'22.08.2568'!E33+'23.08.2568'!E33+'24.082568'!E33+'25.08.2568'!E33+'26.08.256'!E33+'27.08.2568'!E33+'28.08.2568'!E33+'29.08.2568'!E33+'30.08.2568'!E33+'31.08.2568'!E33</f>
        <v>0</v>
      </c>
      <c r="F33" s="69">
        <f t="shared" si="5"/>
        <v>0</v>
      </c>
      <c r="G33" s="52">
        <f>+'19.08.2568'!G33+'20.8.2568'!G33+'21.08.2568'!G33+'22.08.2568'!G33+'23.08.2568'!G33+'24.082568'!G33+'25.08.2568'!G33+'26.08.256'!G33+'27.08.2568'!G33+'28.08.2568'!G33+'29.08.2568'!G33+'30.08.2568'!G33+'31.08.2568'!G33</f>
        <v>0</v>
      </c>
      <c r="H33" s="52">
        <f>+'19.08.2568'!H33+'20.8.2568'!H33+'21.08.2568'!H33+'22.08.2568'!H33+'23.08.2568'!H33+'24.082568'!H33+'25.08.2568'!H33+'26.08.256'!H33+'27.08.2568'!H33+'28.08.2568'!H33+'29.08.2568'!H33+'30.08.2568'!H33+'31.08.2568'!H33</f>
        <v>0</v>
      </c>
      <c r="I33" s="69">
        <f t="shared" si="6"/>
        <v>0</v>
      </c>
      <c r="J33" s="52">
        <f>+'19.08.2568'!J33+'20.8.2568'!J33+'21.08.2568'!J33+'22.08.2568'!J33+'23.08.2568'!J33+'24.082568'!J33+'25.08.2568'!J33+'26.08.256'!J33+'27.08.2568'!J33+'28.08.2568'!J33+'29.08.2568'!J33+'30.08.2568'!J33+'31.08.2568'!J33</f>
        <v>0</v>
      </c>
      <c r="K33" s="52">
        <f>+'19.08.2568'!K33+'20.8.2568'!K33+'21.08.2568'!K33+'22.08.2568'!K33+'23.08.2568'!K33+'24.082568'!K33+'25.08.2568'!K33+'26.08.256'!K33+'27.08.2568'!K33+'28.08.2568'!K33+'29.08.2568'!K33+'30.08.2568'!K33+'31.08.2568'!K33</f>
        <v>0</v>
      </c>
      <c r="L33" s="69">
        <f t="shared" si="0"/>
        <v>0</v>
      </c>
      <c r="M33" s="52">
        <f>+'19.08.2568'!M33+'20.8.2568'!M33+'21.08.2568'!M33+'22.08.2568'!M33+'23.08.2568'!M33+'24.082568'!M33+'25.08.2568'!M33+'26.08.256'!M33+'27.08.2568'!M33+'28.08.2568'!M33+'29.08.2568'!M33+'30.08.2568'!M33+'31.08.2568'!M33</f>
        <v>0</v>
      </c>
      <c r="N33" s="52">
        <f>+'19.08.2568'!N33+'20.8.2568'!N33+'21.08.2568'!N33+'22.08.2568'!N33+'23.08.2568'!N33+'24.082568'!N33+'25.08.2568'!N33+'26.08.256'!N33+'27.08.2568'!N33+'28.08.2568'!N33+'29.08.2568'!N33+'30.08.2568'!N33+'31.08.2568'!N33</f>
        <v>0</v>
      </c>
      <c r="O33" s="69">
        <f t="shared" si="1"/>
        <v>0</v>
      </c>
      <c r="P33" s="52">
        <f>+'19.08.2568'!P33+'20.8.2568'!P33+'21.08.2568'!P33+'22.08.2568'!P33+'23.08.2568'!P33+'24.082568'!P33+'25.08.2568'!P33+'26.08.256'!P33+'27.08.2568'!P33+'28.08.2568'!P33+'29.08.2568'!P33+'30.08.2568'!P33+'31.08.2568'!P33</f>
        <v>0</v>
      </c>
      <c r="Q33" s="52">
        <f>+'19.08.2568'!Q33+'20.8.2568'!Q33+'21.08.2568'!Q33+'22.08.2568'!Q33+'23.08.2568'!Q33+'24.082568'!Q33+'25.08.2568'!Q33+'26.08.256'!Q33+'27.08.2568'!Q33+'28.08.2568'!Q33+'29.08.2568'!Q33+'30.08.2568'!Q33+'31.08.2568'!Q33</f>
        <v>0</v>
      </c>
      <c r="R33" s="69">
        <f t="shared" si="2"/>
        <v>0</v>
      </c>
      <c r="S33" s="52"/>
      <c r="T33" s="52"/>
      <c r="U33" s="69">
        <f t="shared" si="3"/>
        <v>0</v>
      </c>
      <c r="V33" s="52"/>
      <c r="W33" s="52"/>
      <c r="X33" s="69">
        <f t="shared" si="4"/>
        <v>0</v>
      </c>
      <c r="Y33" s="52">
        <f>+'19.08.2568'!Y33+'20.8.2568'!Y33+'21.08.2568'!Y33+'22.08.2568'!Y33+'23.08.2568'!Y33+'24.082568'!Y33+'25.08.2568'!Y33+'26.08.256'!Y33+'27.08.2568'!Y33+'28.08.2568'!Y33+'29.08.2568'!Y33+'30.08.2568'!Y33+'31.08.2568'!Y33</f>
        <v>0</v>
      </c>
      <c r="Z33" s="64">
        <f t="shared" si="7"/>
        <v>0</v>
      </c>
    </row>
    <row r="34" spans="2:26" hidden="1">
      <c r="B34" s="50">
        <v>1111018</v>
      </c>
      <c r="C34" s="51" t="s">
        <v>165</v>
      </c>
      <c r="D34" s="52">
        <f>+'19.08.2568'!D34+'20.8.2568'!D34+'21.08.2568'!D34+'22.08.2568'!D34+'23.08.2568'!D34+'24.082568'!D34+'25.08.2568'!D34+'26.08.256'!D34+'27.08.2568'!D34+'28.08.2568'!D34+'29.08.2568'!D34+'30.08.2568'!D34+'31.08.2568'!D34</f>
        <v>0</v>
      </c>
      <c r="E34" s="52">
        <f>+'19.08.2568'!E34+'20.8.2568'!E34+'21.08.2568'!E34+'22.08.2568'!E34+'23.08.2568'!E34+'24.082568'!E34+'25.08.2568'!E34+'26.08.256'!E34+'27.08.2568'!E34+'28.08.2568'!E34+'29.08.2568'!E34+'30.08.2568'!E34+'31.08.2568'!E34</f>
        <v>0</v>
      </c>
      <c r="F34" s="69">
        <f t="shared" si="5"/>
        <v>0</v>
      </c>
      <c r="G34" s="52">
        <f>+'19.08.2568'!G34+'20.8.2568'!G34+'21.08.2568'!G34+'22.08.2568'!G34+'23.08.2568'!G34+'24.082568'!G34+'25.08.2568'!G34+'26.08.256'!G34+'27.08.2568'!G34+'28.08.2568'!G34+'29.08.2568'!G34+'30.08.2568'!G34+'31.08.2568'!G34</f>
        <v>0</v>
      </c>
      <c r="H34" s="52">
        <f>+'19.08.2568'!H34+'20.8.2568'!H34+'21.08.2568'!H34+'22.08.2568'!H34+'23.08.2568'!H34+'24.082568'!H34+'25.08.2568'!H34+'26.08.256'!H34+'27.08.2568'!H34+'28.08.2568'!H34+'29.08.2568'!H34+'30.08.2568'!H34+'31.08.2568'!H34</f>
        <v>0</v>
      </c>
      <c r="I34" s="69">
        <f t="shared" si="6"/>
        <v>0</v>
      </c>
      <c r="J34" s="52">
        <f>+'19.08.2568'!J34+'20.8.2568'!J34+'21.08.2568'!J34+'22.08.2568'!J34+'23.08.2568'!J34+'24.082568'!J34+'25.08.2568'!J34+'26.08.256'!J34+'27.08.2568'!J34+'28.08.2568'!J34+'29.08.2568'!J34+'30.08.2568'!J34+'31.08.2568'!J34</f>
        <v>0</v>
      </c>
      <c r="K34" s="52">
        <f>+'19.08.2568'!K34+'20.8.2568'!K34+'21.08.2568'!K34+'22.08.2568'!K34+'23.08.2568'!K34+'24.082568'!K34+'25.08.2568'!K34+'26.08.256'!K34+'27.08.2568'!K34+'28.08.2568'!K34+'29.08.2568'!K34+'30.08.2568'!K34+'31.08.2568'!K34</f>
        <v>0</v>
      </c>
      <c r="L34" s="69">
        <f t="shared" si="0"/>
        <v>0</v>
      </c>
      <c r="M34" s="52">
        <f>+'19.08.2568'!M34+'20.8.2568'!M34+'21.08.2568'!M34+'22.08.2568'!M34+'23.08.2568'!M34+'24.082568'!M34+'25.08.2568'!M34+'26.08.256'!M34+'27.08.2568'!M34+'28.08.2568'!M34+'29.08.2568'!M34+'30.08.2568'!M34+'31.08.2568'!M34</f>
        <v>0</v>
      </c>
      <c r="N34" s="52">
        <f>+'19.08.2568'!N34+'20.8.2568'!N34+'21.08.2568'!N34+'22.08.2568'!N34+'23.08.2568'!N34+'24.082568'!N34+'25.08.2568'!N34+'26.08.256'!N34+'27.08.2568'!N34+'28.08.2568'!N34+'29.08.2568'!N34+'30.08.2568'!N34+'31.08.2568'!N34</f>
        <v>0</v>
      </c>
      <c r="O34" s="69">
        <f t="shared" si="1"/>
        <v>0</v>
      </c>
      <c r="P34" s="52">
        <f>+'19.08.2568'!P34+'20.8.2568'!P34+'21.08.2568'!P34+'22.08.2568'!P34+'23.08.2568'!P34+'24.082568'!P34+'25.08.2568'!P34+'26.08.256'!P34+'27.08.2568'!P34+'28.08.2568'!P34+'29.08.2568'!P34+'30.08.2568'!P34+'31.08.2568'!P34</f>
        <v>0</v>
      </c>
      <c r="Q34" s="52">
        <f>+'19.08.2568'!Q34+'20.8.2568'!Q34+'21.08.2568'!Q34+'22.08.2568'!Q34+'23.08.2568'!Q34+'24.082568'!Q34+'25.08.2568'!Q34+'26.08.256'!Q34+'27.08.2568'!Q34+'28.08.2568'!Q34+'29.08.2568'!Q34+'30.08.2568'!Q34+'31.08.2568'!Q34</f>
        <v>0</v>
      </c>
      <c r="R34" s="69">
        <f t="shared" si="2"/>
        <v>0</v>
      </c>
      <c r="S34" s="52"/>
      <c r="T34" s="52"/>
      <c r="U34" s="69">
        <f t="shared" si="3"/>
        <v>0</v>
      </c>
      <c r="V34" s="52"/>
      <c r="W34" s="52"/>
      <c r="X34" s="69">
        <f t="shared" si="4"/>
        <v>0</v>
      </c>
      <c r="Y34" s="52">
        <f>+'19.08.2568'!Y34+'20.8.2568'!Y34+'21.08.2568'!Y34+'22.08.2568'!Y34+'23.08.2568'!Y34+'24.082568'!Y34+'25.08.2568'!Y34+'26.08.256'!Y34+'27.08.2568'!Y34+'28.08.2568'!Y34+'29.08.2568'!Y34+'30.08.2568'!Y34+'31.08.2568'!Y34</f>
        <v>0</v>
      </c>
      <c r="Z34" s="64">
        <f t="shared" si="7"/>
        <v>0</v>
      </c>
    </row>
    <row r="35" spans="2:26" hidden="1">
      <c r="B35" s="50">
        <v>1111019</v>
      </c>
      <c r="C35" s="51" t="s">
        <v>166</v>
      </c>
      <c r="D35" s="52">
        <f>+'19.08.2568'!D35+'20.8.2568'!D35+'21.08.2568'!D35+'22.08.2568'!D35+'23.08.2568'!D35+'24.082568'!D35+'25.08.2568'!D35+'26.08.256'!D35+'27.08.2568'!D35+'28.08.2568'!D35+'29.08.2568'!D35+'30.08.2568'!D35+'31.08.2568'!D35</f>
        <v>0</v>
      </c>
      <c r="E35" s="52">
        <f>+'19.08.2568'!E35+'20.8.2568'!E35+'21.08.2568'!E35+'22.08.2568'!E35+'23.08.2568'!E35+'24.082568'!E35+'25.08.2568'!E35+'26.08.256'!E35+'27.08.2568'!E35+'28.08.2568'!E35+'29.08.2568'!E35+'30.08.2568'!E35+'31.08.2568'!E35</f>
        <v>0</v>
      </c>
      <c r="F35" s="69">
        <f t="shared" si="5"/>
        <v>0</v>
      </c>
      <c r="G35" s="52">
        <f>+'19.08.2568'!G35+'20.8.2568'!G35+'21.08.2568'!G35+'22.08.2568'!G35+'23.08.2568'!G35+'24.082568'!G35+'25.08.2568'!G35+'26.08.256'!G35+'27.08.2568'!G35+'28.08.2568'!G35+'29.08.2568'!G35+'30.08.2568'!G35+'31.08.2568'!G35</f>
        <v>0</v>
      </c>
      <c r="H35" s="52">
        <f>+'19.08.2568'!H35+'20.8.2568'!H35+'21.08.2568'!H35+'22.08.2568'!H35+'23.08.2568'!H35+'24.082568'!H35+'25.08.2568'!H35+'26.08.256'!H35+'27.08.2568'!H35+'28.08.2568'!H35+'29.08.2568'!H35+'30.08.2568'!H35+'31.08.2568'!H35</f>
        <v>0</v>
      </c>
      <c r="I35" s="69">
        <f t="shared" si="6"/>
        <v>0</v>
      </c>
      <c r="J35" s="52">
        <f>+'19.08.2568'!J35+'20.8.2568'!J35+'21.08.2568'!J35+'22.08.2568'!J35+'23.08.2568'!J35+'24.082568'!J35+'25.08.2568'!J35+'26.08.256'!J35+'27.08.2568'!J35+'28.08.2568'!J35+'29.08.2568'!J35+'30.08.2568'!J35+'31.08.2568'!J35</f>
        <v>0</v>
      </c>
      <c r="K35" s="52">
        <f>+'19.08.2568'!K35+'20.8.2568'!K35+'21.08.2568'!K35+'22.08.2568'!K35+'23.08.2568'!K35+'24.082568'!K35+'25.08.2568'!K35+'26.08.256'!K35+'27.08.2568'!K35+'28.08.2568'!K35+'29.08.2568'!K35+'30.08.2568'!K35+'31.08.2568'!K35</f>
        <v>0</v>
      </c>
      <c r="L35" s="69">
        <f t="shared" si="0"/>
        <v>0</v>
      </c>
      <c r="M35" s="52">
        <f>+'19.08.2568'!M35+'20.8.2568'!M35+'21.08.2568'!M35+'22.08.2568'!M35+'23.08.2568'!M35+'24.082568'!M35+'25.08.2568'!M35+'26.08.256'!M35+'27.08.2568'!M35+'28.08.2568'!M35+'29.08.2568'!M35+'30.08.2568'!M35+'31.08.2568'!M35</f>
        <v>0</v>
      </c>
      <c r="N35" s="52">
        <f>+'19.08.2568'!N35+'20.8.2568'!N35+'21.08.2568'!N35+'22.08.2568'!N35+'23.08.2568'!N35+'24.082568'!N35+'25.08.2568'!N35+'26.08.256'!N35+'27.08.2568'!N35+'28.08.2568'!N35+'29.08.2568'!N35+'30.08.2568'!N35+'31.08.2568'!N35</f>
        <v>0</v>
      </c>
      <c r="O35" s="69">
        <f t="shared" si="1"/>
        <v>0</v>
      </c>
      <c r="P35" s="52">
        <f>+'19.08.2568'!P35+'20.8.2568'!P35+'21.08.2568'!P35+'22.08.2568'!P35+'23.08.2568'!P35+'24.082568'!P35+'25.08.2568'!P35+'26.08.256'!P35+'27.08.2568'!P35+'28.08.2568'!P35+'29.08.2568'!P35+'30.08.2568'!P35+'31.08.2568'!P35</f>
        <v>0</v>
      </c>
      <c r="Q35" s="52">
        <f>+'19.08.2568'!Q35+'20.8.2568'!Q35+'21.08.2568'!Q35+'22.08.2568'!Q35+'23.08.2568'!Q35+'24.082568'!Q35+'25.08.2568'!Q35+'26.08.256'!Q35+'27.08.2568'!Q35+'28.08.2568'!Q35+'29.08.2568'!Q35+'30.08.2568'!Q35+'31.08.2568'!Q35</f>
        <v>0</v>
      </c>
      <c r="R35" s="69">
        <f t="shared" si="2"/>
        <v>0</v>
      </c>
      <c r="S35" s="52"/>
      <c r="T35" s="52"/>
      <c r="U35" s="69">
        <f t="shared" si="3"/>
        <v>0</v>
      </c>
      <c r="V35" s="52"/>
      <c r="W35" s="52"/>
      <c r="X35" s="69">
        <f t="shared" si="4"/>
        <v>0</v>
      </c>
      <c r="Y35" s="52">
        <f>+'19.08.2568'!Y35+'20.8.2568'!Y35+'21.08.2568'!Y35+'22.08.2568'!Y35+'23.08.2568'!Y35+'24.082568'!Y35+'25.08.2568'!Y35+'26.08.256'!Y35+'27.08.2568'!Y35+'28.08.2568'!Y35+'29.08.2568'!Y35+'30.08.2568'!Y35+'31.08.2568'!Y35</f>
        <v>0</v>
      </c>
      <c r="Z35" s="64">
        <f t="shared" si="7"/>
        <v>0</v>
      </c>
    </row>
    <row r="36" spans="2:26" hidden="1">
      <c r="B36" s="50">
        <v>1111020</v>
      </c>
      <c r="C36" s="51" t="s">
        <v>167</v>
      </c>
      <c r="D36" s="52">
        <f>+'19.08.2568'!D36+'20.8.2568'!D36+'21.08.2568'!D36+'22.08.2568'!D36+'23.08.2568'!D36+'24.082568'!D36+'25.08.2568'!D36+'26.08.256'!D36+'27.08.2568'!D36+'28.08.2568'!D36+'29.08.2568'!D36+'30.08.2568'!D36+'31.08.2568'!D36</f>
        <v>0</v>
      </c>
      <c r="E36" s="52">
        <f>+'19.08.2568'!E36+'20.8.2568'!E36+'21.08.2568'!E36+'22.08.2568'!E36+'23.08.2568'!E36+'24.082568'!E36+'25.08.2568'!E36+'26.08.256'!E36+'27.08.2568'!E36+'28.08.2568'!E36+'29.08.2568'!E36+'30.08.2568'!E36+'31.08.2568'!E36</f>
        <v>0</v>
      </c>
      <c r="F36" s="69">
        <f t="shared" si="5"/>
        <v>0</v>
      </c>
      <c r="G36" s="52">
        <f>+'19.08.2568'!G36+'20.8.2568'!G36+'21.08.2568'!G36+'22.08.2568'!G36+'23.08.2568'!G36+'24.082568'!G36+'25.08.2568'!G36+'26.08.256'!G36+'27.08.2568'!G36+'28.08.2568'!G36+'29.08.2568'!G36+'30.08.2568'!G36+'31.08.2568'!G36</f>
        <v>0</v>
      </c>
      <c r="H36" s="52">
        <f>+'19.08.2568'!H36+'20.8.2568'!H36+'21.08.2568'!H36+'22.08.2568'!H36+'23.08.2568'!H36+'24.082568'!H36+'25.08.2568'!H36+'26.08.256'!H36+'27.08.2568'!H36+'28.08.2568'!H36+'29.08.2568'!H36+'30.08.2568'!H36+'31.08.2568'!H36</f>
        <v>0</v>
      </c>
      <c r="I36" s="69">
        <f t="shared" si="6"/>
        <v>0</v>
      </c>
      <c r="J36" s="52">
        <f>+'19.08.2568'!J36+'20.8.2568'!J36+'21.08.2568'!J36+'22.08.2568'!J36+'23.08.2568'!J36+'24.082568'!J36+'25.08.2568'!J36+'26.08.256'!J36+'27.08.2568'!J36+'28.08.2568'!J36+'29.08.2568'!J36+'30.08.2568'!J36+'31.08.2568'!J36</f>
        <v>0</v>
      </c>
      <c r="K36" s="52">
        <f>+'19.08.2568'!K36+'20.8.2568'!K36+'21.08.2568'!K36+'22.08.2568'!K36+'23.08.2568'!K36+'24.082568'!K36+'25.08.2568'!K36+'26.08.256'!K36+'27.08.2568'!K36+'28.08.2568'!K36+'29.08.2568'!K36+'30.08.2568'!K36+'31.08.2568'!K36</f>
        <v>0</v>
      </c>
      <c r="L36" s="69">
        <f t="shared" si="0"/>
        <v>0</v>
      </c>
      <c r="M36" s="52">
        <f>+'19.08.2568'!M36+'20.8.2568'!M36+'21.08.2568'!M36+'22.08.2568'!M36+'23.08.2568'!M36+'24.082568'!M36+'25.08.2568'!M36+'26.08.256'!M36+'27.08.2568'!M36+'28.08.2568'!M36+'29.08.2568'!M36+'30.08.2568'!M36+'31.08.2568'!M36</f>
        <v>0</v>
      </c>
      <c r="N36" s="52">
        <f>+'19.08.2568'!N36+'20.8.2568'!N36+'21.08.2568'!N36+'22.08.2568'!N36+'23.08.2568'!N36+'24.082568'!N36+'25.08.2568'!N36+'26.08.256'!N36+'27.08.2568'!N36+'28.08.2568'!N36+'29.08.2568'!N36+'30.08.2568'!N36+'31.08.2568'!N36</f>
        <v>0</v>
      </c>
      <c r="O36" s="69">
        <f t="shared" si="1"/>
        <v>0</v>
      </c>
      <c r="P36" s="52">
        <f>+'19.08.2568'!P36+'20.8.2568'!P36+'21.08.2568'!P36+'22.08.2568'!P36+'23.08.2568'!P36+'24.082568'!P36+'25.08.2568'!P36+'26.08.256'!P36+'27.08.2568'!P36+'28.08.2568'!P36+'29.08.2568'!P36+'30.08.2568'!P36+'31.08.2568'!P36</f>
        <v>0</v>
      </c>
      <c r="Q36" s="52">
        <f>+'19.08.2568'!Q36+'20.8.2568'!Q36+'21.08.2568'!Q36+'22.08.2568'!Q36+'23.08.2568'!Q36+'24.082568'!Q36+'25.08.2568'!Q36+'26.08.256'!Q36+'27.08.2568'!Q36+'28.08.2568'!Q36+'29.08.2568'!Q36+'30.08.2568'!Q36+'31.08.2568'!Q36</f>
        <v>0</v>
      </c>
      <c r="R36" s="69">
        <f t="shared" si="2"/>
        <v>0</v>
      </c>
      <c r="S36" s="52"/>
      <c r="T36" s="52"/>
      <c r="U36" s="69">
        <f t="shared" si="3"/>
        <v>0</v>
      </c>
      <c r="V36" s="52"/>
      <c r="W36" s="52"/>
      <c r="X36" s="69">
        <f t="shared" si="4"/>
        <v>0</v>
      </c>
      <c r="Y36" s="52">
        <f>+'19.08.2568'!Y36+'20.8.2568'!Y36+'21.08.2568'!Y36+'22.08.2568'!Y36+'23.08.2568'!Y36+'24.082568'!Y36+'25.08.2568'!Y36+'26.08.256'!Y36+'27.08.2568'!Y36+'28.08.2568'!Y36+'29.08.2568'!Y36+'30.08.2568'!Y36+'31.08.2568'!Y36</f>
        <v>0</v>
      </c>
      <c r="Z36" s="64">
        <f t="shared" si="7"/>
        <v>0</v>
      </c>
    </row>
    <row r="37" spans="2:26" hidden="1">
      <c r="B37" s="50">
        <v>1111022</v>
      </c>
      <c r="C37" s="51" t="s">
        <v>168</v>
      </c>
      <c r="D37" s="52">
        <f>+'19.08.2568'!D37+'20.8.2568'!D37+'21.08.2568'!D37+'22.08.2568'!D37+'23.08.2568'!D37+'24.082568'!D37+'25.08.2568'!D37+'26.08.256'!D37+'27.08.2568'!D37+'28.08.2568'!D37+'29.08.2568'!D37+'30.08.2568'!D37+'31.08.2568'!D37</f>
        <v>0</v>
      </c>
      <c r="E37" s="52">
        <f>+'19.08.2568'!E37+'20.8.2568'!E37+'21.08.2568'!E37+'22.08.2568'!E37+'23.08.2568'!E37+'24.082568'!E37+'25.08.2568'!E37+'26.08.256'!E37+'27.08.2568'!E37+'28.08.2568'!E37+'29.08.2568'!E37+'30.08.2568'!E37+'31.08.2568'!E37</f>
        <v>0</v>
      </c>
      <c r="F37" s="69">
        <f t="shared" si="5"/>
        <v>0</v>
      </c>
      <c r="G37" s="52">
        <f>+'19.08.2568'!G37+'20.8.2568'!G37+'21.08.2568'!G37+'22.08.2568'!G37+'23.08.2568'!G37+'24.082568'!G37+'25.08.2568'!G37+'26.08.256'!G37+'27.08.2568'!G37+'28.08.2568'!G37+'29.08.2568'!G37+'30.08.2568'!G37+'31.08.2568'!G37</f>
        <v>0</v>
      </c>
      <c r="H37" s="52">
        <f>+'19.08.2568'!H37+'20.8.2568'!H37+'21.08.2568'!H37+'22.08.2568'!H37+'23.08.2568'!H37+'24.082568'!H37+'25.08.2568'!H37+'26.08.256'!H37+'27.08.2568'!H37+'28.08.2568'!H37+'29.08.2568'!H37+'30.08.2568'!H37+'31.08.2568'!H37</f>
        <v>0</v>
      </c>
      <c r="I37" s="69">
        <f t="shared" si="6"/>
        <v>0</v>
      </c>
      <c r="J37" s="52">
        <f>+'19.08.2568'!J37+'20.8.2568'!J37+'21.08.2568'!J37+'22.08.2568'!J37+'23.08.2568'!J37+'24.082568'!J37+'25.08.2568'!J37+'26.08.256'!J37+'27.08.2568'!J37+'28.08.2568'!J37+'29.08.2568'!J37+'30.08.2568'!J37+'31.08.2568'!J37</f>
        <v>0</v>
      </c>
      <c r="K37" s="52">
        <f>+'19.08.2568'!K37+'20.8.2568'!K37+'21.08.2568'!K37+'22.08.2568'!K37+'23.08.2568'!K37+'24.082568'!K37+'25.08.2568'!K37+'26.08.256'!K37+'27.08.2568'!K37+'28.08.2568'!K37+'29.08.2568'!K37+'30.08.2568'!K37+'31.08.2568'!K37</f>
        <v>0</v>
      </c>
      <c r="L37" s="69">
        <f t="shared" si="0"/>
        <v>0</v>
      </c>
      <c r="M37" s="52">
        <f>+'19.08.2568'!M37+'20.8.2568'!M37+'21.08.2568'!M37+'22.08.2568'!M37+'23.08.2568'!M37+'24.082568'!M37+'25.08.2568'!M37+'26.08.256'!M37+'27.08.2568'!M37+'28.08.2568'!M37+'29.08.2568'!M37+'30.08.2568'!M37+'31.08.2568'!M37</f>
        <v>0</v>
      </c>
      <c r="N37" s="52">
        <f>+'19.08.2568'!N37+'20.8.2568'!N37+'21.08.2568'!N37+'22.08.2568'!N37+'23.08.2568'!N37+'24.082568'!N37+'25.08.2568'!N37+'26.08.256'!N37+'27.08.2568'!N37+'28.08.2568'!N37+'29.08.2568'!N37+'30.08.2568'!N37+'31.08.2568'!N37</f>
        <v>0</v>
      </c>
      <c r="O37" s="69">
        <f t="shared" si="1"/>
        <v>0</v>
      </c>
      <c r="P37" s="52">
        <f>+'19.08.2568'!P37+'20.8.2568'!P37+'21.08.2568'!P37+'22.08.2568'!P37+'23.08.2568'!P37+'24.082568'!P37+'25.08.2568'!P37+'26.08.256'!P37+'27.08.2568'!P37+'28.08.2568'!P37+'29.08.2568'!P37+'30.08.2568'!P37+'31.08.2568'!P37</f>
        <v>0</v>
      </c>
      <c r="Q37" s="52">
        <f>+'19.08.2568'!Q37+'20.8.2568'!Q37+'21.08.2568'!Q37+'22.08.2568'!Q37+'23.08.2568'!Q37+'24.082568'!Q37+'25.08.2568'!Q37+'26.08.256'!Q37+'27.08.2568'!Q37+'28.08.2568'!Q37+'29.08.2568'!Q37+'30.08.2568'!Q37+'31.08.2568'!Q37</f>
        <v>0</v>
      </c>
      <c r="R37" s="69">
        <f t="shared" si="2"/>
        <v>0</v>
      </c>
      <c r="S37" s="52"/>
      <c r="T37" s="52"/>
      <c r="U37" s="69">
        <f t="shared" si="3"/>
        <v>0</v>
      </c>
      <c r="V37" s="52"/>
      <c r="W37" s="52"/>
      <c r="X37" s="69">
        <f t="shared" si="4"/>
        <v>0</v>
      </c>
      <c r="Y37" s="52">
        <f>+'19.08.2568'!Y37+'20.8.2568'!Y37+'21.08.2568'!Y37+'22.08.2568'!Y37+'23.08.2568'!Y37+'24.082568'!Y37+'25.08.2568'!Y37+'26.08.256'!Y37+'27.08.2568'!Y37+'28.08.2568'!Y37+'29.08.2568'!Y37+'30.08.2568'!Y37+'31.08.2568'!Y37</f>
        <v>0</v>
      </c>
      <c r="Z37" s="64">
        <f t="shared" si="7"/>
        <v>0</v>
      </c>
    </row>
    <row r="38" spans="2:26" hidden="1">
      <c r="B38" s="50">
        <v>1111023</v>
      </c>
      <c r="C38" s="51" t="s">
        <v>169</v>
      </c>
      <c r="D38" s="52">
        <f>+'19.08.2568'!D38+'20.8.2568'!D38+'21.08.2568'!D38+'22.08.2568'!D38+'23.08.2568'!D38+'24.082568'!D38+'25.08.2568'!D38+'26.08.256'!D38+'27.08.2568'!D38+'28.08.2568'!D38+'29.08.2568'!D38+'30.08.2568'!D38+'31.08.2568'!D38</f>
        <v>0</v>
      </c>
      <c r="E38" s="52">
        <f>+'19.08.2568'!E38+'20.8.2568'!E38+'21.08.2568'!E38+'22.08.2568'!E38+'23.08.2568'!E38+'24.082568'!E38+'25.08.2568'!E38+'26.08.256'!E38+'27.08.2568'!E38+'28.08.2568'!E38+'29.08.2568'!E38+'30.08.2568'!E38+'31.08.2568'!E38</f>
        <v>0</v>
      </c>
      <c r="F38" s="69">
        <f t="shared" si="5"/>
        <v>0</v>
      </c>
      <c r="G38" s="52">
        <f>+'19.08.2568'!G38+'20.8.2568'!G38+'21.08.2568'!G38+'22.08.2568'!G38+'23.08.2568'!G38+'24.082568'!G38+'25.08.2568'!G38+'26.08.256'!G38+'27.08.2568'!G38+'28.08.2568'!G38+'29.08.2568'!G38+'30.08.2568'!G38+'31.08.2568'!G38</f>
        <v>0</v>
      </c>
      <c r="H38" s="52">
        <f>+'19.08.2568'!H38+'20.8.2568'!H38+'21.08.2568'!H38+'22.08.2568'!H38+'23.08.2568'!H38+'24.082568'!H38+'25.08.2568'!H38+'26.08.256'!H38+'27.08.2568'!H38+'28.08.2568'!H38+'29.08.2568'!H38+'30.08.2568'!H38+'31.08.2568'!H38</f>
        <v>0</v>
      </c>
      <c r="I38" s="69">
        <f t="shared" si="6"/>
        <v>0</v>
      </c>
      <c r="J38" s="52">
        <f>+'19.08.2568'!J38+'20.8.2568'!J38+'21.08.2568'!J38+'22.08.2568'!J38+'23.08.2568'!J38+'24.082568'!J38+'25.08.2568'!J38+'26.08.256'!J38+'27.08.2568'!J38+'28.08.2568'!J38+'29.08.2568'!J38+'30.08.2568'!J38+'31.08.2568'!J38</f>
        <v>0</v>
      </c>
      <c r="K38" s="52">
        <f>+'19.08.2568'!K38+'20.8.2568'!K38+'21.08.2568'!K38+'22.08.2568'!K38+'23.08.2568'!K38+'24.082568'!K38+'25.08.2568'!K38+'26.08.256'!K38+'27.08.2568'!K38+'28.08.2568'!K38+'29.08.2568'!K38+'30.08.2568'!K38+'31.08.2568'!K38</f>
        <v>0</v>
      </c>
      <c r="L38" s="69">
        <f t="shared" si="0"/>
        <v>0</v>
      </c>
      <c r="M38" s="52">
        <f>+'19.08.2568'!M38+'20.8.2568'!M38+'21.08.2568'!M38+'22.08.2568'!M38+'23.08.2568'!M38+'24.082568'!M38+'25.08.2568'!M38+'26.08.256'!M38+'27.08.2568'!M38+'28.08.2568'!M38+'29.08.2568'!M38+'30.08.2568'!M38+'31.08.2568'!M38</f>
        <v>0</v>
      </c>
      <c r="N38" s="52">
        <f>+'19.08.2568'!N38+'20.8.2568'!N38+'21.08.2568'!N38+'22.08.2568'!N38+'23.08.2568'!N38+'24.082568'!N38+'25.08.2568'!N38+'26.08.256'!N38+'27.08.2568'!N38+'28.08.2568'!N38+'29.08.2568'!N38+'30.08.2568'!N38+'31.08.2568'!N38</f>
        <v>0</v>
      </c>
      <c r="O38" s="69">
        <f t="shared" si="1"/>
        <v>0</v>
      </c>
      <c r="P38" s="52">
        <f>+'19.08.2568'!P38+'20.8.2568'!P38+'21.08.2568'!P38+'22.08.2568'!P38+'23.08.2568'!P38+'24.082568'!P38+'25.08.2568'!P38+'26.08.256'!P38+'27.08.2568'!P38+'28.08.2568'!P38+'29.08.2568'!P38+'30.08.2568'!P38+'31.08.2568'!P38</f>
        <v>0</v>
      </c>
      <c r="Q38" s="52">
        <f>+'19.08.2568'!Q38+'20.8.2568'!Q38+'21.08.2568'!Q38+'22.08.2568'!Q38+'23.08.2568'!Q38+'24.082568'!Q38+'25.08.2568'!Q38+'26.08.256'!Q38+'27.08.2568'!Q38+'28.08.2568'!Q38+'29.08.2568'!Q38+'30.08.2568'!Q38+'31.08.2568'!Q38</f>
        <v>0</v>
      </c>
      <c r="R38" s="69">
        <f t="shared" si="2"/>
        <v>0</v>
      </c>
      <c r="S38" s="52"/>
      <c r="T38" s="52"/>
      <c r="U38" s="69">
        <f t="shared" si="3"/>
        <v>0</v>
      </c>
      <c r="V38" s="52"/>
      <c r="W38" s="52"/>
      <c r="X38" s="69">
        <f t="shared" si="4"/>
        <v>0</v>
      </c>
      <c r="Y38" s="52">
        <f>+'19.08.2568'!Y38+'20.8.2568'!Y38+'21.08.2568'!Y38+'22.08.2568'!Y38+'23.08.2568'!Y38+'24.082568'!Y38+'25.08.2568'!Y38+'26.08.256'!Y38+'27.08.2568'!Y38+'28.08.2568'!Y38+'29.08.2568'!Y38+'30.08.2568'!Y38+'31.08.2568'!Y38</f>
        <v>0</v>
      </c>
      <c r="Z38" s="64">
        <f t="shared" si="7"/>
        <v>0</v>
      </c>
    </row>
    <row r="39" spans="2:26" hidden="1">
      <c r="B39" s="50">
        <v>1111024</v>
      </c>
      <c r="C39" s="51" t="s">
        <v>170</v>
      </c>
      <c r="D39" s="52">
        <f>+'19.08.2568'!D39+'20.8.2568'!D39+'21.08.2568'!D39+'22.08.2568'!D39+'23.08.2568'!D39+'24.082568'!D39+'25.08.2568'!D39+'26.08.256'!D39+'27.08.2568'!D39+'28.08.2568'!D39+'29.08.2568'!D39+'30.08.2568'!D39+'31.08.2568'!D39</f>
        <v>0</v>
      </c>
      <c r="E39" s="52">
        <f>+'19.08.2568'!E39+'20.8.2568'!E39+'21.08.2568'!E39+'22.08.2568'!E39+'23.08.2568'!E39+'24.082568'!E39+'25.08.2568'!E39+'26.08.256'!E39+'27.08.2568'!E39+'28.08.2568'!E39+'29.08.2568'!E39+'30.08.2568'!E39+'31.08.2568'!E39</f>
        <v>0</v>
      </c>
      <c r="F39" s="69">
        <f t="shared" si="5"/>
        <v>0</v>
      </c>
      <c r="G39" s="52">
        <f>+'19.08.2568'!G39+'20.8.2568'!G39+'21.08.2568'!G39+'22.08.2568'!G39+'23.08.2568'!G39+'24.082568'!G39+'25.08.2568'!G39+'26.08.256'!G39+'27.08.2568'!G39+'28.08.2568'!G39+'29.08.2568'!G39+'30.08.2568'!G39+'31.08.2568'!G39</f>
        <v>0</v>
      </c>
      <c r="H39" s="52">
        <f>+'19.08.2568'!H39+'20.8.2568'!H39+'21.08.2568'!H39+'22.08.2568'!H39+'23.08.2568'!H39+'24.082568'!H39+'25.08.2568'!H39+'26.08.256'!H39+'27.08.2568'!H39+'28.08.2568'!H39+'29.08.2568'!H39+'30.08.2568'!H39+'31.08.2568'!H39</f>
        <v>0</v>
      </c>
      <c r="I39" s="69">
        <f t="shared" si="6"/>
        <v>0</v>
      </c>
      <c r="J39" s="52">
        <f>+'19.08.2568'!J39+'20.8.2568'!J39+'21.08.2568'!J39+'22.08.2568'!J39+'23.08.2568'!J39+'24.082568'!J39+'25.08.2568'!J39+'26.08.256'!J39+'27.08.2568'!J39+'28.08.2568'!J39+'29.08.2568'!J39+'30.08.2568'!J39+'31.08.2568'!J39</f>
        <v>0</v>
      </c>
      <c r="K39" s="52">
        <f>+'19.08.2568'!K39+'20.8.2568'!K39+'21.08.2568'!K39+'22.08.2568'!K39+'23.08.2568'!K39+'24.082568'!K39+'25.08.2568'!K39+'26.08.256'!K39+'27.08.2568'!K39+'28.08.2568'!K39+'29.08.2568'!K39+'30.08.2568'!K39+'31.08.2568'!K39</f>
        <v>0</v>
      </c>
      <c r="L39" s="69">
        <f t="shared" si="0"/>
        <v>0</v>
      </c>
      <c r="M39" s="52">
        <f>+'19.08.2568'!M39+'20.8.2568'!M39+'21.08.2568'!M39+'22.08.2568'!M39+'23.08.2568'!M39+'24.082568'!M39+'25.08.2568'!M39+'26.08.256'!M39+'27.08.2568'!M39+'28.08.2568'!M39+'29.08.2568'!M39+'30.08.2568'!M39+'31.08.2568'!M39</f>
        <v>0</v>
      </c>
      <c r="N39" s="52">
        <f>+'19.08.2568'!N39+'20.8.2568'!N39+'21.08.2568'!N39+'22.08.2568'!N39+'23.08.2568'!N39+'24.082568'!N39+'25.08.2568'!N39+'26.08.256'!N39+'27.08.2568'!N39+'28.08.2568'!N39+'29.08.2568'!N39+'30.08.2568'!N39+'31.08.2568'!N39</f>
        <v>0</v>
      </c>
      <c r="O39" s="69">
        <f t="shared" si="1"/>
        <v>0</v>
      </c>
      <c r="P39" s="52">
        <f>+'19.08.2568'!P39+'20.8.2568'!P39+'21.08.2568'!P39+'22.08.2568'!P39+'23.08.2568'!P39+'24.082568'!P39+'25.08.2568'!P39+'26.08.256'!P39+'27.08.2568'!P39+'28.08.2568'!P39+'29.08.2568'!P39+'30.08.2568'!P39+'31.08.2568'!P39</f>
        <v>0</v>
      </c>
      <c r="Q39" s="52">
        <f>+'19.08.2568'!Q39+'20.8.2568'!Q39+'21.08.2568'!Q39+'22.08.2568'!Q39+'23.08.2568'!Q39+'24.082568'!Q39+'25.08.2568'!Q39+'26.08.256'!Q39+'27.08.2568'!Q39+'28.08.2568'!Q39+'29.08.2568'!Q39+'30.08.2568'!Q39+'31.08.2568'!Q39</f>
        <v>0</v>
      </c>
      <c r="R39" s="69">
        <f t="shared" si="2"/>
        <v>0</v>
      </c>
      <c r="S39" s="52"/>
      <c r="T39" s="52"/>
      <c r="U39" s="69">
        <f t="shared" si="3"/>
        <v>0</v>
      </c>
      <c r="V39" s="52"/>
      <c r="W39" s="52"/>
      <c r="X39" s="69">
        <f t="shared" si="4"/>
        <v>0</v>
      </c>
      <c r="Y39" s="52">
        <f>+'19.08.2568'!Y39+'20.8.2568'!Y39+'21.08.2568'!Y39+'22.08.2568'!Y39+'23.08.2568'!Y39+'24.082568'!Y39+'25.08.2568'!Y39+'26.08.256'!Y39+'27.08.2568'!Y39+'28.08.2568'!Y39+'29.08.2568'!Y39+'30.08.2568'!Y39+'31.08.2568'!Y39</f>
        <v>0</v>
      </c>
      <c r="Z39" s="64">
        <f t="shared" si="7"/>
        <v>0</v>
      </c>
    </row>
    <row r="40" spans="2:26" hidden="1">
      <c r="B40" s="50">
        <v>1111025</v>
      </c>
      <c r="C40" s="51" t="s">
        <v>171</v>
      </c>
      <c r="D40" s="52">
        <f>+'19.08.2568'!D40+'20.8.2568'!D40+'21.08.2568'!D40+'22.08.2568'!D40+'23.08.2568'!D40+'24.082568'!D40+'25.08.2568'!D40+'26.08.256'!D40+'27.08.2568'!D40+'28.08.2568'!D40+'29.08.2568'!D40+'30.08.2568'!D40+'31.08.2568'!D40</f>
        <v>0</v>
      </c>
      <c r="E40" s="52">
        <f>+'19.08.2568'!E40+'20.8.2568'!E40+'21.08.2568'!E40+'22.08.2568'!E40+'23.08.2568'!E40+'24.082568'!E40+'25.08.2568'!E40+'26.08.256'!E40+'27.08.2568'!E40+'28.08.2568'!E40+'29.08.2568'!E40+'30.08.2568'!E40+'31.08.2568'!E40</f>
        <v>0</v>
      </c>
      <c r="F40" s="69">
        <f t="shared" si="5"/>
        <v>0</v>
      </c>
      <c r="G40" s="52">
        <f>+'19.08.2568'!G40+'20.8.2568'!G40+'21.08.2568'!G40+'22.08.2568'!G40+'23.08.2568'!G40+'24.082568'!G40+'25.08.2568'!G40+'26.08.256'!G40+'27.08.2568'!G40+'28.08.2568'!G40+'29.08.2568'!G40+'30.08.2568'!G40+'31.08.2568'!G40</f>
        <v>0</v>
      </c>
      <c r="H40" s="52">
        <f>+'19.08.2568'!H40+'20.8.2568'!H40+'21.08.2568'!H40+'22.08.2568'!H40+'23.08.2568'!H40+'24.082568'!H40+'25.08.2568'!H40+'26.08.256'!H40+'27.08.2568'!H40+'28.08.2568'!H40+'29.08.2568'!H40+'30.08.2568'!H40+'31.08.2568'!H40</f>
        <v>0</v>
      </c>
      <c r="I40" s="69">
        <f t="shared" si="6"/>
        <v>0</v>
      </c>
      <c r="J40" s="52">
        <f>+'19.08.2568'!J40+'20.8.2568'!J40+'21.08.2568'!J40+'22.08.2568'!J40+'23.08.2568'!J40+'24.082568'!J40+'25.08.2568'!J40+'26.08.256'!J40+'27.08.2568'!J40+'28.08.2568'!J40+'29.08.2568'!J40+'30.08.2568'!J40+'31.08.2568'!J40</f>
        <v>0</v>
      </c>
      <c r="K40" s="52">
        <f>+'19.08.2568'!K40+'20.8.2568'!K40+'21.08.2568'!K40+'22.08.2568'!K40+'23.08.2568'!K40+'24.082568'!K40+'25.08.2568'!K40+'26.08.256'!K40+'27.08.2568'!K40+'28.08.2568'!K40+'29.08.2568'!K40+'30.08.2568'!K40+'31.08.2568'!K40</f>
        <v>0</v>
      </c>
      <c r="L40" s="69">
        <f t="shared" si="0"/>
        <v>0</v>
      </c>
      <c r="M40" s="52">
        <f>+'19.08.2568'!M40+'20.8.2568'!M40+'21.08.2568'!M40+'22.08.2568'!M40+'23.08.2568'!M40+'24.082568'!M40+'25.08.2568'!M40+'26.08.256'!M40+'27.08.2568'!M40+'28.08.2568'!M40+'29.08.2568'!M40+'30.08.2568'!M40+'31.08.2568'!M40</f>
        <v>0</v>
      </c>
      <c r="N40" s="52">
        <f>+'19.08.2568'!N40+'20.8.2568'!N40+'21.08.2568'!N40+'22.08.2568'!N40+'23.08.2568'!N40+'24.082568'!N40+'25.08.2568'!N40+'26.08.256'!N40+'27.08.2568'!N40+'28.08.2568'!N40+'29.08.2568'!N40+'30.08.2568'!N40+'31.08.2568'!N40</f>
        <v>0</v>
      </c>
      <c r="O40" s="69">
        <f t="shared" si="1"/>
        <v>0</v>
      </c>
      <c r="P40" s="52">
        <f>+'19.08.2568'!P40+'20.8.2568'!P40+'21.08.2568'!P40+'22.08.2568'!P40+'23.08.2568'!P40+'24.082568'!P40+'25.08.2568'!P40+'26.08.256'!P40+'27.08.2568'!P40+'28.08.2568'!P40+'29.08.2568'!P40+'30.08.2568'!P40+'31.08.2568'!P40</f>
        <v>0</v>
      </c>
      <c r="Q40" s="52">
        <f>+'19.08.2568'!Q40+'20.8.2568'!Q40+'21.08.2568'!Q40+'22.08.2568'!Q40+'23.08.2568'!Q40+'24.082568'!Q40+'25.08.2568'!Q40+'26.08.256'!Q40+'27.08.2568'!Q40+'28.08.2568'!Q40+'29.08.2568'!Q40+'30.08.2568'!Q40+'31.08.2568'!Q40</f>
        <v>0</v>
      </c>
      <c r="R40" s="69">
        <f t="shared" si="2"/>
        <v>0</v>
      </c>
      <c r="S40" s="52"/>
      <c r="T40" s="52"/>
      <c r="U40" s="69">
        <f t="shared" si="3"/>
        <v>0</v>
      </c>
      <c r="V40" s="52"/>
      <c r="W40" s="52"/>
      <c r="X40" s="69">
        <f t="shared" si="4"/>
        <v>0</v>
      </c>
      <c r="Y40" s="52">
        <f>+'19.08.2568'!Y40+'20.8.2568'!Y40+'21.08.2568'!Y40+'22.08.2568'!Y40+'23.08.2568'!Y40+'24.082568'!Y40+'25.08.2568'!Y40+'26.08.256'!Y40+'27.08.2568'!Y40+'28.08.2568'!Y40+'29.08.2568'!Y40+'30.08.2568'!Y40+'31.08.2568'!Y40</f>
        <v>0</v>
      </c>
      <c r="Z40" s="64">
        <f t="shared" si="7"/>
        <v>0</v>
      </c>
    </row>
    <row r="41" spans="2:26">
      <c r="B41" s="50">
        <v>1111056</v>
      </c>
      <c r="C41" s="51" t="s">
        <v>172</v>
      </c>
      <c r="D41" s="52">
        <f>+'19.08.2568'!D41+'20.8.2568'!D41+'21.08.2568'!D41+'22.08.2568'!D41+'23.08.2568'!D41+'24.082568'!D41+'25.08.2568'!D41+'26.08.256'!D41+'27.08.2568'!D41+'28.08.2568'!D41+'29.08.2568'!D41+'30.08.2568'!D41+'31.08.2568'!D41</f>
        <v>8</v>
      </c>
      <c r="E41" s="52">
        <f>+'19.08.2568'!E41+'20.8.2568'!E41+'21.08.2568'!E41+'22.08.2568'!E41+'23.08.2568'!E41+'24.082568'!E41+'25.08.2568'!E41+'26.08.256'!E41+'27.08.2568'!E41+'28.08.2568'!E41+'29.08.2568'!E41+'30.08.2568'!E41+'31.08.2568'!E41</f>
        <v>0</v>
      </c>
      <c r="F41" s="69">
        <f t="shared" si="5"/>
        <v>8</v>
      </c>
      <c r="G41" s="52">
        <f>+'19.08.2568'!G41+'20.8.2568'!G41+'21.08.2568'!G41+'22.08.2568'!G41+'23.08.2568'!G41+'24.082568'!G41+'25.08.2568'!G41+'26.08.256'!G41+'27.08.2568'!G41+'28.08.2568'!G41+'29.08.2568'!G41+'30.08.2568'!G41+'31.08.2568'!G41</f>
        <v>66</v>
      </c>
      <c r="H41" s="52">
        <f>+'19.08.2568'!H41+'20.8.2568'!H41+'21.08.2568'!H41+'22.08.2568'!H41+'23.08.2568'!H41+'24.082568'!H41+'25.08.2568'!H41+'26.08.256'!H41+'27.08.2568'!H41+'28.08.2568'!H41+'29.08.2568'!H41+'30.08.2568'!H41+'31.08.2568'!H41</f>
        <v>0</v>
      </c>
      <c r="I41" s="69">
        <f t="shared" si="6"/>
        <v>66</v>
      </c>
      <c r="J41" s="52">
        <f>+'19.08.2568'!J41+'20.8.2568'!J41+'21.08.2568'!J41+'22.08.2568'!J41+'23.08.2568'!J41+'24.082568'!J41+'25.08.2568'!J41+'26.08.256'!J41+'27.08.2568'!J41+'28.08.2568'!J41+'29.08.2568'!J41+'30.08.2568'!J41+'31.08.2568'!J41</f>
        <v>3</v>
      </c>
      <c r="K41" s="52">
        <f>+'19.08.2568'!K41+'20.8.2568'!K41+'21.08.2568'!K41+'22.08.2568'!K41+'23.08.2568'!K41+'24.082568'!K41+'25.08.2568'!K41+'26.08.256'!K41+'27.08.2568'!K41+'28.08.2568'!K41+'29.08.2568'!K41+'30.08.2568'!K41+'31.08.2568'!K41</f>
        <v>0</v>
      </c>
      <c r="L41" s="69">
        <f t="shared" si="0"/>
        <v>3</v>
      </c>
      <c r="M41" s="52">
        <f>+'19.08.2568'!M41+'20.8.2568'!M41+'21.08.2568'!M41+'22.08.2568'!M41+'23.08.2568'!M41+'24.082568'!M41+'25.08.2568'!M41+'26.08.256'!M41+'27.08.2568'!M41+'28.08.2568'!M41+'29.08.2568'!M41+'30.08.2568'!M41+'31.08.2568'!M41</f>
        <v>0</v>
      </c>
      <c r="N41" s="52">
        <f>+'19.08.2568'!N41+'20.8.2568'!N41+'21.08.2568'!N41+'22.08.2568'!N41+'23.08.2568'!N41+'24.082568'!N41+'25.08.2568'!N41+'26.08.256'!N41+'27.08.2568'!N41+'28.08.2568'!N41+'29.08.2568'!N41+'30.08.2568'!N41+'31.08.2568'!N41</f>
        <v>0</v>
      </c>
      <c r="O41" s="69">
        <f t="shared" si="1"/>
        <v>0</v>
      </c>
      <c r="P41" s="52">
        <f>+'19.08.2568'!P41+'20.8.2568'!P41+'21.08.2568'!P41+'22.08.2568'!P41+'23.08.2568'!P41+'24.082568'!P41+'25.08.2568'!P41+'26.08.256'!P41+'27.08.2568'!P41+'28.08.2568'!P41+'29.08.2568'!P41+'30.08.2568'!P41+'31.08.2568'!P41</f>
        <v>0</v>
      </c>
      <c r="Q41" s="52">
        <f>+'19.08.2568'!Q41+'20.8.2568'!Q41+'21.08.2568'!Q41+'22.08.2568'!Q41+'23.08.2568'!Q41+'24.082568'!Q41+'25.08.2568'!Q41+'26.08.256'!Q41+'27.08.2568'!Q41+'28.08.2568'!Q41+'29.08.2568'!Q41+'30.08.2568'!Q41+'31.08.2568'!Q41</f>
        <v>0</v>
      </c>
      <c r="R41" s="69">
        <f t="shared" si="2"/>
        <v>0</v>
      </c>
      <c r="S41" s="52"/>
      <c r="T41" s="52"/>
      <c r="U41" s="69">
        <f t="shared" si="3"/>
        <v>0</v>
      </c>
      <c r="V41" s="52"/>
      <c r="W41" s="52"/>
      <c r="X41" s="69">
        <f t="shared" si="4"/>
        <v>0</v>
      </c>
      <c r="Y41" s="52">
        <f>+'19.08.2568'!Y41+'20.8.2568'!Y41+'21.08.2568'!Y41+'22.08.2568'!Y41+'23.08.2568'!Y41+'24.082568'!Y41+'25.08.2568'!Y41+'26.08.256'!Y41+'27.08.2568'!Y41+'28.08.2568'!Y41+'29.08.2568'!Y41+'30.08.2568'!Y41+'31.08.2568'!Y41</f>
        <v>0</v>
      </c>
      <c r="Z41" s="75">
        <f t="shared" si="7"/>
        <v>77</v>
      </c>
    </row>
    <row r="42" spans="2:26">
      <c r="B42" s="50">
        <v>1111074</v>
      </c>
      <c r="C42" s="51" t="s">
        <v>44</v>
      </c>
      <c r="D42" s="52">
        <f>+'19.08.2568'!D42+'20.8.2568'!D42+'21.08.2568'!D42+'22.08.2568'!D42+'23.08.2568'!D42+'24.082568'!D42+'25.08.2568'!D42+'26.08.256'!D42+'27.08.2568'!D42+'28.08.2568'!D42+'29.08.2568'!D42+'30.08.2568'!D42+'31.08.2568'!D42</f>
        <v>0</v>
      </c>
      <c r="E42" s="52">
        <f>+'19.08.2568'!E42+'20.8.2568'!E42+'21.08.2568'!E42+'22.08.2568'!E42+'23.08.2568'!E42+'24.082568'!E42+'25.08.2568'!E42+'26.08.256'!E42+'27.08.2568'!E42+'28.08.2568'!E42+'29.08.2568'!E42+'30.08.2568'!E42+'31.08.2568'!E42</f>
        <v>0</v>
      </c>
      <c r="F42" s="69">
        <f t="shared" si="5"/>
        <v>0</v>
      </c>
      <c r="G42" s="52">
        <f>+'19.08.2568'!G42+'20.8.2568'!G42+'21.08.2568'!G42+'22.08.2568'!G42+'23.08.2568'!G42+'24.082568'!G42+'25.08.2568'!G42+'26.08.256'!G42+'27.08.2568'!G42+'28.08.2568'!G42+'29.08.2568'!G42+'30.08.2568'!G42+'31.08.2568'!G42</f>
        <v>91</v>
      </c>
      <c r="H42" s="52">
        <f>+'19.08.2568'!H42+'20.8.2568'!H42+'21.08.2568'!H42+'22.08.2568'!H42+'23.08.2568'!H42+'24.082568'!H42+'25.08.2568'!H42+'26.08.256'!H42+'27.08.2568'!H42+'28.08.2568'!H42+'29.08.2568'!H42+'30.08.2568'!H42+'31.08.2568'!H42</f>
        <v>0</v>
      </c>
      <c r="I42" s="69">
        <f t="shared" si="6"/>
        <v>91</v>
      </c>
      <c r="J42" s="52">
        <f>+'19.08.2568'!J42+'20.8.2568'!J42+'21.08.2568'!J42+'22.08.2568'!J42+'23.08.2568'!J42+'24.082568'!J42+'25.08.2568'!J42+'26.08.256'!J42+'27.08.2568'!J42+'28.08.2568'!J42+'29.08.2568'!J42+'30.08.2568'!J42+'31.08.2568'!J42</f>
        <v>1</v>
      </c>
      <c r="K42" s="52">
        <f>+'19.08.2568'!K42+'20.8.2568'!K42+'21.08.2568'!K42+'22.08.2568'!K42+'23.08.2568'!K42+'24.082568'!K42+'25.08.2568'!K42+'26.08.256'!K42+'27.08.2568'!K42+'28.08.2568'!K42+'29.08.2568'!K42+'30.08.2568'!K42+'31.08.2568'!K42</f>
        <v>0</v>
      </c>
      <c r="L42" s="69">
        <f t="shared" si="0"/>
        <v>1</v>
      </c>
      <c r="M42" s="52">
        <f>+'19.08.2568'!M42+'20.8.2568'!M42+'21.08.2568'!M42+'22.08.2568'!M42+'23.08.2568'!M42+'24.082568'!M42+'25.08.2568'!M42+'26.08.256'!M42+'27.08.2568'!M42+'28.08.2568'!M42+'29.08.2568'!M42+'30.08.2568'!M42+'31.08.2568'!M42</f>
        <v>0</v>
      </c>
      <c r="N42" s="52">
        <f>+'19.08.2568'!N42+'20.8.2568'!N42+'21.08.2568'!N42+'22.08.2568'!N42+'23.08.2568'!N42+'24.082568'!N42+'25.08.2568'!N42+'26.08.256'!N42+'27.08.2568'!N42+'28.08.2568'!N42+'29.08.2568'!N42+'30.08.2568'!N42+'31.08.2568'!N42</f>
        <v>0</v>
      </c>
      <c r="O42" s="69">
        <f t="shared" si="1"/>
        <v>0</v>
      </c>
      <c r="P42" s="52">
        <f>+'19.08.2568'!P42+'20.8.2568'!P42+'21.08.2568'!P42+'22.08.2568'!P42+'23.08.2568'!P42+'24.082568'!P42+'25.08.2568'!P42+'26.08.256'!P42+'27.08.2568'!P42+'28.08.2568'!P42+'29.08.2568'!P42+'30.08.2568'!P42+'31.08.2568'!P42</f>
        <v>0</v>
      </c>
      <c r="Q42" s="52">
        <f>+'19.08.2568'!Q42+'20.8.2568'!Q42+'21.08.2568'!Q42+'22.08.2568'!Q42+'23.08.2568'!Q42+'24.082568'!Q42+'25.08.2568'!Q42+'26.08.256'!Q42+'27.08.2568'!Q42+'28.08.2568'!Q42+'29.08.2568'!Q42+'30.08.2568'!Q42+'31.08.2568'!Q42</f>
        <v>0</v>
      </c>
      <c r="R42" s="69">
        <f t="shared" si="2"/>
        <v>0</v>
      </c>
      <c r="S42" s="52"/>
      <c r="T42" s="52"/>
      <c r="U42" s="69">
        <f t="shared" si="3"/>
        <v>0</v>
      </c>
      <c r="V42" s="52"/>
      <c r="W42" s="52"/>
      <c r="X42" s="69">
        <f t="shared" si="4"/>
        <v>0</v>
      </c>
      <c r="Y42" s="52">
        <f>+'19.08.2568'!Y42+'20.8.2568'!Y42+'21.08.2568'!Y42+'22.08.2568'!Y42+'23.08.2568'!Y42+'24.082568'!Y42+'25.08.2568'!Y42+'26.08.256'!Y42+'27.08.2568'!Y42+'28.08.2568'!Y42+'29.08.2568'!Y42+'30.08.2568'!Y42+'31.08.2568'!Y42</f>
        <v>0</v>
      </c>
      <c r="Z42" s="75">
        <f t="shared" si="7"/>
        <v>92</v>
      </c>
    </row>
    <row r="43" spans="2:26">
      <c r="B43" s="50">
        <v>1111075</v>
      </c>
      <c r="C43" s="51" t="s">
        <v>45</v>
      </c>
      <c r="D43" s="52">
        <f>+'19.08.2568'!D43+'20.8.2568'!D43+'21.08.2568'!D43+'22.08.2568'!D43+'23.08.2568'!D43+'24.082568'!D43+'25.08.2568'!D43+'26.08.256'!D43+'27.08.2568'!D43+'28.08.2568'!D43+'29.08.2568'!D43+'30.08.2568'!D43+'31.08.2568'!D43</f>
        <v>0</v>
      </c>
      <c r="E43" s="52">
        <f>+'19.08.2568'!E43+'20.8.2568'!E43+'21.08.2568'!E43+'22.08.2568'!E43+'23.08.2568'!E43+'24.082568'!E43+'25.08.2568'!E43+'26.08.256'!E43+'27.08.2568'!E43+'28.08.2568'!E43+'29.08.2568'!E43+'30.08.2568'!E43+'31.08.2568'!E43</f>
        <v>0</v>
      </c>
      <c r="F43" s="69">
        <f t="shared" si="5"/>
        <v>0</v>
      </c>
      <c r="G43" s="52">
        <f>+'19.08.2568'!G43+'20.8.2568'!G43+'21.08.2568'!G43+'22.08.2568'!G43+'23.08.2568'!G43+'24.082568'!G43+'25.08.2568'!G43+'26.08.256'!G43+'27.08.2568'!G43+'28.08.2568'!G43+'29.08.2568'!G43+'30.08.2568'!G43+'31.08.2568'!G43</f>
        <v>90</v>
      </c>
      <c r="H43" s="52">
        <f>+'19.08.2568'!H43+'20.8.2568'!H43+'21.08.2568'!H43+'22.08.2568'!H43+'23.08.2568'!H43+'24.082568'!H43+'25.08.2568'!H43+'26.08.256'!H43+'27.08.2568'!H43+'28.08.2568'!H43+'29.08.2568'!H43+'30.08.2568'!H43+'31.08.2568'!H43</f>
        <v>0</v>
      </c>
      <c r="I43" s="69">
        <f t="shared" si="6"/>
        <v>90</v>
      </c>
      <c r="J43" s="52">
        <f>+'19.08.2568'!J43+'20.8.2568'!J43+'21.08.2568'!J43+'22.08.2568'!J43+'23.08.2568'!J43+'24.082568'!J43+'25.08.2568'!J43+'26.08.256'!J43+'27.08.2568'!J43+'28.08.2568'!J43+'29.08.2568'!J43+'30.08.2568'!J43+'31.08.2568'!J43</f>
        <v>1</v>
      </c>
      <c r="K43" s="52">
        <f>+'19.08.2568'!K43+'20.8.2568'!K43+'21.08.2568'!K43+'22.08.2568'!K43+'23.08.2568'!K43+'24.082568'!K43+'25.08.2568'!K43+'26.08.256'!K43+'27.08.2568'!K43+'28.08.2568'!K43+'29.08.2568'!K43+'30.08.2568'!K43+'31.08.2568'!K43</f>
        <v>0</v>
      </c>
      <c r="L43" s="69">
        <f t="shared" si="0"/>
        <v>1</v>
      </c>
      <c r="M43" s="52">
        <f>+'19.08.2568'!M43+'20.8.2568'!M43+'21.08.2568'!M43+'22.08.2568'!M43+'23.08.2568'!M43+'24.082568'!M43+'25.08.2568'!M43+'26.08.256'!M43+'27.08.2568'!M43+'28.08.2568'!M43+'29.08.2568'!M43+'30.08.2568'!M43+'31.08.2568'!M43</f>
        <v>0</v>
      </c>
      <c r="N43" s="52">
        <f>+'19.08.2568'!N43+'20.8.2568'!N43+'21.08.2568'!N43+'22.08.2568'!N43+'23.08.2568'!N43+'24.082568'!N43+'25.08.2568'!N43+'26.08.256'!N43+'27.08.2568'!N43+'28.08.2568'!N43+'29.08.2568'!N43+'30.08.2568'!N43+'31.08.2568'!N43</f>
        <v>0</v>
      </c>
      <c r="O43" s="69">
        <f t="shared" si="1"/>
        <v>0</v>
      </c>
      <c r="P43" s="52">
        <f>+'19.08.2568'!P43+'20.8.2568'!P43+'21.08.2568'!P43+'22.08.2568'!P43+'23.08.2568'!P43+'24.082568'!P43+'25.08.2568'!P43+'26.08.256'!P43+'27.08.2568'!P43+'28.08.2568'!P43+'29.08.2568'!P43+'30.08.2568'!P43+'31.08.2568'!P43</f>
        <v>0</v>
      </c>
      <c r="Q43" s="52">
        <f>+'19.08.2568'!Q43+'20.8.2568'!Q43+'21.08.2568'!Q43+'22.08.2568'!Q43+'23.08.2568'!Q43+'24.082568'!Q43+'25.08.2568'!Q43+'26.08.256'!Q43+'27.08.2568'!Q43+'28.08.2568'!Q43+'29.08.2568'!Q43+'30.08.2568'!Q43+'31.08.2568'!Q43</f>
        <v>0</v>
      </c>
      <c r="R43" s="69">
        <f t="shared" si="2"/>
        <v>0</v>
      </c>
      <c r="S43" s="52"/>
      <c r="T43" s="52"/>
      <c r="U43" s="69">
        <f t="shared" si="3"/>
        <v>0</v>
      </c>
      <c r="V43" s="52"/>
      <c r="W43" s="52"/>
      <c r="X43" s="69">
        <f t="shared" si="4"/>
        <v>0</v>
      </c>
      <c r="Y43" s="52">
        <f>+'19.08.2568'!Y43+'20.8.2568'!Y43+'21.08.2568'!Y43+'22.08.2568'!Y43+'23.08.2568'!Y43+'24.082568'!Y43+'25.08.2568'!Y43+'26.08.256'!Y43+'27.08.2568'!Y43+'28.08.2568'!Y43+'29.08.2568'!Y43+'30.08.2568'!Y43+'31.08.2568'!Y43</f>
        <v>0</v>
      </c>
      <c r="Z43" s="75">
        <f t="shared" si="7"/>
        <v>91</v>
      </c>
    </row>
    <row r="44" spans="2:26">
      <c r="B44" s="50">
        <v>1111076</v>
      </c>
      <c r="C44" s="51" t="s">
        <v>46</v>
      </c>
      <c r="D44" s="52">
        <f>+'19.08.2568'!D44+'20.8.2568'!D44+'21.08.2568'!D44+'22.08.2568'!D44+'23.08.2568'!D44+'24.082568'!D44+'25.08.2568'!D44+'26.08.256'!D44+'27.08.2568'!D44+'28.08.2568'!D44+'29.08.2568'!D44+'30.08.2568'!D44+'31.08.2568'!D44</f>
        <v>0</v>
      </c>
      <c r="E44" s="52">
        <f>+'19.08.2568'!E44+'20.8.2568'!E44+'21.08.2568'!E44+'22.08.2568'!E44+'23.08.2568'!E44+'24.082568'!E44+'25.08.2568'!E44+'26.08.256'!E44+'27.08.2568'!E44+'28.08.2568'!E44+'29.08.2568'!E44+'30.08.2568'!E44+'31.08.2568'!E44</f>
        <v>0</v>
      </c>
      <c r="F44" s="69">
        <f t="shared" si="5"/>
        <v>0</v>
      </c>
      <c r="G44" s="52">
        <f>+'19.08.2568'!G44+'20.8.2568'!G44+'21.08.2568'!G44+'22.08.2568'!G44+'23.08.2568'!G44+'24.082568'!G44+'25.08.2568'!G44+'26.08.256'!G44+'27.08.2568'!G44+'28.08.2568'!G44+'29.08.2568'!G44+'30.08.2568'!G44+'31.08.2568'!G44</f>
        <v>90</v>
      </c>
      <c r="H44" s="52">
        <f>+'19.08.2568'!H44+'20.8.2568'!H44+'21.08.2568'!H44+'22.08.2568'!H44+'23.08.2568'!H44+'24.082568'!H44+'25.08.2568'!H44+'26.08.256'!H44+'27.08.2568'!H44+'28.08.2568'!H44+'29.08.2568'!H44+'30.08.2568'!H44+'31.08.2568'!H44</f>
        <v>0</v>
      </c>
      <c r="I44" s="69">
        <f t="shared" si="6"/>
        <v>90</v>
      </c>
      <c r="J44" s="52">
        <f>+'19.08.2568'!J44+'20.8.2568'!J44+'21.08.2568'!J44+'22.08.2568'!J44+'23.08.2568'!J44+'24.082568'!J44+'25.08.2568'!J44+'26.08.256'!J44+'27.08.2568'!J44+'28.08.2568'!J44+'29.08.2568'!J44+'30.08.2568'!J44+'31.08.2568'!J44</f>
        <v>1</v>
      </c>
      <c r="K44" s="52">
        <f>+'19.08.2568'!K44+'20.8.2568'!K44+'21.08.2568'!K44+'22.08.2568'!K44+'23.08.2568'!K44+'24.082568'!K44+'25.08.2568'!K44+'26.08.256'!K44+'27.08.2568'!K44+'28.08.2568'!K44+'29.08.2568'!K44+'30.08.2568'!K44+'31.08.2568'!K44</f>
        <v>0</v>
      </c>
      <c r="L44" s="69">
        <f t="shared" si="0"/>
        <v>1</v>
      </c>
      <c r="M44" s="52">
        <f>+'19.08.2568'!M44+'20.8.2568'!M44+'21.08.2568'!M44+'22.08.2568'!M44+'23.08.2568'!M44+'24.082568'!M44+'25.08.2568'!M44+'26.08.256'!M44+'27.08.2568'!M44+'28.08.2568'!M44+'29.08.2568'!M44+'30.08.2568'!M44+'31.08.2568'!M44</f>
        <v>0</v>
      </c>
      <c r="N44" s="52">
        <f>+'19.08.2568'!N44+'20.8.2568'!N44+'21.08.2568'!N44+'22.08.2568'!N44+'23.08.2568'!N44+'24.082568'!N44+'25.08.2568'!N44+'26.08.256'!N44+'27.08.2568'!N44+'28.08.2568'!N44+'29.08.2568'!N44+'30.08.2568'!N44+'31.08.2568'!N44</f>
        <v>0</v>
      </c>
      <c r="O44" s="69">
        <f t="shared" si="1"/>
        <v>0</v>
      </c>
      <c r="P44" s="52">
        <f>+'19.08.2568'!P44+'20.8.2568'!P44+'21.08.2568'!P44+'22.08.2568'!P44+'23.08.2568'!P44+'24.082568'!P44+'25.08.2568'!P44+'26.08.256'!P44+'27.08.2568'!P44+'28.08.2568'!P44+'29.08.2568'!P44+'30.08.2568'!P44+'31.08.2568'!P44</f>
        <v>0</v>
      </c>
      <c r="Q44" s="52">
        <f>+'19.08.2568'!Q44+'20.8.2568'!Q44+'21.08.2568'!Q44+'22.08.2568'!Q44+'23.08.2568'!Q44+'24.082568'!Q44+'25.08.2568'!Q44+'26.08.256'!Q44+'27.08.2568'!Q44+'28.08.2568'!Q44+'29.08.2568'!Q44+'30.08.2568'!Q44+'31.08.2568'!Q44</f>
        <v>0</v>
      </c>
      <c r="R44" s="69">
        <f t="shared" si="2"/>
        <v>0</v>
      </c>
      <c r="S44" s="52"/>
      <c r="T44" s="52"/>
      <c r="U44" s="69">
        <f t="shared" si="3"/>
        <v>0</v>
      </c>
      <c r="V44" s="52"/>
      <c r="W44" s="52"/>
      <c r="X44" s="69">
        <f t="shared" si="4"/>
        <v>0</v>
      </c>
      <c r="Y44" s="52">
        <f>+'19.08.2568'!Y44+'20.8.2568'!Y44+'21.08.2568'!Y44+'22.08.2568'!Y44+'23.08.2568'!Y44+'24.082568'!Y44+'25.08.2568'!Y44+'26.08.256'!Y44+'27.08.2568'!Y44+'28.08.2568'!Y44+'29.08.2568'!Y44+'30.08.2568'!Y44+'31.08.2568'!Y44</f>
        <v>0</v>
      </c>
      <c r="Z44" s="75">
        <f t="shared" si="7"/>
        <v>91</v>
      </c>
    </row>
    <row r="45" spans="2:26">
      <c r="B45" s="50">
        <v>1111077</v>
      </c>
      <c r="C45" s="51" t="s">
        <v>47</v>
      </c>
      <c r="D45" s="52">
        <f>+'19.08.2568'!D45+'20.8.2568'!D45+'21.08.2568'!D45+'22.08.2568'!D45+'23.08.2568'!D45+'24.082568'!D45+'25.08.2568'!D45+'26.08.256'!D45+'27.08.2568'!D45+'28.08.2568'!D45+'29.08.2568'!D45+'30.08.2568'!D45+'31.08.2568'!D45</f>
        <v>0</v>
      </c>
      <c r="E45" s="52">
        <f>+'19.08.2568'!E45+'20.8.2568'!E45+'21.08.2568'!E45+'22.08.2568'!E45+'23.08.2568'!E45+'24.082568'!E45+'25.08.2568'!E45+'26.08.256'!E45+'27.08.2568'!E45+'28.08.2568'!E45+'29.08.2568'!E45+'30.08.2568'!E45+'31.08.2568'!E45</f>
        <v>0</v>
      </c>
      <c r="F45" s="69">
        <f t="shared" si="5"/>
        <v>0</v>
      </c>
      <c r="G45" s="52">
        <f>+'19.08.2568'!G45+'20.8.2568'!G45+'21.08.2568'!G45+'22.08.2568'!G45+'23.08.2568'!G45+'24.082568'!G45+'25.08.2568'!G45+'26.08.256'!G45+'27.08.2568'!G45+'28.08.2568'!G45+'29.08.2568'!G45+'30.08.2568'!G45+'31.08.2568'!G45</f>
        <v>90</v>
      </c>
      <c r="H45" s="52">
        <f>+'19.08.2568'!H45+'20.8.2568'!H45+'21.08.2568'!H45+'22.08.2568'!H45+'23.08.2568'!H45+'24.082568'!H45+'25.08.2568'!H45+'26.08.256'!H45+'27.08.2568'!H45+'28.08.2568'!H45+'29.08.2568'!H45+'30.08.2568'!H45+'31.08.2568'!H45</f>
        <v>0</v>
      </c>
      <c r="I45" s="69">
        <f t="shared" si="6"/>
        <v>90</v>
      </c>
      <c r="J45" s="52">
        <f>+'19.08.2568'!J45+'20.8.2568'!J45+'21.08.2568'!J45+'22.08.2568'!J45+'23.08.2568'!J45+'24.082568'!J45+'25.08.2568'!J45+'26.08.256'!J45+'27.08.2568'!J45+'28.08.2568'!J45+'29.08.2568'!J45+'30.08.2568'!J45+'31.08.2568'!J45</f>
        <v>1</v>
      </c>
      <c r="K45" s="52">
        <f>+'19.08.2568'!K45+'20.8.2568'!K45+'21.08.2568'!K45+'22.08.2568'!K45+'23.08.2568'!K45+'24.082568'!K45+'25.08.2568'!K45+'26.08.256'!K45+'27.08.2568'!K45+'28.08.2568'!K45+'29.08.2568'!K45+'30.08.2568'!K45+'31.08.2568'!K45</f>
        <v>0</v>
      </c>
      <c r="L45" s="69">
        <f t="shared" si="0"/>
        <v>1</v>
      </c>
      <c r="M45" s="52">
        <f>+'19.08.2568'!M45+'20.8.2568'!M45+'21.08.2568'!M45+'22.08.2568'!M45+'23.08.2568'!M45+'24.082568'!M45+'25.08.2568'!M45+'26.08.256'!M45+'27.08.2568'!M45+'28.08.2568'!M45+'29.08.2568'!M45+'30.08.2568'!M45+'31.08.2568'!M45</f>
        <v>0</v>
      </c>
      <c r="N45" s="52">
        <f>+'19.08.2568'!N45+'20.8.2568'!N45+'21.08.2568'!N45+'22.08.2568'!N45+'23.08.2568'!N45+'24.082568'!N45+'25.08.2568'!N45+'26.08.256'!N45+'27.08.2568'!N45+'28.08.2568'!N45+'29.08.2568'!N45+'30.08.2568'!N45+'31.08.2568'!N45</f>
        <v>0</v>
      </c>
      <c r="O45" s="69">
        <f t="shared" si="1"/>
        <v>0</v>
      </c>
      <c r="P45" s="52">
        <f>+'19.08.2568'!P45+'20.8.2568'!P45+'21.08.2568'!P45+'22.08.2568'!P45+'23.08.2568'!P45+'24.082568'!P45+'25.08.2568'!P45+'26.08.256'!P45+'27.08.2568'!P45+'28.08.2568'!P45+'29.08.2568'!P45+'30.08.2568'!P45+'31.08.2568'!P45</f>
        <v>0</v>
      </c>
      <c r="Q45" s="52">
        <f>+'19.08.2568'!Q45+'20.8.2568'!Q45+'21.08.2568'!Q45+'22.08.2568'!Q45+'23.08.2568'!Q45+'24.082568'!Q45+'25.08.2568'!Q45+'26.08.256'!Q45+'27.08.2568'!Q45+'28.08.2568'!Q45+'29.08.2568'!Q45+'30.08.2568'!Q45+'31.08.2568'!Q45</f>
        <v>0</v>
      </c>
      <c r="R45" s="69">
        <f t="shared" si="2"/>
        <v>0</v>
      </c>
      <c r="S45" s="52"/>
      <c r="T45" s="52"/>
      <c r="U45" s="69">
        <f t="shared" si="3"/>
        <v>0</v>
      </c>
      <c r="V45" s="52"/>
      <c r="W45" s="52"/>
      <c r="X45" s="69">
        <f t="shared" si="4"/>
        <v>0</v>
      </c>
      <c r="Y45" s="52">
        <f>+'19.08.2568'!Y45+'20.8.2568'!Y45+'21.08.2568'!Y45+'22.08.2568'!Y45+'23.08.2568'!Y45+'24.082568'!Y45+'25.08.2568'!Y45+'26.08.256'!Y45+'27.08.2568'!Y45+'28.08.2568'!Y45+'29.08.2568'!Y45+'30.08.2568'!Y45+'31.08.2568'!Y45</f>
        <v>0</v>
      </c>
      <c r="Z45" s="75">
        <f t="shared" si="7"/>
        <v>91</v>
      </c>
    </row>
    <row r="46" spans="2:26">
      <c r="B46" s="50">
        <v>1111078</v>
      </c>
      <c r="C46" s="51" t="s">
        <v>48</v>
      </c>
      <c r="D46" s="52">
        <f>+'19.08.2568'!D46+'20.8.2568'!D46+'21.08.2568'!D46+'22.08.2568'!D46+'23.08.2568'!D46+'24.082568'!D46+'25.08.2568'!D46+'26.08.256'!D46+'27.08.2568'!D46+'28.08.2568'!D46+'29.08.2568'!D46+'30.08.2568'!D46+'31.08.2568'!D46</f>
        <v>0</v>
      </c>
      <c r="E46" s="52">
        <f>+'19.08.2568'!E46+'20.8.2568'!E46+'21.08.2568'!E46+'22.08.2568'!E46+'23.08.2568'!E46+'24.082568'!E46+'25.08.2568'!E46+'26.08.256'!E46+'27.08.2568'!E46+'28.08.2568'!E46+'29.08.2568'!E46+'30.08.2568'!E46+'31.08.2568'!E46</f>
        <v>0</v>
      </c>
      <c r="F46" s="69">
        <f t="shared" si="5"/>
        <v>0</v>
      </c>
      <c r="G46" s="52">
        <f>+'19.08.2568'!G46+'20.8.2568'!G46+'21.08.2568'!G46+'22.08.2568'!G46+'23.08.2568'!G46+'24.082568'!G46+'25.08.2568'!G46+'26.08.256'!G46+'27.08.2568'!G46+'28.08.2568'!G46+'29.08.2568'!G46+'30.08.2568'!G46+'31.08.2568'!G46</f>
        <v>90</v>
      </c>
      <c r="H46" s="52">
        <f>+'19.08.2568'!H46+'20.8.2568'!H46+'21.08.2568'!H46+'22.08.2568'!H46+'23.08.2568'!H46+'24.082568'!H46+'25.08.2568'!H46+'26.08.256'!H46+'27.08.2568'!H46+'28.08.2568'!H46+'29.08.2568'!H46+'30.08.2568'!H46+'31.08.2568'!H46</f>
        <v>0</v>
      </c>
      <c r="I46" s="69">
        <f t="shared" si="6"/>
        <v>90</v>
      </c>
      <c r="J46" s="52">
        <f>+'19.08.2568'!J46+'20.8.2568'!J46+'21.08.2568'!J46+'22.08.2568'!J46+'23.08.2568'!J46+'24.082568'!J46+'25.08.2568'!J46+'26.08.256'!J46+'27.08.2568'!J46+'28.08.2568'!J46+'29.08.2568'!J46+'30.08.2568'!J46+'31.08.2568'!J46</f>
        <v>1</v>
      </c>
      <c r="K46" s="52">
        <f>+'19.08.2568'!K46+'20.8.2568'!K46+'21.08.2568'!K46+'22.08.2568'!K46+'23.08.2568'!K46+'24.082568'!K46+'25.08.2568'!K46+'26.08.256'!K46+'27.08.2568'!K46+'28.08.2568'!K46+'29.08.2568'!K46+'30.08.2568'!K46+'31.08.2568'!K46</f>
        <v>0</v>
      </c>
      <c r="L46" s="69">
        <f t="shared" si="0"/>
        <v>1</v>
      </c>
      <c r="M46" s="52">
        <f>+'19.08.2568'!M46+'20.8.2568'!M46+'21.08.2568'!M46+'22.08.2568'!M46+'23.08.2568'!M46+'24.082568'!M46+'25.08.2568'!M46+'26.08.256'!M46+'27.08.2568'!M46+'28.08.2568'!M46+'29.08.2568'!M46+'30.08.2568'!M46+'31.08.2568'!M46</f>
        <v>0</v>
      </c>
      <c r="N46" s="52">
        <f>+'19.08.2568'!N46+'20.8.2568'!N46+'21.08.2568'!N46+'22.08.2568'!N46+'23.08.2568'!N46+'24.082568'!N46+'25.08.2568'!N46+'26.08.256'!N46+'27.08.2568'!N46+'28.08.2568'!N46+'29.08.2568'!N46+'30.08.2568'!N46+'31.08.2568'!N46</f>
        <v>0</v>
      </c>
      <c r="O46" s="69">
        <f t="shared" si="1"/>
        <v>0</v>
      </c>
      <c r="P46" s="52">
        <f>+'19.08.2568'!P46+'20.8.2568'!P46+'21.08.2568'!P46+'22.08.2568'!P46+'23.08.2568'!P46+'24.082568'!P46+'25.08.2568'!P46+'26.08.256'!P46+'27.08.2568'!P46+'28.08.2568'!P46+'29.08.2568'!P46+'30.08.2568'!P46+'31.08.2568'!P46</f>
        <v>0</v>
      </c>
      <c r="Q46" s="52">
        <f>+'19.08.2568'!Q46+'20.8.2568'!Q46+'21.08.2568'!Q46+'22.08.2568'!Q46+'23.08.2568'!Q46+'24.082568'!Q46+'25.08.2568'!Q46+'26.08.256'!Q46+'27.08.2568'!Q46+'28.08.2568'!Q46+'29.08.2568'!Q46+'30.08.2568'!Q46+'31.08.2568'!Q46</f>
        <v>0</v>
      </c>
      <c r="R46" s="69">
        <f t="shared" si="2"/>
        <v>0</v>
      </c>
      <c r="S46" s="52"/>
      <c r="T46" s="52"/>
      <c r="U46" s="69">
        <f t="shared" si="3"/>
        <v>0</v>
      </c>
      <c r="V46" s="52"/>
      <c r="W46" s="52"/>
      <c r="X46" s="69">
        <f t="shared" si="4"/>
        <v>0</v>
      </c>
      <c r="Y46" s="52">
        <f>+'19.08.2568'!Y46+'20.8.2568'!Y46+'21.08.2568'!Y46+'22.08.2568'!Y46+'23.08.2568'!Y46+'24.082568'!Y46+'25.08.2568'!Y46+'26.08.256'!Y46+'27.08.2568'!Y46+'28.08.2568'!Y46+'29.08.2568'!Y46+'30.08.2568'!Y46+'31.08.2568'!Y46</f>
        <v>0</v>
      </c>
      <c r="Z46" s="75">
        <f t="shared" si="7"/>
        <v>91</v>
      </c>
    </row>
    <row r="47" spans="2:26">
      <c r="B47" s="50">
        <v>1111079</v>
      </c>
      <c r="C47" s="51" t="s">
        <v>49</v>
      </c>
      <c r="D47" s="52">
        <f>+'19.08.2568'!D47+'20.8.2568'!D47+'21.08.2568'!D47+'22.08.2568'!D47+'23.08.2568'!D47+'24.082568'!D47+'25.08.2568'!D47+'26.08.256'!D47+'27.08.2568'!D47+'28.08.2568'!D47+'29.08.2568'!D47+'30.08.2568'!D47+'31.08.2568'!D47</f>
        <v>0</v>
      </c>
      <c r="E47" s="52">
        <f>+'19.08.2568'!E47+'20.8.2568'!E47+'21.08.2568'!E47+'22.08.2568'!E47+'23.08.2568'!E47+'24.082568'!E47+'25.08.2568'!E47+'26.08.256'!E47+'27.08.2568'!E47+'28.08.2568'!E47+'29.08.2568'!E47+'30.08.2568'!E47+'31.08.2568'!E47</f>
        <v>0</v>
      </c>
      <c r="F47" s="69">
        <f t="shared" si="5"/>
        <v>0</v>
      </c>
      <c r="G47" s="52">
        <f>+'19.08.2568'!G47+'20.8.2568'!G47+'21.08.2568'!G47+'22.08.2568'!G47+'23.08.2568'!G47+'24.082568'!G47+'25.08.2568'!G47+'26.08.256'!G47+'27.08.2568'!G47+'28.08.2568'!G47+'29.08.2568'!G47+'30.08.2568'!G47+'31.08.2568'!G47</f>
        <v>90</v>
      </c>
      <c r="H47" s="52">
        <f>+'19.08.2568'!H47+'20.8.2568'!H47+'21.08.2568'!H47+'22.08.2568'!H47+'23.08.2568'!H47+'24.082568'!H47+'25.08.2568'!H47+'26.08.256'!H47+'27.08.2568'!H47+'28.08.2568'!H47+'29.08.2568'!H47+'30.08.2568'!H47+'31.08.2568'!H47</f>
        <v>0</v>
      </c>
      <c r="I47" s="69">
        <f t="shared" si="6"/>
        <v>90</v>
      </c>
      <c r="J47" s="52">
        <f>+'19.08.2568'!J47+'20.8.2568'!J47+'21.08.2568'!J47+'22.08.2568'!J47+'23.08.2568'!J47+'24.082568'!J47+'25.08.2568'!J47+'26.08.256'!J47+'27.08.2568'!J47+'28.08.2568'!J47+'29.08.2568'!J47+'30.08.2568'!J47+'31.08.2568'!J47</f>
        <v>1</v>
      </c>
      <c r="K47" s="52">
        <f>+'19.08.2568'!K47+'20.8.2568'!K47+'21.08.2568'!K47+'22.08.2568'!K47+'23.08.2568'!K47+'24.082568'!K47+'25.08.2568'!K47+'26.08.256'!K47+'27.08.2568'!K47+'28.08.2568'!K47+'29.08.2568'!K47+'30.08.2568'!K47+'31.08.2568'!K47</f>
        <v>0</v>
      </c>
      <c r="L47" s="69">
        <f t="shared" si="0"/>
        <v>1</v>
      </c>
      <c r="M47" s="52">
        <f>+'19.08.2568'!M47+'20.8.2568'!M47+'21.08.2568'!M47+'22.08.2568'!M47+'23.08.2568'!M47+'24.082568'!M47+'25.08.2568'!M47+'26.08.256'!M47+'27.08.2568'!M47+'28.08.2568'!M47+'29.08.2568'!M47+'30.08.2568'!M47+'31.08.2568'!M47</f>
        <v>0</v>
      </c>
      <c r="N47" s="52">
        <f>+'19.08.2568'!N47+'20.8.2568'!N47+'21.08.2568'!N47+'22.08.2568'!N47+'23.08.2568'!N47+'24.082568'!N47+'25.08.2568'!N47+'26.08.256'!N47+'27.08.2568'!N47+'28.08.2568'!N47+'29.08.2568'!N47+'30.08.2568'!N47+'31.08.2568'!N47</f>
        <v>0</v>
      </c>
      <c r="O47" s="69">
        <f t="shared" si="1"/>
        <v>0</v>
      </c>
      <c r="P47" s="52">
        <f>+'19.08.2568'!P47+'20.8.2568'!P47+'21.08.2568'!P47+'22.08.2568'!P47+'23.08.2568'!P47+'24.082568'!P47+'25.08.2568'!P47+'26.08.256'!P47+'27.08.2568'!P47+'28.08.2568'!P47+'29.08.2568'!P47+'30.08.2568'!P47+'31.08.2568'!P47</f>
        <v>0</v>
      </c>
      <c r="Q47" s="52">
        <f>+'19.08.2568'!Q47+'20.8.2568'!Q47+'21.08.2568'!Q47+'22.08.2568'!Q47+'23.08.2568'!Q47+'24.082568'!Q47+'25.08.2568'!Q47+'26.08.256'!Q47+'27.08.2568'!Q47+'28.08.2568'!Q47+'29.08.2568'!Q47+'30.08.2568'!Q47+'31.08.2568'!Q47</f>
        <v>0</v>
      </c>
      <c r="R47" s="69">
        <f t="shared" si="2"/>
        <v>0</v>
      </c>
      <c r="S47" s="52"/>
      <c r="T47" s="52"/>
      <c r="U47" s="69">
        <f t="shared" si="3"/>
        <v>0</v>
      </c>
      <c r="V47" s="52"/>
      <c r="W47" s="52"/>
      <c r="X47" s="69">
        <f t="shared" si="4"/>
        <v>0</v>
      </c>
      <c r="Y47" s="52">
        <f>+'19.08.2568'!Y47+'20.8.2568'!Y47+'21.08.2568'!Y47+'22.08.2568'!Y47+'23.08.2568'!Y47+'24.082568'!Y47+'25.08.2568'!Y47+'26.08.256'!Y47+'27.08.2568'!Y47+'28.08.2568'!Y47+'29.08.2568'!Y47+'30.08.2568'!Y47+'31.08.2568'!Y47</f>
        <v>0</v>
      </c>
      <c r="Z47" s="75">
        <f t="shared" si="7"/>
        <v>91</v>
      </c>
    </row>
    <row r="48" spans="2:26">
      <c r="B48" s="50">
        <v>1111080</v>
      </c>
      <c r="C48" s="51" t="s">
        <v>50</v>
      </c>
      <c r="D48" s="52">
        <f>+'19.08.2568'!D48+'20.8.2568'!D48+'21.08.2568'!D48+'22.08.2568'!D48+'23.08.2568'!D48+'24.082568'!D48+'25.08.2568'!D48+'26.08.256'!D48+'27.08.2568'!D48+'28.08.2568'!D48+'29.08.2568'!D48+'30.08.2568'!D48+'31.08.2568'!D48</f>
        <v>0</v>
      </c>
      <c r="E48" s="52">
        <f>+'19.08.2568'!E48+'20.8.2568'!E48+'21.08.2568'!E48+'22.08.2568'!E48+'23.08.2568'!E48+'24.082568'!E48+'25.08.2568'!E48+'26.08.256'!E48+'27.08.2568'!E48+'28.08.2568'!E48+'29.08.2568'!E48+'30.08.2568'!E48+'31.08.2568'!E48</f>
        <v>0</v>
      </c>
      <c r="F48" s="69">
        <f t="shared" si="5"/>
        <v>0</v>
      </c>
      <c r="G48" s="52">
        <f>+'19.08.2568'!G48+'20.8.2568'!G48+'21.08.2568'!G48+'22.08.2568'!G48+'23.08.2568'!G48+'24.082568'!G48+'25.08.2568'!G48+'26.08.256'!G48+'27.08.2568'!G48+'28.08.2568'!G48+'29.08.2568'!G48+'30.08.2568'!G48+'31.08.2568'!G48</f>
        <v>90</v>
      </c>
      <c r="H48" s="52">
        <f>+'19.08.2568'!H48+'20.8.2568'!H48+'21.08.2568'!H48+'22.08.2568'!H48+'23.08.2568'!H48+'24.082568'!H48+'25.08.2568'!H48+'26.08.256'!H48+'27.08.2568'!H48+'28.08.2568'!H48+'29.08.2568'!H48+'30.08.2568'!H48+'31.08.2568'!H48</f>
        <v>0</v>
      </c>
      <c r="I48" s="69">
        <f t="shared" si="6"/>
        <v>90</v>
      </c>
      <c r="J48" s="52">
        <f>+'19.08.2568'!J48+'20.8.2568'!J48+'21.08.2568'!J48+'22.08.2568'!J48+'23.08.2568'!J48+'24.082568'!J48+'25.08.2568'!J48+'26.08.256'!J48+'27.08.2568'!J48+'28.08.2568'!J48+'29.08.2568'!J48+'30.08.2568'!J48+'31.08.2568'!J48</f>
        <v>1</v>
      </c>
      <c r="K48" s="52">
        <f>+'19.08.2568'!K48+'20.8.2568'!K48+'21.08.2568'!K48+'22.08.2568'!K48+'23.08.2568'!K48+'24.082568'!K48+'25.08.2568'!K48+'26.08.256'!K48+'27.08.2568'!K48+'28.08.2568'!K48+'29.08.2568'!K48+'30.08.2568'!K48+'31.08.2568'!K48</f>
        <v>0</v>
      </c>
      <c r="L48" s="69">
        <f t="shared" si="0"/>
        <v>1</v>
      </c>
      <c r="M48" s="52">
        <f>+'19.08.2568'!M48+'20.8.2568'!M48+'21.08.2568'!M48+'22.08.2568'!M48+'23.08.2568'!M48+'24.082568'!M48+'25.08.2568'!M48+'26.08.256'!M48+'27.08.2568'!M48+'28.08.2568'!M48+'29.08.2568'!M48+'30.08.2568'!M48+'31.08.2568'!M48</f>
        <v>0</v>
      </c>
      <c r="N48" s="52">
        <f>+'19.08.2568'!N48+'20.8.2568'!N48+'21.08.2568'!N48+'22.08.2568'!N48+'23.08.2568'!N48+'24.082568'!N48+'25.08.2568'!N48+'26.08.256'!N48+'27.08.2568'!N48+'28.08.2568'!N48+'29.08.2568'!N48+'30.08.2568'!N48+'31.08.2568'!N48</f>
        <v>0</v>
      </c>
      <c r="O48" s="69">
        <f t="shared" si="1"/>
        <v>0</v>
      </c>
      <c r="P48" s="52">
        <f>+'19.08.2568'!P48+'20.8.2568'!P48+'21.08.2568'!P48+'22.08.2568'!P48+'23.08.2568'!P48+'24.082568'!P48+'25.08.2568'!P48+'26.08.256'!P48+'27.08.2568'!P48+'28.08.2568'!P48+'29.08.2568'!P48+'30.08.2568'!P48+'31.08.2568'!P48</f>
        <v>0</v>
      </c>
      <c r="Q48" s="52">
        <f>+'19.08.2568'!Q48+'20.8.2568'!Q48+'21.08.2568'!Q48+'22.08.2568'!Q48+'23.08.2568'!Q48+'24.082568'!Q48+'25.08.2568'!Q48+'26.08.256'!Q48+'27.08.2568'!Q48+'28.08.2568'!Q48+'29.08.2568'!Q48+'30.08.2568'!Q48+'31.08.2568'!Q48</f>
        <v>0</v>
      </c>
      <c r="R48" s="69">
        <f t="shared" si="2"/>
        <v>0</v>
      </c>
      <c r="S48" s="52"/>
      <c r="T48" s="52"/>
      <c r="U48" s="69">
        <f t="shared" si="3"/>
        <v>0</v>
      </c>
      <c r="V48" s="52"/>
      <c r="W48" s="52"/>
      <c r="X48" s="69">
        <f t="shared" si="4"/>
        <v>0</v>
      </c>
      <c r="Y48" s="52">
        <f>+'19.08.2568'!Y48+'20.8.2568'!Y48+'21.08.2568'!Y48+'22.08.2568'!Y48+'23.08.2568'!Y48+'24.082568'!Y48+'25.08.2568'!Y48+'26.08.256'!Y48+'27.08.2568'!Y48+'28.08.2568'!Y48+'29.08.2568'!Y48+'30.08.2568'!Y48+'31.08.2568'!Y48</f>
        <v>0</v>
      </c>
      <c r="Z48" s="75">
        <f t="shared" si="7"/>
        <v>91</v>
      </c>
    </row>
    <row r="49" spans="2:26">
      <c r="B49" s="50">
        <v>1111081</v>
      </c>
      <c r="C49" s="51" t="s">
        <v>51</v>
      </c>
      <c r="D49" s="52">
        <f>+'19.08.2568'!D49+'20.8.2568'!D49+'21.08.2568'!D49+'22.08.2568'!D49+'23.08.2568'!D49+'24.082568'!D49+'25.08.2568'!D49+'26.08.256'!D49+'27.08.2568'!D49+'28.08.2568'!D49+'29.08.2568'!D49+'30.08.2568'!D49+'31.08.2568'!D49</f>
        <v>0</v>
      </c>
      <c r="E49" s="52">
        <f>+'19.08.2568'!E49+'20.8.2568'!E49+'21.08.2568'!E49+'22.08.2568'!E49+'23.08.2568'!E49+'24.082568'!E49+'25.08.2568'!E49+'26.08.256'!E49+'27.08.2568'!E49+'28.08.2568'!E49+'29.08.2568'!E49+'30.08.2568'!E49+'31.08.2568'!E49</f>
        <v>0</v>
      </c>
      <c r="F49" s="69">
        <f t="shared" si="5"/>
        <v>0</v>
      </c>
      <c r="G49" s="52">
        <f>+'19.08.2568'!G49+'20.8.2568'!G49+'21.08.2568'!G49+'22.08.2568'!G49+'23.08.2568'!G49+'24.082568'!G49+'25.08.2568'!G49+'26.08.256'!G49+'27.08.2568'!G49+'28.08.2568'!G49+'29.08.2568'!G49+'30.08.2568'!G49+'31.08.2568'!G49</f>
        <v>90</v>
      </c>
      <c r="H49" s="52">
        <f>+'19.08.2568'!H49+'20.8.2568'!H49+'21.08.2568'!H49+'22.08.2568'!H49+'23.08.2568'!H49+'24.082568'!H49+'25.08.2568'!H49+'26.08.256'!H49+'27.08.2568'!H49+'28.08.2568'!H49+'29.08.2568'!H49+'30.08.2568'!H49+'31.08.2568'!H49</f>
        <v>0</v>
      </c>
      <c r="I49" s="69">
        <f t="shared" si="6"/>
        <v>90</v>
      </c>
      <c r="J49" s="52">
        <f>+'19.08.2568'!J49+'20.8.2568'!J49+'21.08.2568'!J49+'22.08.2568'!J49+'23.08.2568'!J49+'24.082568'!J49+'25.08.2568'!J49+'26.08.256'!J49+'27.08.2568'!J49+'28.08.2568'!J49+'29.08.2568'!J49+'30.08.2568'!J49+'31.08.2568'!J49</f>
        <v>1</v>
      </c>
      <c r="K49" s="52">
        <f>+'19.08.2568'!K49+'20.8.2568'!K49+'21.08.2568'!K49+'22.08.2568'!K49+'23.08.2568'!K49+'24.082568'!K49+'25.08.2568'!K49+'26.08.256'!K49+'27.08.2568'!K49+'28.08.2568'!K49+'29.08.2568'!K49+'30.08.2568'!K49+'31.08.2568'!K49</f>
        <v>0</v>
      </c>
      <c r="L49" s="69">
        <f t="shared" si="0"/>
        <v>1</v>
      </c>
      <c r="M49" s="52">
        <f>+'19.08.2568'!M49+'20.8.2568'!M49+'21.08.2568'!M49+'22.08.2568'!M49+'23.08.2568'!M49+'24.082568'!M49+'25.08.2568'!M49+'26.08.256'!M49+'27.08.2568'!M49+'28.08.2568'!M49+'29.08.2568'!M49+'30.08.2568'!M49+'31.08.2568'!M49</f>
        <v>0</v>
      </c>
      <c r="N49" s="52">
        <f>+'19.08.2568'!N49+'20.8.2568'!N49+'21.08.2568'!N49+'22.08.2568'!N49+'23.08.2568'!N49+'24.082568'!N49+'25.08.2568'!N49+'26.08.256'!N49+'27.08.2568'!N49+'28.08.2568'!N49+'29.08.2568'!N49+'30.08.2568'!N49+'31.08.2568'!N49</f>
        <v>0</v>
      </c>
      <c r="O49" s="69">
        <f t="shared" si="1"/>
        <v>0</v>
      </c>
      <c r="P49" s="52">
        <f>+'19.08.2568'!P49+'20.8.2568'!P49+'21.08.2568'!P49+'22.08.2568'!P49+'23.08.2568'!P49+'24.082568'!P49+'25.08.2568'!P49+'26.08.256'!P49+'27.08.2568'!P49+'28.08.2568'!P49+'29.08.2568'!P49+'30.08.2568'!P49+'31.08.2568'!P49</f>
        <v>0</v>
      </c>
      <c r="Q49" s="52">
        <f>+'19.08.2568'!Q49+'20.8.2568'!Q49+'21.08.2568'!Q49+'22.08.2568'!Q49+'23.08.2568'!Q49+'24.082568'!Q49+'25.08.2568'!Q49+'26.08.256'!Q49+'27.08.2568'!Q49+'28.08.2568'!Q49+'29.08.2568'!Q49+'30.08.2568'!Q49+'31.08.2568'!Q49</f>
        <v>0</v>
      </c>
      <c r="R49" s="69">
        <f t="shared" si="2"/>
        <v>0</v>
      </c>
      <c r="S49" s="52"/>
      <c r="T49" s="52"/>
      <c r="U49" s="69">
        <f t="shared" si="3"/>
        <v>0</v>
      </c>
      <c r="V49" s="52"/>
      <c r="W49" s="52"/>
      <c r="X49" s="69">
        <f t="shared" si="4"/>
        <v>0</v>
      </c>
      <c r="Y49" s="52">
        <f>+'19.08.2568'!Y49+'20.8.2568'!Y49+'21.08.2568'!Y49+'22.08.2568'!Y49+'23.08.2568'!Y49+'24.082568'!Y49+'25.08.2568'!Y49+'26.08.256'!Y49+'27.08.2568'!Y49+'28.08.2568'!Y49+'29.08.2568'!Y49+'30.08.2568'!Y49+'31.08.2568'!Y49</f>
        <v>0</v>
      </c>
      <c r="Z49" s="75">
        <f t="shared" si="7"/>
        <v>91</v>
      </c>
    </row>
    <row r="50" spans="2:26">
      <c r="B50" s="50">
        <v>1111082</v>
      </c>
      <c r="C50" s="51" t="s">
        <v>52</v>
      </c>
      <c r="D50" s="52">
        <f>+'19.08.2568'!D50+'20.8.2568'!D50+'21.08.2568'!D50+'22.08.2568'!D50+'23.08.2568'!D50+'24.082568'!D50+'25.08.2568'!D50+'26.08.256'!D50+'27.08.2568'!D50+'28.08.2568'!D50+'29.08.2568'!D50+'30.08.2568'!D50+'31.08.2568'!D50</f>
        <v>0</v>
      </c>
      <c r="E50" s="52">
        <f>+'19.08.2568'!E50+'20.8.2568'!E50+'21.08.2568'!E50+'22.08.2568'!E50+'23.08.2568'!E50+'24.082568'!E50+'25.08.2568'!E50+'26.08.256'!E50+'27.08.2568'!E50+'28.08.2568'!E50+'29.08.2568'!E50+'30.08.2568'!E50+'31.08.2568'!E50</f>
        <v>0</v>
      </c>
      <c r="F50" s="69">
        <f t="shared" si="5"/>
        <v>0</v>
      </c>
      <c r="G50" s="52">
        <f>+'19.08.2568'!G50+'20.8.2568'!G50+'21.08.2568'!G50+'22.08.2568'!G50+'23.08.2568'!G50+'24.082568'!G50+'25.08.2568'!G50+'26.08.256'!G50+'27.08.2568'!G50+'28.08.2568'!G50+'29.08.2568'!G50+'30.08.2568'!G50+'31.08.2568'!G50</f>
        <v>90</v>
      </c>
      <c r="H50" s="52">
        <f>+'19.08.2568'!H50+'20.8.2568'!H50+'21.08.2568'!H50+'22.08.2568'!H50+'23.08.2568'!H50+'24.082568'!H50+'25.08.2568'!H50+'26.08.256'!H50+'27.08.2568'!H50+'28.08.2568'!H50+'29.08.2568'!H50+'30.08.2568'!H50+'31.08.2568'!H50</f>
        <v>0</v>
      </c>
      <c r="I50" s="69">
        <f t="shared" si="6"/>
        <v>90</v>
      </c>
      <c r="J50" s="52">
        <f>+'19.08.2568'!J50+'20.8.2568'!J50+'21.08.2568'!J50+'22.08.2568'!J50+'23.08.2568'!J50+'24.082568'!J50+'25.08.2568'!J50+'26.08.256'!J50+'27.08.2568'!J50+'28.08.2568'!J50+'29.08.2568'!J50+'30.08.2568'!J50+'31.08.2568'!J50</f>
        <v>1</v>
      </c>
      <c r="K50" s="52">
        <f>+'19.08.2568'!K50+'20.8.2568'!K50+'21.08.2568'!K50+'22.08.2568'!K50+'23.08.2568'!K50+'24.082568'!K50+'25.08.2568'!K50+'26.08.256'!K50+'27.08.2568'!K50+'28.08.2568'!K50+'29.08.2568'!K50+'30.08.2568'!K50+'31.08.2568'!K50</f>
        <v>0</v>
      </c>
      <c r="L50" s="69">
        <f t="shared" si="0"/>
        <v>1</v>
      </c>
      <c r="M50" s="52">
        <f>+'19.08.2568'!M50+'20.8.2568'!M50+'21.08.2568'!M50+'22.08.2568'!M50+'23.08.2568'!M50+'24.082568'!M50+'25.08.2568'!M50+'26.08.256'!M50+'27.08.2568'!M50+'28.08.2568'!M50+'29.08.2568'!M50+'30.08.2568'!M50+'31.08.2568'!M50</f>
        <v>0</v>
      </c>
      <c r="N50" s="52">
        <f>+'19.08.2568'!N50+'20.8.2568'!N50+'21.08.2568'!N50+'22.08.2568'!N50+'23.08.2568'!N50+'24.082568'!N50+'25.08.2568'!N50+'26.08.256'!N50+'27.08.2568'!N50+'28.08.2568'!N50+'29.08.2568'!N50+'30.08.2568'!N50+'31.08.2568'!N50</f>
        <v>0</v>
      </c>
      <c r="O50" s="69">
        <f t="shared" si="1"/>
        <v>0</v>
      </c>
      <c r="P50" s="52">
        <f>+'19.08.2568'!P50+'20.8.2568'!P50+'21.08.2568'!P50+'22.08.2568'!P50+'23.08.2568'!P50+'24.082568'!P50+'25.08.2568'!P50+'26.08.256'!P50+'27.08.2568'!P50+'28.08.2568'!P50+'29.08.2568'!P50+'30.08.2568'!P50+'31.08.2568'!P50</f>
        <v>0</v>
      </c>
      <c r="Q50" s="52">
        <f>+'19.08.2568'!Q50+'20.8.2568'!Q50+'21.08.2568'!Q50+'22.08.2568'!Q50+'23.08.2568'!Q50+'24.082568'!Q50+'25.08.2568'!Q50+'26.08.256'!Q50+'27.08.2568'!Q50+'28.08.2568'!Q50+'29.08.2568'!Q50+'30.08.2568'!Q50+'31.08.2568'!Q50</f>
        <v>0</v>
      </c>
      <c r="R50" s="69">
        <f t="shared" si="2"/>
        <v>0</v>
      </c>
      <c r="S50" s="52"/>
      <c r="T50" s="52"/>
      <c r="U50" s="69">
        <f t="shared" si="3"/>
        <v>0</v>
      </c>
      <c r="V50" s="52"/>
      <c r="W50" s="52"/>
      <c r="X50" s="69">
        <f t="shared" si="4"/>
        <v>0</v>
      </c>
      <c r="Y50" s="52">
        <f>+'19.08.2568'!Y50+'20.8.2568'!Y50+'21.08.2568'!Y50+'22.08.2568'!Y50+'23.08.2568'!Y50+'24.082568'!Y50+'25.08.2568'!Y50+'26.08.256'!Y50+'27.08.2568'!Y50+'28.08.2568'!Y50+'29.08.2568'!Y50+'30.08.2568'!Y50+'31.08.2568'!Y50</f>
        <v>0</v>
      </c>
      <c r="Z50" s="75">
        <f t="shared" si="7"/>
        <v>91</v>
      </c>
    </row>
    <row r="51" spans="2:26">
      <c r="B51" s="50">
        <v>1111083</v>
      </c>
      <c r="C51" s="51" t="s">
        <v>53</v>
      </c>
      <c r="D51" s="52">
        <f>+'19.08.2568'!D51+'20.8.2568'!D51+'21.08.2568'!D51+'22.08.2568'!D51+'23.08.2568'!D51+'24.082568'!D51+'25.08.2568'!D51+'26.08.256'!D51+'27.08.2568'!D51+'28.08.2568'!D51+'29.08.2568'!D51+'30.08.2568'!D51+'31.08.2568'!D51</f>
        <v>0</v>
      </c>
      <c r="E51" s="52">
        <f>+'19.08.2568'!E51+'20.8.2568'!E51+'21.08.2568'!E51+'22.08.2568'!E51+'23.08.2568'!E51+'24.082568'!E51+'25.08.2568'!E51+'26.08.256'!E51+'27.08.2568'!E51+'28.08.2568'!E51+'29.08.2568'!E51+'30.08.2568'!E51+'31.08.2568'!E51</f>
        <v>0</v>
      </c>
      <c r="F51" s="69">
        <f t="shared" si="5"/>
        <v>0</v>
      </c>
      <c r="G51" s="52">
        <f>+'19.08.2568'!G51+'20.8.2568'!G51+'21.08.2568'!G51+'22.08.2568'!G51+'23.08.2568'!G51+'24.082568'!G51+'25.08.2568'!G51+'26.08.256'!G51+'27.08.2568'!G51+'28.08.2568'!G51+'29.08.2568'!G51+'30.08.2568'!G51+'31.08.2568'!G51</f>
        <v>90</v>
      </c>
      <c r="H51" s="52">
        <f>+'19.08.2568'!H51+'20.8.2568'!H51+'21.08.2568'!H51+'22.08.2568'!H51+'23.08.2568'!H51+'24.082568'!H51+'25.08.2568'!H51+'26.08.256'!H51+'27.08.2568'!H51+'28.08.2568'!H51+'29.08.2568'!H51+'30.08.2568'!H51+'31.08.2568'!H51</f>
        <v>0</v>
      </c>
      <c r="I51" s="69">
        <f t="shared" si="6"/>
        <v>90</v>
      </c>
      <c r="J51" s="52">
        <f>+'19.08.2568'!J51+'20.8.2568'!J51+'21.08.2568'!J51+'22.08.2568'!J51+'23.08.2568'!J51+'24.082568'!J51+'25.08.2568'!J51+'26.08.256'!J51+'27.08.2568'!J51+'28.08.2568'!J51+'29.08.2568'!J51+'30.08.2568'!J51+'31.08.2568'!J51</f>
        <v>1</v>
      </c>
      <c r="K51" s="52">
        <f>+'19.08.2568'!K51+'20.8.2568'!K51+'21.08.2568'!K51+'22.08.2568'!K51+'23.08.2568'!K51+'24.082568'!K51+'25.08.2568'!K51+'26.08.256'!K51+'27.08.2568'!K51+'28.08.2568'!K51+'29.08.2568'!K51+'30.08.2568'!K51+'31.08.2568'!K51</f>
        <v>0</v>
      </c>
      <c r="L51" s="69">
        <f t="shared" si="0"/>
        <v>1</v>
      </c>
      <c r="M51" s="52">
        <f>+'19.08.2568'!M51+'20.8.2568'!M51+'21.08.2568'!M51+'22.08.2568'!M51+'23.08.2568'!M51+'24.082568'!M51+'25.08.2568'!M51+'26.08.256'!M51+'27.08.2568'!M51+'28.08.2568'!M51+'29.08.2568'!M51+'30.08.2568'!M51+'31.08.2568'!M51</f>
        <v>0</v>
      </c>
      <c r="N51" s="52">
        <f>+'19.08.2568'!N51+'20.8.2568'!N51+'21.08.2568'!N51+'22.08.2568'!N51+'23.08.2568'!N51+'24.082568'!N51+'25.08.2568'!N51+'26.08.256'!N51+'27.08.2568'!N51+'28.08.2568'!N51+'29.08.2568'!N51+'30.08.2568'!N51+'31.08.2568'!N51</f>
        <v>0</v>
      </c>
      <c r="O51" s="69">
        <f t="shared" si="1"/>
        <v>0</v>
      </c>
      <c r="P51" s="52">
        <f>+'19.08.2568'!P51+'20.8.2568'!P51+'21.08.2568'!P51+'22.08.2568'!P51+'23.08.2568'!P51+'24.082568'!P51+'25.08.2568'!P51+'26.08.256'!P51+'27.08.2568'!P51+'28.08.2568'!P51+'29.08.2568'!P51+'30.08.2568'!P51+'31.08.2568'!P51</f>
        <v>0</v>
      </c>
      <c r="Q51" s="52">
        <f>+'19.08.2568'!Q51+'20.8.2568'!Q51+'21.08.2568'!Q51+'22.08.2568'!Q51+'23.08.2568'!Q51+'24.082568'!Q51+'25.08.2568'!Q51+'26.08.256'!Q51+'27.08.2568'!Q51+'28.08.2568'!Q51+'29.08.2568'!Q51+'30.08.2568'!Q51+'31.08.2568'!Q51</f>
        <v>0</v>
      </c>
      <c r="R51" s="69">
        <f t="shared" si="2"/>
        <v>0</v>
      </c>
      <c r="S51" s="52"/>
      <c r="T51" s="52"/>
      <c r="U51" s="69">
        <f t="shared" si="3"/>
        <v>0</v>
      </c>
      <c r="V51" s="52"/>
      <c r="W51" s="52"/>
      <c r="X51" s="69">
        <f t="shared" si="4"/>
        <v>0</v>
      </c>
      <c r="Y51" s="52">
        <f>+'19.08.2568'!Y51+'20.8.2568'!Y51+'21.08.2568'!Y51+'22.08.2568'!Y51+'23.08.2568'!Y51+'24.082568'!Y51+'25.08.2568'!Y51+'26.08.256'!Y51+'27.08.2568'!Y51+'28.08.2568'!Y51+'29.08.2568'!Y51+'30.08.2568'!Y51+'31.08.2568'!Y51</f>
        <v>0</v>
      </c>
      <c r="Z51" s="75">
        <f t="shared" si="7"/>
        <v>91</v>
      </c>
    </row>
    <row r="52" spans="2:26">
      <c r="B52" s="50">
        <v>1112002</v>
      </c>
      <c r="C52" s="51" t="s">
        <v>173</v>
      </c>
      <c r="D52" s="52">
        <f>+'19.08.2568'!D52+'20.8.2568'!D52+'21.08.2568'!D52+'22.08.2568'!D52+'23.08.2568'!D52+'24.082568'!D52+'25.08.2568'!D52+'26.08.256'!D52+'27.08.2568'!D52+'28.08.2568'!D52+'29.08.2568'!D52+'30.08.2568'!D52+'31.08.2568'!D52</f>
        <v>0</v>
      </c>
      <c r="E52" s="52">
        <f>+'19.08.2568'!E52+'20.8.2568'!E52+'21.08.2568'!E52+'22.08.2568'!E52+'23.08.2568'!E52+'24.082568'!E52+'25.08.2568'!E52+'26.08.256'!E52+'27.08.2568'!E52+'28.08.2568'!E52+'29.08.2568'!E52+'30.08.2568'!E52+'31.08.2568'!E52</f>
        <v>0</v>
      </c>
      <c r="F52" s="69">
        <f t="shared" si="5"/>
        <v>0</v>
      </c>
      <c r="G52" s="52">
        <f>+'19.08.2568'!G52+'20.8.2568'!G52+'21.08.2568'!G52+'22.08.2568'!G52+'23.08.2568'!G52+'24.082568'!G52+'25.08.2568'!G52+'26.08.256'!G52+'27.08.2568'!G52+'28.08.2568'!G52+'29.08.2568'!G52+'30.08.2568'!G52+'31.08.2568'!G52</f>
        <v>0</v>
      </c>
      <c r="H52" s="52">
        <f>+'19.08.2568'!H52+'20.8.2568'!H52+'21.08.2568'!H52+'22.08.2568'!H52+'23.08.2568'!H52+'24.082568'!H52+'25.08.2568'!H52+'26.08.256'!H52+'27.08.2568'!H52+'28.08.2568'!H52+'29.08.2568'!H52+'30.08.2568'!H52+'31.08.2568'!H52</f>
        <v>0</v>
      </c>
      <c r="I52" s="69">
        <f t="shared" si="6"/>
        <v>0</v>
      </c>
      <c r="J52" s="52">
        <f>+'19.08.2568'!J52+'20.8.2568'!J52+'21.08.2568'!J52+'22.08.2568'!J52+'23.08.2568'!J52+'24.082568'!J52+'25.08.2568'!J52+'26.08.256'!J52+'27.08.2568'!J52+'28.08.2568'!J52+'29.08.2568'!J52+'30.08.2568'!J52+'31.08.2568'!J52</f>
        <v>0</v>
      </c>
      <c r="K52" s="52">
        <f>+'19.08.2568'!K52+'20.8.2568'!K52+'21.08.2568'!K52+'22.08.2568'!K52+'23.08.2568'!K52+'24.082568'!K52+'25.08.2568'!K52+'26.08.256'!K52+'27.08.2568'!K52+'28.08.2568'!K52+'29.08.2568'!K52+'30.08.2568'!K52+'31.08.2568'!K52</f>
        <v>0</v>
      </c>
      <c r="L52" s="69">
        <f t="shared" si="0"/>
        <v>0</v>
      </c>
      <c r="M52" s="52">
        <f>+'19.08.2568'!M52+'20.8.2568'!M52+'21.08.2568'!M52+'22.08.2568'!M52+'23.08.2568'!M52+'24.082568'!M52+'25.08.2568'!M52+'26.08.256'!M52+'27.08.2568'!M52+'28.08.2568'!M52+'29.08.2568'!M52+'30.08.2568'!M52+'31.08.2568'!M52</f>
        <v>0</v>
      </c>
      <c r="N52" s="52">
        <f>+'19.08.2568'!N52+'20.8.2568'!N52+'21.08.2568'!N52+'22.08.2568'!N52+'23.08.2568'!N52+'24.082568'!N52+'25.08.2568'!N52+'26.08.256'!N52+'27.08.2568'!N52+'28.08.2568'!N52+'29.08.2568'!N52+'30.08.2568'!N52+'31.08.2568'!N52</f>
        <v>0</v>
      </c>
      <c r="O52" s="69">
        <f t="shared" si="1"/>
        <v>0</v>
      </c>
      <c r="P52" s="52">
        <f>+'19.08.2568'!P52+'20.8.2568'!P52+'21.08.2568'!P52+'22.08.2568'!P52+'23.08.2568'!P52+'24.082568'!P52+'25.08.2568'!P52+'26.08.256'!P52+'27.08.2568'!P52+'28.08.2568'!P52+'29.08.2568'!P52+'30.08.2568'!P52+'31.08.2568'!P52</f>
        <v>0</v>
      </c>
      <c r="Q52" s="52">
        <f>+'19.08.2568'!Q52+'20.8.2568'!Q52+'21.08.2568'!Q52+'22.08.2568'!Q52+'23.08.2568'!Q52+'24.082568'!Q52+'25.08.2568'!Q52+'26.08.256'!Q52+'27.08.2568'!Q52+'28.08.2568'!Q52+'29.08.2568'!Q52+'30.08.2568'!Q52+'31.08.2568'!Q52</f>
        <v>0</v>
      </c>
      <c r="R52" s="69">
        <f t="shared" si="2"/>
        <v>0</v>
      </c>
      <c r="S52" s="52"/>
      <c r="T52" s="52"/>
      <c r="U52" s="69">
        <f t="shared" si="3"/>
        <v>0</v>
      </c>
      <c r="V52" s="52"/>
      <c r="W52" s="52"/>
      <c r="X52" s="69">
        <f t="shared" si="4"/>
        <v>0</v>
      </c>
      <c r="Y52" s="52">
        <f>+'19.08.2568'!Y52+'20.8.2568'!Y52+'21.08.2568'!Y52+'22.08.2568'!Y52+'23.08.2568'!Y52+'24.082568'!Y52+'25.08.2568'!Y52+'26.08.256'!Y52+'27.08.2568'!Y52+'28.08.2568'!Y52+'29.08.2568'!Y52+'30.08.2568'!Y52+'31.08.2568'!Y52</f>
        <v>10</v>
      </c>
      <c r="Z52" s="75">
        <f t="shared" si="7"/>
        <v>10</v>
      </c>
    </row>
    <row r="53" spans="2:26">
      <c r="B53" s="50">
        <v>1112003</v>
      </c>
      <c r="C53" s="51" t="s">
        <v>174</v>
      </c>
      <c r="D53" s="52">
        <f>+'19.08.2568'!D53+'20.8.2568'!D53+'21.08.2568'!D53+'22.08.2568'!D53+'23.08.2568'!D53+'24.082568'!D53+'25.08.2568'!D53+'26.08.256'!D53+'27.08.2568'!D53+'28.08.2568'!D53+'29.08.2568'!D53+'30.08.2568'!D53+'31.08.2568'!D53</f>
        <v>6</v>
      </c>
      <c r="E53" s="52">
        <f>+'19.08.2568'!E53+'20.8.2568'!E53+'21.08.2568'!E53+'22.08.2568'!E53+'23.08.2568'!E53+'24.082568'!E53+'25.08.2568'!E53+'26.08.256'!E53+'27.08.2568'!E53+'28.08.2568'!E53+'29.08.2568'!E53+'30.08.2568'!E53+'31.08.2568'!E53</f>
        <v>0</v>
      </c>
      <c r="F53" s="69">
        <f t="shared" si="5"/>
        <v>6</v>
      </c>
      <c r="G53" s="52">
        <f>+'19.08.2568'!G53+'20.8.2568'!G53+'21.08.2568'!G53+'22.08.2568'!G53+'23.08.2568'!G53+'24.082568'!G53+'25.08.2568'!G53+'26.08.256'!G53+'27.08.2568'!G53+'28.08.2568'!G53+'29.08.2568'!G53+'30.08.2568'!G53+'31.08.2568'!G53</f>
        <v>9</v>
      </c>
      <c r="H53" s="52">
        <f>+'19.08.2568'!H53+'20.8.2568'!H53+'21.08.2568'!H53+'22.08.2568'!H53+'23.08.2568'!H53+'24.082568'!H53+'25.08.2568'!H53+'26.08.256'!H53+'27.08.2568'!H53+'28.08.2568'!H53+'29.08.2568'!H53+'30.08.2568'!H53+'31.08.2568'!H53</f>
        <v>0</v>
      </c>
      <c r="I53" s="69">
        <f t="shared" si="6"/>
        <v>9</v>
      </c>
      <c r="J53" s="52">
        <f>+'19.08.2568'!J53+'20.8.2568'!J53+'21.08.2568'!J53+'22.08.2568'!J53+'23.08.2568'!J53+'24.082568'!J53+'25.08.2568'!J53+'26.08.256'!J53+'27.08.2568'!J53+'28.08.2568'!J53+'29.08.2568'!J53+'30.08.2568'!J53+'31.08.2568'!J53</f>
        <v>8</v>
      </c>
      <c r="K53" s="52">
        <f>+'19.08.2568'!K53+'20.8.2568'!K53+'21.08.2568'!K53+'22.08.2568'!K53+'23.08.2568'!K53+'24.082568'!K53+'25.08.2568'!K53+'26.08.256'!K53+'27.08.2568'!K53+'28.08.2568'!K53+'29.08.2568'!K53+'30.08.2568'!K53+'31.08.2568'!K53</f>
        <v>0</v>
      </c>
      <c r="L53" s="69">
        <f t="shared" si="0"/>
        <v>8</v>
      </c>
      <c r="M53" s="52">
        <f>+'19.08.2568'!M53+'20.8.2568'!M53+'21.08.2568'!M53+'22.08.2568'!M53+'23.08.2568'!M53+'24.082568'!M53+'25.08.2568'!M53+'26.08.256'!M53+'27.08.2568'!M53+'28.08.2568'!M53+'29.08.2568'!M53+'30.08.2568'!M53+'31.08.2568'!M53</f>
        <v>789</v>
      </c>
      <c r="N53" s="52">
        <f>+'19.08.2568'!N53+'20.8.2568'!N53+'21.08.2568'!N53+'22.08.2568'!N53+'23.08.2568'!N53+'24.082568'!N53+'25.08.2568'!N53+'26.08.256'!N53+'27.08.2568'!N53+'28.08.2568'!N53+'29.08.2568'!N53+'30.08.2568'!N53+'31.08.2568'!N53</f>
        <v>0</v>
      </c>
      <c r="O53" s="69">
        <f t="shared" si="1"/>
        <v>789</v>
      </c>
      <c r="P53" s="52">
        <f>+'19.08.2568'!P53+'20.8.2568'!P53+'21.08.2568'!P53+'22.08.2568'!P53+'23.08.2568'!P53+'24.082568'!P53+'25.08.2568'!P53+'26.08.256'!P53+'27.08.2568'!P53+'28.08.2568'!P53+'29.08.2568'!P53+'30.08.2568'!P53+'31.08.2568'!P53</f>
        <v>15</v>
      </c>
      <c r="Q53" s="52">
        <f>+'19.08.2568'!Q53+'20.8.2568'!Q53+'21.08.2568'!Q53+'22.08.2568'!Q53+'23.08.2568'!Q53+'24.082568'!Q53+'25.08.2568'!Q53+'26.08.256'!Q53+'27.08.2568'!Q53+'28.08.2568'!Q53+'29.08.2568'!Q53+'30.08.2568'!Q53+'31.08.2568'!Q53</f>
        <v>0</v>
      </c>
      <c r="R53" s="69">
        <f t="shared" si="2"/>
        <v>15</v>
      </c>
      <c r="S53" s="52"/>
      <c r="T53" s="52"/>
      <c r="U53" s="69">
        <f t="shared" si="3"/>
        <v>0</v>
      </c>
      <c r="V53" s="52"/>
      <c r="W53" s="52"/>
      <c r="X53" s="69">
        <f t="shared" si="4"/>
        <v>0</v>
      </c>
      <c r="Y53" s="52">
        <f>+'19.08.2568'!Y53+'20.8.2568'!Y53+'21.08.2568'!Y53+'22.08.2568'!Y53+'23.08.2568'!Y53+'24.082568'!Y53+'25.08.2568'!Y53+'26.08.256'!Y53+'27.08.2568'!Y53+'28.08.2568'!Y53+'29.08.2568'!Y53+'30.08.2568'!Y53+'31.08.2568'!Y53</f>
        <v>2</v>
      </c>
      <c r="Z53" s="75">
        <f t="shared" si="7"/>
        <v>829</v>
      </c>
    </row>
    <row r="54" spans="2:26">
      <c r="B54" s="50">
        <v>1112004</v>
      </c>
      <c r="C54" s="51" t="s">
        <v>175</v>
      </c>
      <c r="D54" s="52">
        <f>+'19.08.2568'!D54+'20.8.2568'!D54+'21.08.2568'!D54+'22.08.2568'!D54+'23.08.2568'!D54+'24.082568'!D54+'25.08.2568'!D54+'26.08.256'!D54+'27.08.2568'!D54+'28.08.2568'!D54+'29.08.2568'!D54+'30.08.2568'!D54+'31.08.2568'!D54</f>
        <v>0</v>
      </c>
      <c r="E54" s="52">
        <f>+'19.08.2568'!E54+'20.8.2568'!E54+'21.08.2568'!E54+'22.08.2568'!E54+'23.08.2568'!E54+'24.082568'!E54+'25.08.2568'!E54+'26.08.256'!E54+'27.08.2568'!E54+'28.08.2568'!E54+'29.08.2568'!E54+'30.08.2568'!E54+'31.08.2568'!E54</f>
        <v>0</v>
      </c>
      <c r="F54" s="69">
        <f t="shared" si="5"/>
        <v>0</v>
      </c>
      <c r="G54" s="52">
        <f>+'19.08.2568'!G54+'20.8.2568'!G54+'21.08.2568'!G54+'22.08.2568'!G54+'23.08.2568'!G54+'24.082568'!G54+'25.08.2568'!G54+'26.08.256'!G54+'27.08.2568'!G54+'28.08.2568'!G54+'29.08.2568'!G54+'30.08.2568'!G54+'31.08.2568'!G54</f>
        <v>0</v>
      </c>
      <c r="H54" s="52">
        <f>+'19.08.2568'!H54+'20.8.2568'!H54+'21.08.2568'!H54+'22.08.2568'!H54+'23.08.2568'!H54+'24.082568'!H54+'25.08.2568'!H54+'26.08.256'!H54+'27.08.2568'!H54+'28.08.2568'!H54+'29.08.2568'!H54+'30.08.2568'!H54+'31.08.2568'!H54</f>
        <v>0</v>
      </c>
      <c r="I54" s="69">
        <f t="shared" si="6"/>
        <v>0</v>
      </c>
      <c r="J54" s="52">
        <f>+'19.08.2568'!J54+'20.8.2568'!J54+'21.08.2568'!J54+'22.08.2568'!J54+'23.08.2568'!J54+'24.082568'!J54+'25.08.2568'!J54+'26.08.256'!J54+'27.08.2568'!J54+'28.08.2568'!J54+'29.08.2568'!J54+'30.08.2568'!J54+'31.08.2568'!J54</f>
        <v>0</v>
      </c>
      <c r="K54" s="52">
        <f>+'19.08.2568'!K54+'20.8.2568'!K54+'21.08.2568'!K54+'22.08.2568'!K54+'23.08.2568'!K54+'24.082568'!K54+'25.08.2568'!K54+'26.08.256'!K54+'27.08.2568'!K54+'28.08.2568'!K54+'29.08.2568'!K54+'30.08.2568'!K54+'31.08.2568'!K54</f>
        <v>0</v>
      </c>
      <c r="L54" s="69">
        <f t="shared" si="0"/>
        <v>0</v>
      </c>
      <c r="M54" s="52">
        <f>+'19.08.2568'!M54+'20.8.2568'!M54+'21.08.2568'!M54+'22.08.2568'!M54+'23.08.2568'!M54+'24.082568'!M54+'25.08.2568'!M54+'26.08.256'!M54+'27.08.2568'!M54+'28.08.2568'!M54+'29.08.2568'!M54+'30.08.2568'!M54+'31.08.2568'!M54</f>
        <v>0</v>
      </c>
      <c r="N54" s="52">
        <f>+'19.08.2568'!N54+'20.8.2568'!N54+'21.08.2568'!N54+'22.08.2568'!N54+'23.08.2568'!N54+'24.082568'!N54+'25.08.2568'!N54+'26.08.256'!N54+'27.08.2568'!N54+'28.08.2568'!N54+'29.08.2568'!N54+'30.08.2568'!N54+'31.08.2568'!N54</f>
        <v>0</v>
      </c>
      <c r="O54" s="69">
        <f t="shared" si="1"/>
        <v>0</v>
      </c>
      <c r="P54" s="52" t="e">
        <f>+'19.08.2568'!P54+'20.8.2568'!P54+'21.08.2568'!P54+'22.08.2568'!P54+'23.08.2568'!P54+'24.082568'!P54+'25.08.2568'!P54+'26.08.256'!P54+'27.08.2568'!P54+'28.08.2568'!P54+'29.08.2568'!P54+'30.08.2568'!P54+'31.08.2568'!P54</f>
        <v>#VALUE!</v>
      </c>
      <c r="Q54" s="52">
        <f>+'19.08.2568'!Q54+'20.8.2568'!Q54+'21.08.2568'!Q54+'22.08.2568'!Q54+'23.08.2568'!Q54+'24.082568'!Q54+'25.08.2568'!Q54+'26.08.256'!Q54+'27.08.2568'!Q54+'28.08.2568'!Q54+'29.08.2568'!Q54+'30.08.2568'!Q54+'31.08.2568'!Q54</f>
        <v>0</v>
      </c>
      <c r="R54" s="69" t="e">
        <f t="shared" si="2"/>
        <v>#VALUE!</v>
      </c>
      <c r="S54" s="52"/>
      <c r="T54" s="52"/>
      <c r="U54" s="69">
        <f t="shared" si="3"/>
        <v>0</v>
      </c>
      <c r="V54" s="52"/>
      <c r="W54" s="52"/>
      <c r="X54" s="69">
        <f t="shared" si="4"/>
        <v>0</v>
      </c>
      <c r="Y54" s="52">
        <f>+'19.08.2568'!Y54+'20.8.2568'!Y54+'21.08.2568'!Y54+'22.08.2568'!Y54+'23.08.2568'!Y54+'24.082568'!Y54+'25.08.2568'!Y54+'26.08.256'!Y54+'27.08.2568'!Y54+'28.08.2568'!Y54+'29.08.2568'!Y54+'30.08.2568'!Y54+'31.08.2568'!Y54</f>
        <v>120</v>
      </c>
      <c r="Z54" s="75" t="e">
        <f t="shared" si="7"/>
        <v>#VALUE!</v>
      </c>
    </row>
    <row r="55" spans="2:26">
      <c r="B55" s="50">
        <v>1112005</v>
      </c>
      <c r="C55" s="51" t="s">
        <v>176</v>
      </c>
      <c r="D55" s="52">
        <f>+'19.08.2568'!D55+'20.8.2568'!D55+'21.08.2568'!D55+'22.08.2568'!D55+'23.08.2568'!D55+'24.082568'!D55+'25.08.2568'!D55+'26.08.256'!D55+'27.08.2568'!D55+'28.08.2568'!D55+'29.08.2568'!D55+'30.08.2568'!D55+'31.08.2568'!D55</f>
        <v>4</v>
      </c>
      <c r="E55" s="52">
        <f>+'19.08.2568'!E55+'20.8.2568'!E55+'21.08.2568'!E55+'22.08.2568'!E55+'23.08.2568'!E55+'24.082568'!E55+'25.08.2568'!E55+'26.08.256'!E55+'27.08.2568'!E55+'28.08.2568'!E55+'29.08.2568'!E55+'30.08.2568'!E55+'31.08.2568'!E55</f>
        <v>0</v>
      </c>
      <c r="F55" s="69">
        <f t="shared" si="5"/>
        <v>4</v>
      </c>
      <c r="G55" s="52">
        <f>+'19.08.2568'!G55+'20.8.2568'!G55+'21.08.2568'!G55+'22.08.2568'!G55+'23.08.2568'!G55+'24.082568'!G55+'25.08.2568'!G55+'26.08.256'!G55+'27.08.2568'!G55+'28.08.2568'!G55+'29.08.2568'!G55+'30.08.2568'!G55+'31.08.2568'!G55</f>
        <v>7</v>
      </c>
      <c r="H55" s="52">
        <f>+'19.08.2568'!H55+'20.8.2568'!H55+'21.08.2568'!H55+'22.08.2568'!H55+'23.08.2568'!H55+'24.082568'!H55+'25.08.2568'!H55+'26.08.256'!H55+'27.08.2568'!H55+'28.08.2568'!H55+'29.08.2568'!H55+'30.08.2568'!H55+'31.08.2568'!H55</f>
        <v>0</v>
      </c>
      <c r="I55" s="69">
        <f t="shared" si="6"/>
        <v>7</v>
      </c>
      <c r="J55" s="52">
        <f>+'19.08.2568'!J55+'20.8.2568'!J55+'21.08.2568'!J55+'22.08.2568'!J55+'23.08.2568'!J55+'24.082568'!J55+'25.08.2568'!J55+'26.08.256'!J55+'27.08.2568'!J55+'28.08.2568'!J55+'29.08.2568'!J55+'30.08.2568'!J55+'31.08.2568'!J55</f>
        <v>8</v>
      </c>
      <c r="K55" s="52">
        <f>+'19.08.2568'!K55+'20.8.2568'!K55+'21.08.2568'!K55+'22.08.2568'!K55+'23.08.2568'!K55+'24.082568'!K55+'25.08.2568'!K55+'26.08.256'!K55+'27.08.2568'!K55+'28.08.2568'!K55+'29.08.2568'!K55+'30.08.2568'!K55+'31.08.2568'!K55</f>
        <v>0</v>
      </c>
      <c r="L55" s="69">
        <f t="shared" si="0"/>
        <v>8</v>
      </c>
      <c r="M55" s="52">
        <f>+'19.08.2568'!M55+'20.8.2568'!M55+'21.08.2568'!M55+'22.08.2568'!M55+'23.08.2568'!M55+'24.082568'!M55+'25.08.2568'!M55+'26.08.256'!M55+'27.08.2568'!M55+'28.08.2568'!M55+'29.08.2568'!M55+'30.08.2568'!M55+'31.08.2568'!M55</f>
        <v>778</v>
      </c>
      <c r="N55" s="52">
        <f>+'19.08.2568'!N55+'20.8.2568'!N55+'21.08.2568'!N55+'22.08.2568'!N55+'23.08.2568'!N55+'24.082568'!N55+'25.08.2568'!N55+'26.08.256'!N55+'27.08.2568'!N55+'28.08.2568'!N55+'29.08.2568'!N55+'30.08.2568'!N55+'31.08.2568'!N55</f>
        <v>0</v>
      </c>
      <c r="O55" s="69">
        <f t="shared" si="1"/>
        <v>778</v>
      </c>
      <c r="P55" s="52">
        <f>+'19.08.2568'!P55+'20.8.2568'!P55+'21.08.2568'!P55+'22.08.2568'!P55+'23.08.2568'!P55+'24.082568'!P55+'25.08.2568'!P55+'26.08.256'!P55+'27.08.2568'!P55+'28.08.2568'!P55+'29.08.2568'!P55+'30.08.2568'!P55+'31.08.2568'!P55</f>
        <v>15</v>
      </c>
      <c r="Q55" s="52">
        <f>+'19.08.2568'!Q55+'20.8.2568'!Q55+'21.08.2568'!Q55+'22.08.2568'!Q55+'23.08.2568'!Q55+'24.082568'!Q55+'25.08.2568'!Q55+'26.08.256'!Q55+'27.08.2568'!Q55+'28.08.2568'!Q55+'29.08.2568'!Q55+'30.08.2568'!Q55+'31.08.2568'!Q55</f>
        <v>0</v>
      </c>
      <c r="R55" s="69">
        <f t="shared" si="2"/>
        <v>15</v>
      </c>
      <c r="S55" s="52"/>
      <c r="T55" s="52"/>
      <c r="U55" s="69">
        <f t="shared" si="3"/>
        <v>0</v>
      </c>
      <c r="V55" s="52"/>
      <c r="W55" s="52"/>
      <c r="X55" s="69">
        <f t="shared" si="4"/>
        <v>0</v>
      </c>
      <c r="Y55" s="52">
        <f>+'19.08.2568'!Y55+'20.8.2568'!Y55+'21.08.2568'!Y55+'22.08.2568'!Y55+'23.08.2568'!Y55+'24.082568'!Y55+'25.08.2568'!Y55+'26.08.256'!Y55+'27.08.2568'!Y55+'28.08.2568'!Y55+'29.08.2568'!Y55+'30.08.2568'!Y55+'31.08.2568'!Y55</f>
        <v>5</v>
      </c>
      <c r="Z55" s="75">
        <f t="shared" si="7"/>
        <v>817</v>
      </c>
    </row>
    <row r="56" spans="2:26">
      <c r="B56" s="50">
        <v>1112008</v>
      </c>
      <c r="C56" s="51" t="s">
        <v>177</v>
      </c>
      <c r="D56" s="52">
        <f>+'19.08.2568'!D56+'20.8.2568'!D56+'21.08.2568'!D56+'22.08.2568'!D56+'23.08.2568'!D56+'24.082568'!D56+'25.08.2568'!D56+'26.08.256'!D56+'27.08.2568'!D56+'28.08.2568'!D56+'29.08.2568'!D56+'30.08.2568'!D56+'31.08.2568'!D56</f>
        <v>0</v>
      </c>
      <c r="E56" s="52">
        <f>+'19.08.2568'!E56+'20.8.2568'!E56+'21.08.2568'!E56+'22.08.2568'!E56+'23.08.2568'!E56+'24.082568'!E56+'25.08.2568'!E56+'26.08.256'!E56+'27.08.2568'!E56+'28.08.2568'!E56+'29.08.2568'!E56+'30.08.2568'!E56+'31.08.2568'!E56</f>
        <v>0</v>
      </c>
      <c r="F56" s="69">
        <f t="shared" si="5"/>
        <v>0</v>
      </c>
      <c r="G56" s="52">
        <f>+'19.08.2568'!G56+'20.8.2568'!G56+'21.08.2568'!G56+'22.08.2568'!G56+'23.08.2568'!G56+'24.082568'!G56+'25.08.2568'!G56+'26.08.256'!G56+'27.08.2568'!G56+'28.08.2568'!G56+'29.08.2568'!G56+'30.08.2568'!G56+'31.08.2568'!G56</f>
        <v>0</v>
      </c>
      <c r="H56" s="52">
        <f>+'19.08.2568'!H56+'20.8.2568'!H56+'21.08.2568'!H56+'22.08.2568'!H56+'23.08.2568'!H56+'24.082568'!H56+'25.08.2568'!H56+'26.08.256'!H56+'27.08.2568'!H56+'28.08.2568'!H56+'29.08.2568'!H56+'30.08.2568'!H56+'31.08.2568'!H56</f>
        <v>0</v>
      </c>
      <c r="I56" s="69">
        <f t="shared" si="6"/>
        <v>0</v>
      </c>
      <c r="J56" s="52">
        <f>+'19.08.2568'!J56+'20.8.2568'!J56+'21.08.2568'!J56+'22.08.2568'!J56+'23.08.2568'!J56+'24.082568'!J56+'25.08.2568'!J56+'26.08.256'!J56+'27.08.2568'!J56+'28.08.2568'!J56+'29.08.2568'!J56+'30.08.2568'!J56+'31.08.2568'!J56</f>
        <v>0</v>
      </c>
      <c r="K56" s="52">
        <f>+'19.08.2568'!K56+'20.8.2568'!K56+'21.08.2568'!K56+'22.08.2568'!K56+'23.08.2568'!K56+'24.082568'!K56+'25.08.2568'!K56+'26.08.256'!K56+'27.08.2568'!K56+'28.08.2568'!K56+'29.08.2568'!K56+'30.08.2568'!K56+'31.08.2568'!K56</f>
        <v>0</v>
      </c>
      <c r="L56" s="69">
        <f t="shared" si="0"/>
        <v>0</v>
      </c>
      <c r="M56" s="52">
        <f>+'19.08.2568'!M56+'20.8.2568'!M56+'21.08.2568'!M56+'22.08.2568'!M56+'23.08.2568'!M56+'24.082568'!M56+'25.08.2568'!M56+'26.08.256'!M56+'27.08.2568'!M56+'28.08.2568'!M56+'29.08.2568'!M56+'30.08.2568'!M56+'31.08.2568'!M56</f>
        <v>0</v>
      </c>
      <c r="N56" s="52">
        <f>+'19.08.2568'!N56+'20.8.2568'!N56+'21.08.2568'!N56+'22.08.2568'!N56+'23.08.2568'!N56+'24.082568'!N56+'25.08.2568'!N56+'26.08.256'!N56+'27.08.2568'!N56+'28.08.2568'!N56+'29.08.2568'!N56+'30.08.2568'!N56+'31.08.2568'!N56</f>
        <v>0</v>
      </c>
      <c r="O56" s="69">
        <f t="shared" si="1"/>
        <v>0</v>
      </c>
      <c r="P56" s="52">
        <f>+'19.08.2568'!P56+'20.8.2568'!P56+'21.08.2568'!P56+'22.08.2568'!P56+'23.08.2568'!P56+'24.082568'!P56+'25.08.2568'!P56+'26.08.256'!P56+'27.08.2568'!P56+'28.08.2568'!P56+'29.08.2568'!P56+'30.08.2568'!P56+'31.08.2568'!P56</f>
        <v>0</v>
      </c>
      <c r="Q56" s="52">
        <f>+'19.08.2568'!Q56+'20.8.2568'!Q56+'21.08.2568'!Q56+'22.08.2568'!Q56+'23.08.2568'!Q56+'24.082568'!Q56+'25.08.2568'!Q56+'26.08.256'!Q56+'27.08.2568'!Q56+'28.08.2568'!Q56+'29.08.2568'!Q56+'30.08.2568'!Q56+'31.08.2568'!Q56</f>
        <v>0</v>
      </c>
      <c r="R56" s="69">
        <f t="shared" si="2"/>
        <v>0</v>
      </c>
      <c r="S56" s="52"/>
      <c r="T56" s="52"/>
      <c r="U56" s="69">
        <f t="shared" si="3"/>
        <v>0</v>
      </c>
      <c r="V56" s="52"/>
      <c r="W56" s="52"/>
      <c r="X56" s="69">
        <f t="shared" si="4"/>
        <v>0</v>
      </c>
      <c r="Y56" s="52">
        <f>+'19.08.2568'!Y56+'20.8.2568'!Y56+'21.08.2568'!Y56+'22.08.2568'!Y56+'23.08.2568'!Y56+'24.082568'!Y56+'25.08.2568'!Y56+'26.08.256'!Y56+'27.08.2568'!Y56+'28.08.2568'!Y56+'29.08.2568'!Y56+'30.08.2568'!Y56+'31.08.2568'!Y56</f>
        <v>20</v>
      </c>
      <c r="Z56" s="75">
        <f t="shared" si="7"/>
        <v>20</v>
      </c>
    </row>
    <row r="57" spans="2:26">
      <c r="B57" s="50">
        <v>1112009</v>
      </c>
      <c r="C57" s="51" t="s">
        <v>178</v>
      </c>
      <c r="D57" s="52">
        <f>+'19.08.2568'!D57+'20.8.2568'!D57+'21.08.2568'!D57+'22.08.2568'!D57+'23.08.2568'!D57+'24.082568'!D57+'25.08.2568'!D57+'26.08.256'!D57+'27.08.2568'!D57+'28.08.2568'!D57+'29.08.2568'!D57+'30.08.2568'!D57+'31.08.2568'!D57</f>
        <v>9</v>
      </c>
      <c r="E57" s="52">
        <f>+'19.08.2568'!E57+'20.8.2568'!E57+'21.08.2568'!E57+'22.08.2568'!E57+'23.08.2568'!E57+'24.082568'!E57+'25.08.2568'!E57+'26.08.256'!E57+'27.08.2568'!E57+'28.08.2568'!E57+'29.08.2568'!E57+'30.08.2568'!E57+'31.08.2568'!E57</f>
        <v>0</v>
      </c>
      <c r="F57" s="69">
        <f t="shared" si="5"/>
        <v>9</v>
      </c>
      <c r="G57" s="52">
        <f>+'19.08.2568'!G57+'20.8.2568'!G57+'21.08.2568'!G57+'22.08.2568'!G57+'23.08.2568'!G57+'24.082568'!G57+'25.08.2568'!G57+'26.08.256'!G57+'27.08.2568'!G57+'28.08.2568'!G57+'29.08.2568'!G57+'30.08.2568'!G57+'31.08.2568'!G57</f>
        <v>6</v>
      </c>
      <c r="H57" s="52">
        <f>+'19.08.2568'!H57+'20.8.2568'!H57+'21.08.2568'!H57+'22.08.2568'!H57+'23.08.2568'!H57+'24.082568'!H57+'25.08.2568'!H57+'26.08.256'!H57+'27.08.2568'!H57+'28.08.2568'!H57+'29.08.2568'!H57+'30.08.2568'!H57+'31.08.2568'!H57</f>
        <v>0</v>
      </c>
      <c r="I57" s="69">
        <f t="shared" si="6"/>
        <v>6</v>
      </c>
      <c r="J57" s="52">
        <f>+'19.08.2568'!J57+'20.8.2568'!J57+'21.08.2568'!J57+'22.08.2568'!J57+'23.08.2568'!J57+'24.082568'!J57+'25.08.2568'!J57+'26.08.256'!J57+'27.08.2568'!J57+'28.08.2568'!J57+'29.08.2568'!J57+'30.08.2568'!J57+'31.08.2568'!J57</f>
        <v>14</v>
      </c>
      <c r="K57" s="52">
        <f>+'19.08.2568'!K57+'20.8.2568'!K57+'21.08.2568'!K57+'22.08.2568'!K57+'23.08.2568'!K57+'24.082568'!K57+'25.08.2568'!K57+'26.08.256'!K57+'27.08.2568'!K57+'28.08.2568'!K57+'29.08.2568'!K57+'30.08.2568'!K57+'31.08.2568'!K57</f>
        <v>0</v>
      </c>
      <c r="L57" s="69">
        <f t="shared" si="0"/>
        <v>14</v>
      </c>
      <c r="M57" s="52">
        <f>+'19.08.2568'!M57+'20.8.2568'!M57+'21.08.2568'!M57+'22.08.2568'!M57+'23.08.2568'!M57+'24.082568'!M57+'25.08.2568'!M57+'26.08.256'!M57+'27.08.2568'!M57+'28.08.2568'!M57+'29.08.2568'!M57+'30.08.2568'!M57+'31.08.2568'!M57</f>
        <v>785</v>
      </c>
      <c r="N57" s="52">
        <f>+'19.08.2568'!N57+'20.8.2568'!N57+'21.08.2568'!N57+'22.08.2568'!N57+'23.08.2568'!N57+'24.082568'!N57+'25.08.2568'!N57+'26.08.256'!N57+'27.08.2568'!N57+'28.08.2568'!N57+'29.08.2568'!N57+'30.08.2568'!N57+'31.08.2568'!N57</f>
        <v>1</v>
      </c>
      <c r="O57" s="69">
        <f t="shared" si="1"/>
        <v>786</v>
      </c>
      <c r="P57" s="52">
        <f>+'19.08.2568'!P57+'20.8.2568'!P57+'21.08.2568'!P57+'22.08.2568'!P57+'23.08.2568'!P57+'24.082568'!P57+'25.08.2568'!P57+'26.08.256'!P57+'27.08.2568'!P57+'28.08.2568'!P57+'29.08.2568'!P57+'30.08.2568'!P57+'31.08.2568'!P57</f>
        <v>15</v>
      </c>
      <c r="Q57" s="52">
        <f>+'19.08.2568'!Q57+'20.8.2568'!Q57+'21.08.2568'!Q57+'22.08.2568'!Q57+'23.08.2568'!Q57+'24.082568'!Q57+'25.08.2568'!Q57+'26.08.256'!Q57+'27.08.2568'!Q57+'28.08.2568'!Q57+'29.08.2568'!Q57+'30.08.2568'!Q57+'31.08.2568'!Q57</f>
        <v>0</v>
      </c>
      <c r="R57" s="69">
        <f t="shared" si="2"/>
        <v>15</v>
      </c>
      <c r="S57" s="52"/>
      <c r="T57" s="52"/>
      <c r="U57" s="69">
        <f t="shared" si="3"/>
        <v>0</v>
      </c>
      <c r="V57" s="52"/>
      <c r="W57" s="52"/>
      <c r="X57" s="69">
        <f t="shared" si="4"/>
        <v>0</v>
      </c>
      <c r="Y57" s="52">
        <f>+'19.08.2568'!Y57+'20.8.2568'!Y57+'21.08.2568'!Y57+'22.08.2568'!Y57+'23.08.2568'!Y57+'24.082568'!Y57+'25.08.2568'!Y57+'26.08.256'!Y57+'27.08.2568'!Y57+'28.08.2568'!Y57+'29.08.2568'!Y57+'30.08.2568'!Y57+'31.08.2568'!Y57</f>
        <v>15</v>
      </c>
      <c r="Z57" s="75">
        <f t="shared" si="7"/>
        <v>845</v>
      </c>
    </row>
    <row r="58" spans="2:26">
      <c r="B58" s="50">
        <v>1112010</v>
      </c>
      <c r="C58" s="51" t="s">
        <v>179</v>
      </c>
      <c r="D58" s="52">
        <f>+'19.08.2568'!D58+'20.8.2568'!D58+'21.08.2568'!D58+'22.08.2568'!D58+'23.08.2568'!D58+'24.082568'!D58+'25.08.2568'!D58+'26.08.256'!D58+'27.08.2568'!D58+'28.08.2568'!D58+'29.08.2568'!D58+'30.08.2568'!D58+'31.08.2568'!D58</f>
        <v>0</v>
      </c>
      <c r="E58" s="52">
        <f>+'19.08.2568'!E58+'20.8.2568'!E58+'21.08.2568'!E58+'22.08.2568'!E58+'23.08.2568'!E58+'24.082568'!E58+'25.08.2568'!E58+'26.08.256'!E58+'27.08.2568'!E58+'28.08.2568'!E58+'29.08.2568'!E58+'30.08.2568'!E58+'31.08.2568'!E58</f>
        <v>0</v>
      </c>
      <c r="F58" s="69">
        <f t="shared" si="5"/>
        <v>0</v>
      </c>
      <c r="G58" s="52">
        <f>+'19.08.2568'!G58+'20.8.2568'!G58+'21.08.2568'!G58+'22.08.2568'!G58+'23.08.2568'!G58+'24.082568'!G58+'25.08.2568'!G58+'26.08.256'!G58+'27.08.2568'!G58+'28.08.2568'!G58+'29.08.2568'!G58+'30.08.2568'!G58+'31.08.2568'!G58</f>
        <v>0</v>
      </c>
      <c r="H58" s="52">
        <f>+'19.08.2568'!H58+'20.8.2568'!H58+'21.08.2568'!H58+'22.08.2568'!H58+'23.08.2568'!H58+'24.082568'!H58+'25.08.2568'!H58+'26.08.256'!H58+'27.08.2568'!H58+'28.08.2568'!H58+'29.08.2568'!H58+'30.08.2568'!H58+'31.08.2568'!H58</f>
        <v>0</v>
      </c>
      <c r="I58" s="69">
        <f t="shared" si="6"/>
        <v>0</v>
      </c>
      <c r="J58" s="52">
        <f>+'19.08.2568'!J58+'20.8.2568'!J58+'21.08.2568'!J58+'22.08.2568'!J58+'23.08.2568'!J58+'24.082568'!J58+'25.08.2568'!J58+'26.08.256'!J58+'27.08.2568'!J58+'28.08.2568'!J58+'29.08.2568'!J58+'30.08.2568'!J58+'31.08.2568'!J58</f>
        <v>0</v>
      </c>
      <c r="K58" s="52">
        <f>+'19.08.2568'!K58+'20.8.2568'!K58+'21.08.2568'!K58+'22.08.2568'!K58+'23.08.2568'!K58+'24.082568'!K58+'25.08.2568'!K58+'26.08.256'!K58+'27.08.2568'!K58+'28.08.2568'!K58+'29.08.2568'!K58+'30.08.2568'!K58+'31.08.2568'!K58</f>
        <v>0</v>
      </c>
      <c r="L58" s="69">
        <f t="shared" si="0"/>
        <v>0</v>
      </c>
      <c r="M58" s="52">
        <f>+'19.08.2568'!M58+'20.8.2568'!M58+'21.08.2568'!M58+'22.08.2568'!M58+'23.08.2568'!M58+'24.082568'!M58+'25.08.2568'!M58+'26.08.256'!M58+'27.08.2568'!M58+'28.08.2568'!M58+'29.08.2568'!M58+'30.08.2568'!M58+'31.08.2568'!M58</f>
        <v>0</v>
      </c>
      <c r="N58" s="52">
        <f>+'19.08.2568'!N58+'20.8.2568'!N58+'21.08.2568'!N58+'22.08.2568'!N58+'23.08.2568'!N58+'24.082568'!N58+'25.08.2568'!N58+'26.08.256'!N58+'27.08.2568'!N58+'28.08.2568'!N58+'29.08.2568'!N58+'30.08.2568'!N58+'31.08.2568'!N58</f>
        <v>0</v>
      </c>
      <c r="O58" s="69">
        <f t="shared" si="1"/>
        <v>0</v>
      </c>
      <c r="P58" s="52">
        <f>+'19.08.2568'!P58+'20.8.2568'!P58+'21.08.2568'!P58+'22.08.2568'!P58+'23.08.2568'!P58+'24.082568'!P58+'25.08.2568'!P58+'26.08.256'!P58+'27.08.2568'!P58+'28.08.2568'!P58+'29.08.2568'!P58+'30.08.2568'!P58+'31.08.2568'!P58</f>
        <v>0</v>
      </c>
      <c r="Q58" s="52">
        <f>+'19.08.2568'!Q58+'20.8.2568'!Q58+'21.08.2568'!Q58+'22.08.2568'!Q58+'23.08.2568'!Q58+'24.082568'!Q58+'25.08.2568'!Q58+'26.08.256'!Q58+'27.08.2568'!Q58+'28.08.2568'!Q58+'29.08.2568'!Q58+'30.08.2568'!Q58+'31.08.2568'!Q58</f>
        <v>0</v>
      </c>
      <c r="R58" s="69">
        <f t="shared" si="2"/>
        <v>0</v>
      </c>
      <c r="S58" s="52"/>
      <c r="T58" s="52"/>
      <c r="U58" s="69">
        <f t="shared" si="3"/>
        <v>0</v>
      </c>
      <c r="V58" s="52"/>
      <c r="W58" s="52"/>
      <c r="X58" s="69">
        <f t="shared" si="4"/>
        <v>0</v>
      </c>
      <c r="Y58" s="52">
        <f>+'19.08.2568'!Y58+'20.8.2568'!Y58+'21.08.2568'!Y58+'22.08.2568'!Y58+'23.08.2568'!Y58+'24.082568'!Y58+'25.08.2568'!Y58+'26.08.256'!Y58+'27.08.2568'!Y58+'28.08.2568'!Y58+'29.08.2568'!Y58+'30.08.2568'!Y58+'31.08.2568'!Y58</f>
        <v>20</v>
      </c>
      <c r="Z58" s="75">
        <f t="shared" si="7"/>
        <v>20</v>
      </c>
    </row>
    <row r="59" spans="2:26">
      <c r="B59" s="50">
        <v>1112011</v>
      </c>
      <c r="C59" s="51" t="s">
        <v>180</v>
      </c>
      <c r="D59" s="52">
        <f>+'19.08.2568'!D59+'20.8.2568'!D59+'21.08.2568'!D59+'22.08.2568'!D59+'23.08.2568'!D59+'24.082568'!D59+'25.08.2568'!D59+'26.08.256'!D59+'27.08.2568'!D59+'28.08.2568'!D59+'29.08.2568'!D59+'30.08.2568'!D59+'31.08.2568'!D59</f>
        <v>12</v>
      </c>
      <c r="E59" s="52">
        <f>+'19.08.2568'!E59+'20.8.2568'!E59+'21.08.2568'!E59+'22.08.2568'!E59+'23.08.2568'!E59+'24.082568'!E59+'25.08.2568'!E59+'26.08.256'!E59+'27.08.2568'!E59+'28.08.2568'!E59+'29.08.2568'!E59+'30.08.2568'!E59+'31.08.2568'!E59</f>
        <v>0</v>
      </c>
      <c r="F59" s="69">
        <f t="shared" si="5"/>
        <v>12</v>
      </c>
      <c r="G59" s="52">
        <f>+'19.08.2568'!G59+'20.8.2568'!G59+'21.08.2568'!G59+'22.08.2568'!G59+'23.08.2568'!G59+'24.082568'!G59+'25.08.2568'!G59+'26.08.256'!G59+'27.08.2568'!G59+'28.08.2568'!G59+'29.08.2568'!G59+'30.08.2568'!G59+'31.08.2568'!G59</f>
        <v>4</v>
      </c>
      <c r="H59" s="52">
        <f>+'19.08.2568'!H59+'20.8.2568'!H59+'21.08.2568'!H59+'22.08.2568'!H59+'23.08.2568'!H59+'24.082568'!H59+'25.08.2568'!H59+'26.08.256'!H59+'27.08.2568'!H59+'28.08.2568'!H59+'29.08.2568'!H59+'30.08.2568'!H59+'31.08.2568'!H59</f>
        <v>0</v>
      </c>
      <c r="I59" s="69">
        <f t="shared" si="6"/>
        <v>4</v>
      </c>
      <c r="J59" s="52">
        <f>+'19.08.2568'!J59+'20.8.2568'!J59+'21.08.2568'!J59+'22.08.2568'!J59+'23.08.2568'!J59+'24.082568'!J59+'25.08.2568'!J59+'26.08.256'!J59+'27.08.2568'!J59+'28.08.2568'!J59+'29.08.2568'!J59+'30.08.2568'!J59+'31.08.2568'!J59</f>
        <v>52</v>
      </c>
      <c r="K59" s="52">
        <f>+'19.08.2568'!K59+'20.8.2568'!K59+'21.08.2568'!K59+'22.08.2568'!K59+'23.08.2568'!K59+'24.082568'!K59+'25.08.2568'!K59+'26.08.256'!K59+'27.08.2568'!K59+'28.08.2568'!K59+'29.08.2568'!K59+'30.08.2568'!K59+'31.08.2568'!K59</f>
        <v>0</v>
      </c>
      <c r="L59" s="69">
        <f t="shared" si="0"/>
        <v>52</v>
      </c>
      <c r="M59" s="52">
        <f>+'19.08.2568'!M59+'20.8.2568'!M59+'21.08.2568'!M59+'22.08.2568'!M59+'23.08.2568'!M59+'24.082568'!M59+'25.08.2568'!M59+'26.08.256'!M59+'27.08.2568'!M59+'28.08.2568'!M59+'29.08.2568'!M59+'30.08.2568'!M59+'31.08.2568'!M59</f>
        <v>780</v>
      </c>
      <c r="N59" s="52">
        <f>+'19.08.2568'!N59+'20.8.2568'!N59+'21.08.2568'!N59+'22.08.2568'!N59+'23.08.2568'!N59+'24.082568'!N59+'25.08.2568'!N59+'26.08.256'!N59+'27.08.2568'!N59+'28.08.2568'!N59+'29.08.2568'!N59+'30.08.2568'!N59+'31.08.2568'!N59</f>
        <v>1</v>
      </c>
      <c r="O59" s="69">
        <f t="shared" si="1"/>
        <v>781</v>
      </c>
      <c r="P59" s="52">
        <f>+'19.08.2568'!P59+'20.8.2568'!P59+'21.08.2568'!P59+'22.08.2568'!P59+'23.08.2568'!P59+'24.082568'!P59+'25.08.2568'!P59+'26.08.256'!P59+'27.08.2568'!P59+'28.08.2568'!P59+'29.08.2568'!P59+'30.08.2568'!P59+'31.08.2568'!P59</f>
        <v>15</v>
      </c>
      <c r="Q59" s="52">
        <f>+'19.08.2568'!Q59+'20.8.2568'!Q59+'21.08.2568'!Q59+'22.08.2568'!Q59+'23.08.2568'!Q59+'24.082568'!Q59+'25.08.2568'!Q59+'26.08.256'!Q59+'27.08.2568'!Q59+'28.08.2568'!Q59+'29.08.2568'!Q59+'30.08.2568'!Q59+'31.08.2568'!Q59</f>
        <v>0</v>
      </c>
      <c r="R59" s="69">
        <f t="shared" si="2"/>
        <v>15</v>
      </c>
      <c r="S59" s="52"/>
      <c r="T59" s="52"/>
      <c r="U59" s="69">
        <f t="shared" si="3"/>
        <v>0</v>
      </c>
      <c r="V59" s="52"/>
      <c r="W59" s="52"/>
      <c r="X59" s="69">
        <f t="shared" si="4"/>
        <v>0</v>
      </c>
      <c r="Y59" s="52">
        <f>+'19.08.2568'!Y59+'20.8.2568'!Y59+'21.08.2568'!Y59+'22.08.2568'!Y59+'23.08.2568'!Y59+'24.082568'!Y59+'25.08.2568'!Y59+'26.08.256'!Y59+'27.08.2568'!Y59+'28.08.2568'!Y59+'29.08.2568'!Y59+'30.08.2568'!Y59+'31.08.2568'!Y59</f>
        <v>15</v>
      </c>
      <c r="Z59" s="75">
        <f t="shared" si="7"/>
        <v>879</v>
      </c>
    </row>
    <row r="60" spans="2:26">
      <c r="B60" s="50">
        <v>1112012</v>
      </c>
      <c r="C60" s="51" t="s">
        <v>181</v>
      </c>
      <c r="D60" s="52">
        <f>+'19.08.2568'!D60+'20.8.2568'!D60+'21.08.2568'!D60+'22.08.2568'!D60+'23.08.2568'!D60+'24.082568'!D60+'25.08.2568'!D60+'26.08.256'!D60+'27.08.2568'!D60+'28.08.2568'!D60+'29.08.2568'!D60+'30.08.2568'!D60+'31.08.2568'!D60</f>
        <v>0</v>
      </c>
      <c r="E60" s="52">
        <f>+'19.08.2568'!E60+'20.8.2568'!E60+'21.08.2568'!E60+'22.08.2568'!E60+'23.08.2568'!E60+'24.082568'!E60+'25.08.2568'!E60+'26.08.256'!E60+'27.08.2568'!E60+'28.08.2568'!E60+'29.08.2568'!E60+'30.08.2568'!E60+'31.08.2568'!E60</f>
        <v>0</v>
      </c>
      <c r="F60" s="69">
        <f t="shared" si="5"/>
        <v>0</v>
      </c>
      <c r="G60" s="52">
        <f>+'19.08.2568'!G60+'20.8.2568'!G60+'21.08.2568'!G60+'22.08.2568'!G60+'23.08.2568'!G60+'24.082568'!G60+'25.08.2568'!G60+'26.08.256'!G60+'27.08.2568'!G60+'28.08.2568'!G60+'29.08.2568'!G60+'30.08.2568'!G60+'31.08.2568'!G60</f>
        <v>0</v>
      </c>
      <c r="H60" s="52">
        <f>+'19.08.2568'!H60+'20.8.2568'!H60+'21.08.2568'!H60+'22.08.2568'!H60+'23.08.2568'!H60+'24.082568'!H60+'25.08.2568'!H60+'26.08.256'!H60+'27.08.2568'!H60+'28.08.2568'!H60+'29.08.2568'!H60+'30.08.2568'!H60+'31.08.2568'!H60</f>
        <v>0</v>
      </c>
      <c r="I60" s="69">
        <f t="shared" si="6"/>
        <v>0</v>
      </c>
      <c r="J60" s="52">
        <f>+'19.08.2568'!J60+'20.8.2568'!J60+'21.08.2568'!J60+'22.08.2568'!J60+'23.08.2568'!J60+'24.082568'!J60+'25.08.2568'!J60+'26.08.256'!J60+'27.08.2568'!J60+'28.08.2568'!J60+'29.08.2568'!J60+'30.08.2568'!J60+'31.08.2568'!J60</f>
        <v>0</v>
      </c>
      <c r="K60" s="52">
        <f>+'19.08.2568'!K60+'20.8.2568'!K60+'21.08.2568'!K60+'22.08.2568'!K60+'23.08.2568'!K60+'24.082568'!K60+'25.08.2568'!K60+'26.08.256'!K60+'27.08.2568'!K60+'28.08.2568'!K60+'29.08.2568'!K60+'30.08.2568'!K60+'31.08.2568'!K60</f>
        <v>0</v>
      </c>
      <c r="L60" s="69">
        <f t="shared" si="0"/>
        <v>0</v>
      </c>
      <c r="M60" s="52">
        <f>+'19.08.2568'!M60+'20.8.2568'!M60+'21.08.2568'!M60+'22.08.2568'!M60+'23.08.2568'!M60+'24.082568'!M60+'25.08.2568'!M60+'26.08.256'!M60+'27.08.2568'!M60+'28.08.2568'!M60+'29.08.2568'!M60+'30.08.2568'!M60+'31.08.2568'!M60</f>
        <v>16</v>
      </c>
      <c r="N60" s="52">
        <f>+'19.08.2568'!N60+'20.8.2568'!N60+'21.08.2568'!N60+'22.08.2568'!N60+'23.08.2568'!N60+'24.082568'!N60+'25.08.2568'!N60+'26.08.256'!N60+'27.08.2568'!N60+'28.08.2568'!N60+'29.08.2568'!N60+'30.08.2568'!N60+'31.08.2568'!N60</f>
        <v>0</v>
      </c>
      <c r="O60" s="69">
        <f t="shared" si="1"/>
        <v>16</v>
      </c>
      <c r="P60" s="52">
        <f>+'19.08.2568'!P60+'20.8.2568'!P60+'21.08.2568'!P60+'22.08.2568'!P60+'23.08.2568'!P60+'24.082568'!P60+'25.08.2568'!P60+'26.08.256'!P60+'27.08.2568'!P60+'28.08.2568'!P60+'29.08.2568'!P60+'30.08.2568'!P60+'31.08.2568'!P60</f>
        <v>0</v>
      </c>
      <c r="Q60" s="52">
        <f>+'19.08.2568'!Q60+'20.8.2568'!Q60+'21.08.2568'!Q60+'22.08.2568'!Q60+'23.08.2568'!Q60+'24.082568'!Q60+'25.08.2568'!Q60+'26.08.256'!Q60+'27.08.2568'!Q60+'28.08.2568'!Q60+'29.08.2568'!Q60+'30.08.2568'!Q60+'31.08.2568'!Q60</f>
        <v>0</v>
      </c>
      <c r="R60" s="69">
        <f t="shared" si="2"/>
        <v>0</v>
      </c>
      <c r="S60" s="52"/>
      <c r="T60" s="52"/>
      <c r="U60" s="69">
        <f t="shared" si="3"/>
        <v>0</v>
      </c>
      <c r="V60" s="52"/>
      <c r="W60" s="52"/>
      <c r="X60" s="69">
        <f t="shared" si="4"/>
        <v>0</v>
      </c>
      <c r="Y60" s="52">
        <f>+'19.08.2568'!Y60+'20.8.2568'!Y60+'21.08.2568'!Y60+'22.08.2568'!Y60+'23.08.2568'!Y60+'24.082568'!Y60+'25.08.2568'!Y60+'26.08.256'!Y60+'27.08.2568'!Y60+'28.08.2568'!Y60+'29.08.2568'!Y60+'30.08.2568'!Y60+'31.08.2568'!Y60</f>
        <v>0</v>
      </c>
      <c r="Z60" s="75">
        <f t="shared" si="7"/>
        <v>16</v>
      </c>
    </row>
    <row r="61" spans="2:26">
      <c r="B61" s="50">
        <v>1112013</v>
      </c>
      <c r="C61" s="51" t="s">
        <v>182</v>
      </c>
      <c r="D61" s="52">
        <f>+'19.08.2568'!D61+'20.8.2568'!D61+'21.08.2568'!D61+'22.08.2568'!D61+'23.08.2568'!D61+'24.082568'!D61+'25.08.2568'!D61+'26.08.256'!D61+'27.08.2568'!D61+'28.08.2568'!D61+'29.08.2568'!D61+'30.08.2568'!D61+'31.08.2568'!D61</f>
        <v>8</v>
      </c>
      <c r="E61" s="52">
        <f>+'19.08.2568'!E61+'20.8.2568'!E61+'21.08.2568'!E61+'22.08.2568'!E61+'23.08.2568'!E61+'24.082568'!E61+'25.08.2568'!E61+'26.08.256'!E61+'27.08.2568'!E61+'28.08.2568'!E61+'29.08.2568'!E61+'30.08.2568'!E61+'31.08.2568'!E61</f>
        <v>0</v>
      </c>
      <c r="F61" s="69">
        <f t="shared" si="5"/>
        <v>8</v>
      </c>
      <c r="G61" s="52">
        <f>+'19.08.2568'!G61+'20.8.2568'!G61+'21.08.2568'!G61+'22.08.2568'!G61+'23.08.2568'!G61+'24.082568'!G61+'25.08.2568'!G61+'26.08.256'!G61+'27.08.2568'!G61+'28.08.2568'!G61+'29.08.2568'!G61+'30.08.2568'!G61+'31.08.2568'!G61</f>
        <v>9</v>
      </c>
      <c r="H61" s="52">
        <f>+'19.08.2568'!H61+'20.8.2568'!H61+'21.08.2568'!H61+'22.08.2568'!H61+'23.08.2568'!H61+'24.082568'!H61+'25.08.2568'!H61+'26.08.256'!H61+'27.08.2568'!H61+'28.08.2568'!H61+'29.08.2568'!H61+'30.08.2568'!H61+'31.08.2568'!H61</f>
        <v>0</v>
      </c>
      <c r="I61" s="69">
        <f t="shared" si="6"/>
        <v>9</v>
      </c>
      <c r="J61" s="52">
        <f>+'19.08.2568'!J61+'20.8.2568'!J61+'21.08.2568'!J61+'22.08.2568'!J61+'23.08.2568'!J61+'24.082568'!J61+'25.08.2568'!J61+'26.08.256'!J61+'27.08.2568'!J61+'28.08.2568'!J61+'29.08.2568'!J61+'30.08.2568'!J61+'31.08.2568'!J61</f>
        <v>8</v>
      </c>
      <c r="K61" s="52">
        <f>+'19.08.2568'!K61+'20.8.2568'!K61+'21.08.2568'!K61+'22.08.2568'!K61+'23.08.2568'!K61+'24.082568'!K61+'25.08.2568'!K61+'26.08.256'!K61+'27.08.2568'!K61+'28.08.2568'!K61+'29.08.2568'!K61+'30.08.2568'!K61+'31.08.2568'!K61</f>
        <v>0</v>
      </c>
      <c r="L61" s="69">
        <f t="shared" si="0"/>
        <v>8</v>
      </c>
      <c r="M61" s="52">
        <f>+'19.08.2568'!M61+'20.8.2568'!M61+'21.08.2568'!M61+'22.08.2568'!M61+'23.08.2568'!M61+'24.082568'!M61+'25.08.2568'!M61+'26.08.256'!M61+'27.08.2568'!M61+'28.08.2568'!M61+'29.08.2568'!M61+'30.08.2568'!M61+'31.08.2568'!M61</f>
        <v>775</v>
      </c>
      <c r="N61" s="52">
        <f>+'19.08.2568'!N61+'20.8.2568'!N61+'21.08.2568'!N61+'22.08.2568'!N61+'23.08.2568'!N61+'24.082568'!N61+'25.08.2568'!N61+'26.08.256'!N61+'27.08.2568'!N61+'28.08.2568'!N61+'29.08.2568'!N61+'30.08.2568'!N61+'31.08.2568'!N61</f>
        <v>1</v>
      </c>
      <c r="O61" s="69">
        <f t="shared" si="1"/>
        <v>776</v>
      </c>
      <c r="P61" s="52">
        <f>+'19.08.2568'!P61+'20.8.2568'!P61+'21.08.2568'!P61+'22.08.2568'!P61+'23.08.2568'!P61+'24.082568'!P61+'25.08.2568'!P61+'26.08.256'!P61+'27.08.2568'!P61+'28.08.2568'!P61+'29.08.2568'!P61+'30.08.2568'!P61+'31.08.2568'!P61</f>
        <v>15</v>
      </c>
      <c r="Q61" s="52">
        <f>+'19.08.2568'!Q61+'20.8.2568'!Q61+'21.08.2568'!Q61+'22.08.2568'!Q61+'23.08.2568'!Q61+'24.082568'!Q61+'25.08.2568'!Q61+'26.08.256'!Q61+'27.08.2568'!Q61+'28.08.2568'!Q61+'29.08.2568'!Q61+'30.08.2568'!Q61+'31.08.2568'!Q61</f>
        <v>0</v>
      </c>
      <c r="R61" s="69">
        <f t="shared" si="2"/>
        <v>15</v>
      </c>
      <c r="S61" s="52"/>
      <c r="T61" s="52"/>
      <c r="U61" s="69">
        <f t="shared" si="3"/>
        <v>0</v>
      </c>
      <c r="V61" s="52"/>
      <c r="W61" s="52"/>
      <c r="X61" s="69">
        <f t="shared" si="4"/>
        <v>0</v>
      </c>
      <c r="Y61" s="52">
        <f>+'19.08.2568'!Y61+'20.8.2568'!Y61+'21.08.2568'!Y61+'22.08.2568'!Y61+'23.08.2568'!Y61+'24.082568'!Y61+'25.08.2568'!Y61+'26.08.256'!Y61+'27.08.2568'!Y61+'28.08.2568'!Y61+'29.08.2568'!Y61+'30.08.2568'!Y61+'31.08.2568'!Y61</f>
        <v>14</v>
      </c>
      <c r="Z61" s="75">
        <f t="shared" si="7"/>
        <v>830</v>
      </c>
    </row>
    <row r="62" spans="2:26">
      <c r="B62" s="50">
        <v>1112014</v>
      </c>
      <c r="C62" s="51" t="s">
        <v>183</v>
      </c>
      <c r="D62" s="52">
        <f>+'19.08.2568'!D62+'20.8.2568'!D62+'21.08.2568'!D62+'22.08.2568'!D62+'23.08.2568'!D62+'24.082568'!D62+'25.08.2568'!D62+'26.08.256'!D62+'27.08.2568'!D62+'28.08.2568'!D62+'29.08.2568'!D62+'30.08.2568'!D62+'31.08.2568'!D62</f>
        <v>0</v>
      </c>
      <c r="E62" s="52">
        <f>+'19.08.2568'!E62+'20.8.2568'!E62+'21.08.2568'!E62+'22.08.2568'!E62+'23.08.2568'!E62+'24.082568'!E62+'25.08.2568'!E62+'26.08.256'!E62+'27.08.2568'!E62+'28.08.2568'!E62+'29.08.2568'!E62+'30.08.2568'!E62+'31.08.2568'!E62</f>
        <v>0</v>
      </c>
      <c r="F62" s="69">
        <f t="shared" si="5"/>
        <v>0</v>
      </c>
      <c r="G62" s="52">
        <f>+'19.08.2568'!G62+'20.8.2568'!G62+'21.08.2568'!G62+'22.08.2568'!G62+'23.08.2568'!G62+'24.082568'!G62+'25.08.2568'!G62+'26.08.256'!G62+'27.08.2568'!G62+'28.08.2568'!G62+'29.08.2568'!G62+'30.08.2568'!G62+'31.08.2568'!G62</f>
        <v>0</v>
      </c>
      <c r="H62" s="52">
        <f>+'19.08.2568'!H62+'20.8.2568'!H62+'21.08.2568'!H62+'22.08.2568'!H62+'23.08.2568'!H62+'24.082568'!H62+'25.08.2568'!H62+'26.08.256'!H62+'27.08.2568'!H62+'28.08.2568'!H62+'29.08.2568'!H62+'30.08.2568'!H62+'31.08.2568'!H62</f>
        <v>0</v>
      </c>
      <c r="I62" s="69">
        <f t="shared" si="6"/>
        <v>0</v>
      </c>
      <c r="J62" s="52">
        <f>+'19.08.2568'!J62+'20.8.2568'!J62+'21.08.2568'!J62+'22.08.2568'!J62+'23.08.2568'!J62+'24.082568'!J62+'25.08.2568'!J62+'26.08.256'!J62+'27.08.2568'!J62+'28.08.2568'!J62+'29.08.2568'!J62+'30.08.2568'!J62+'31.08.2568'!J62</f>
        <v>0</v>
      </c>
      <c r="K62" s="52">
        <f>+'19.08.2568'!K62+'20.8.2568'!K62+'21.08.2568'!K62+'22.08.2568'!K62+'23.08.2568'!K62+'24.082568'!K62+'25.08.2568'!K62+'26.08.256'!K62+'27.08.2568'!K62+'28.08.2568'!K62+'29.08.2568'!K62+'30.08.2568'!K62+'31.08.2568'!K62</f>
        <v>0</v>
      </c>
      <c r="L62" s="69">
        <f t="shared" si="0"/>
        <v>0</v>
      </c>
      <c r="M62" s="52">
        <f>+'19.08.2568'!M62+'20.8.2568'!M62+'21.08.2568'!M62+'22.08.2568'!M62+'23.08.2568'!M62+'24.082568'!M62+'25.08.2568'!M62+'26.08.256'!M62+'27.08.2568'!M62+'28.08.2568'!M62+'29.08.2568'!M62+'30.08.2568'!M62+'31.08.2568'!M62</f>
        <v>2</v>
      </c>
      <c r="N62" s="52">
        <f>+'19.08.2568'!N62+'20.8.2568'!N62+'21.08.2568'!N62+'22.08.2568'!N62+'23.08.2568'!N62+'24.082568'!N62+'25.08.2568'!N62+'26.08.256'!N62+'27.08.2568'!N62+'28.08.2568'!N62+'29.08.2568'!N62+'30.08.2568'!N62+'31.08.2568'!N62</f>
        <v>0</v>
      </c>
      <c r="O62" s="69">
        <f t="shared" si="1"/>
        <v>2</v>
      </c>
      <c r="P62" s="52">
        <f>+'19.08.2568'!P62+'20.8.2568'!P62+'21.08.2568'!P62+'22.08.2568'!P62+'23.08.2568'!P62+'24.082568'!P62+'25.08.2568'!P62+'26.08.256'!P62+'27.08.2568'!P62+'28.08.2568'!P62+'29.08.2568'!P62+'30.08.2568'!P62+'31.08.2568'!P62</f>
        <v>0</v>
      </c>
      <c r="Q62" s="52">
        <f>+'19.08.2568'!Q62+'20.8.2568'!Q62+'21.08.2568'!Q62+'22.08.2568'!Q62+'23.08.2568'!Q62+'24.082568'!Q62+'25.08.2568'!Q62+'26.08.256'!Q62+'27.08.2568'!Q62+'28.08.2568'!Q62+'29.08.2568'!Q62+'30.08.2568'!Q62+'31.08.2568'!Q62</f>
        <v>0</v>
      </c>
      <c r="R62" s="69">
        <f t="shared" si="2"/>
        <v>0</v>
      </c>
      <c r="S62" s="52"/>
      <c r="T62" s="52"/>
      <c r="U62" s="69">
        <f t="shared" si="3"/>
        <v>0</v>
      </c>
      <c r="V62" s="52"/>
      <c r="W62" s="52"/>
      <c r="X62" s="69">
        <f t="shared" si="4"/>
        <v>0</v>
      </c>
      <c r="Y62" s="52">
        <f>+'19.08.2568'!Y62+'20.8.2568'!Y62+'21.08.2568'!Y62+'22.08.2568'!Y62+'23.08.2568'!Y62+'24.082568'!Y62+'25.08.2568'!Y62+'26.08.256'!Y62+'27.08.2568'!Y62+'28.08.2568'!Y62+'29.08.2568'!Y62+'30.08.2568'!Y62+'31.08.2568'!Y62</f>
        <v>0</v>
      </c>
      <c r="Z62" s="75">
        <f t="shared" si="7"/>
        <v>2</v>
      </c>
    </row>
    <row r="63" spans="2:26">
      <c r="B63" s="50">
        <v>1112015</v>
      </c>
      <c r="C63" s="51" t="s">
        <v>184</v>
      </c>
      <c r="D63" s="52">
        <f>+'19.08.2568'!D63+'20.8.2568'!D63+'21.08.2568'!D63+'22.08.2568'!D63+'23.08.2568'!D63+'24.082568'!D63+'25.08.2568'!D63+'26.08.256'!D63+'27.08.2568'!D63+'28.08.2568'!D63+'29.08.2568'!D63+'30.08.2568'!D63+'31.08.2568'!D63</f>
        <v>2</v>
      </c>
      <c r="E63" s="52">
        <f>+'19.08.2568'!E63+'20.8.2568'!E63+'21.08.2568'!E63+'22.08.2568'!E63+'23.08.2568'!E63+'24.082568'!E63+'25.08.2568'!E63+'26.08.256'!E63+'27.08.2568'!E63+'28.08.2568'!E63+'29.08.2568'!E63+'30.08.2568'!E63+'31.08.2568'!E63</f>
        <v>0</v>
      </c>
      <c r="F63" s="69">
        <f t="shared" si="5"/>
        <v>2</v>
      </c>
      <c r="G63" s="52">
        <f>+'19.08.2568'!G63+'20.8.2568'!G63+'21.08.2568'!G63+'22.08.2568'!G63+'23.08.2568'!G63+'24.082568'!G63+'25.08.2568'!G63+'26.08.256'!G63+'27.08.2568'!G63+'28.08.2568'!G63+'29.08.2568'!G63+'30.08.2568'!G63+'31.08.2568'!G63</f>
        <v>10</v>
      </c>
      <c r="H63" s="52">
        <f>+'19.08.2568'!H63+'20.8.2568'!H63+'21.08.2568'!H63+'22.08.2568'!H63+'23.08.2568'!H63+'24.082568'!H63+'25.08.2568'!H63+'26.08.256'!H63+'27.08.2568'!H63+'28.08.2568'!H63+'29.08.2568'!H63+'30.08.2568'!H63+'31.08.2568'!H63</f>
        <v>0</v>
      </c>
      <c r="I63" s="69">
        <f t="shared" si="6"/>
        <v>10</v>
      </c>
      <c r="J63" s="52">
        <f>+'19.08.2568'!J63+'20.8.2568'!J63+'21.08.2568'!J63+'22.08.2568'!J63+'23.08.2568'!J63+'24.082568'!J63+'25.08.2568'!J63+'26.08.256'!J63+'27.08.2568'!J63+'28.08.2568'!J63+'29.08.2568'!J63+'30.08.2568'!J63+'31.08.2568'!J63</f>
        <v>8</v>
      </c>
      <c r="K63" s="52">
        <f>+'19.08.2568'!K63+'20.8.2568'!K63+'21.08.2568'!K63+'22.08.2568'!K63+'23.08.2568'!K63+'24.082568'!K63+'25.08.2568'!K63+'26.08.256'!K63+'27.08.2568'!K63+'28.08.2568'!K63+'29.08.2568'!K63+'30.08.2568'!K63+'31.08.2568'!K63</f>
        <v>0</v>
      </c>
      <c r="L63" s="69">
        <f t="shared" si="0"/>
        <v>8</v>
      </c>
      <c r="M63" s="52">
        <f>+'19.08.2568'!M63+'20.8.2568'!M63+'21.08.2568'!M63+'22.08.2568'!M63+'23.08.2568'!M63+'24.082568'!M63+'25.08.2568'!M63+'26.08.256'!M63+'27.08.2568'!M63+'28.08.2568'!M63+'29.08.2568'!M63+'30.08.2568'!M63+'31.08.2568'!M63</f>
        <v>783</v>
      </c>
      <c r="N63" s="52">
        <f>+'19.08.2568'!N63+'20.8.2568'!N63+'21.08.2568'!N63+'22.08.2568'!N63+'23.08.2568'!N63+'24.082568'!N63+'25.08.2568'!N63+'26.08.256'!N63+'27.08.2568'!N63+'28.08.2568'!N63+'29.08.2568'!N63+'30.08.2568'!N63+'31.08.2568'!N63</f>
        <v>0</v>
      </c>
      <c r="O63" s="69">
        <f t="shared" si="1"/>
        <v>783</v>
      </c>
      <c r="P63" s="52">
        <f>+'19.08.2568'!P63+'20.8.2568'!P63+'21.08.2568'!P63+'22.08.2568'!P63+'23.08.2568'!P63+'24.082568'!P63+'25.08.2568'!P63+'26.08.256'!P63+'27.08.2568'!P63+'28.08.2568'!P63+'29.08.2568'!P63+'30.08.2568'!P63+'31.08.2568'!P63</f>
        <v>15</v>
      </c>
      <c r="Q63" s="52">
        <f>+'19.08.2568'!Q63+'20.8.2568'!Q63+'21.08.2568'!Q63+'22.08.2568'!Q63+'23.08.2568'!Q63+'24.082568'!Q63+'25.08.2568'!Q63+'26.08.256'!Q63+'27.08.2568'!Q63+'28.08.2568'!Q63+'29.08.2568'!Q63+'30.08.2568'!Q63+'31.08.2568'!Q63</f>
        <v>0</v>
      </c>
      <c r="R63" s="69">
        <f t="shared" si="2"/>
        <v>15</v>
      </c>
      <c r="S63" s="52"/>
      <c r="T63" s="52"/>
      <c r="U63" s="69">
        <f t="shared" si="3"/>
        <v>0</v>
      </c>
      <c r="V63" s="52"/>
      <c r="W63" s="52"/>
      <c r="X63" s="69">
        <f t="shared" si="4"/>
        <v>0</v>
      </c>
      <c r="Y63" s="52">
        <f>+'19.08.2568'!Y63+'20.8.2568'!Y63+'21.08.2568'!Y63+'22.08.2568'!Y63+'23.08.2568'!Y63+'24.082568'!Y63+'25.08.2568'!Y63+'26.08.256'!Y63+'27.08.2568'!Y63+'28.08.2568'!Y63+'29.08.2568'!Y63+'30.08.2568'!Y63+'31.08.2568'!Y63</f>
        <v>0</v>
      </c>
      <c r="Z63" s="75">
        <f t="shared" si="7"/>
        <v>818</v>
      </c>
    </row>
    <row r="64" spans="2:26" hidden="1">
      <c r="B64" s="50">
        <v>1112017</v>
      </c>
      <c r="C64" s="54" t="s">
        <v>185</v>
      </c>
      <c r="D64" s="52">
        <f>+'19.08.2568'!D64+'20.8.2568'!D64+'21.08.2568'!D64+'22.08.2568'!D64+'23.08.2568'!D64+'24.082568'!D64+'25.08.2568'!D64+'26.08.256'!D64+'27.08.2568'!D64+'28.08.2568'!D64+'29.08.2568'!D64+'30.08.2568'!D64+'31.08.2568'!D64</f>
        <v>0</v>
      </c>
      <c r="E64" s="52">
        <f>+'19.08.2568'!E64+'20.8.2568'!E64+'21.08.2568'!E64+'22.08.2568'!E64+'23.08.2568'!E64+'24.082568'!E64+'25.08.2568'!E64+'26.08.256'!E64+'27.08.2568'!E64+'28.08.2568'!E64+'29.08.2568'!E64+'30.08.2568'!E64+'31.08.2568'!E64</f>
        <v>0</v>
      </c>
      <c r="F64" s="69">
        <f t="shared" si="5"/>
        <v>0</v>
      </c>
      <c r="G64" s="52">
        <f>+'19.08.2568'!G64+'20.8.2568'!G64+'21.08.2568'!G64+'22.08.2568'!G64+'23.08.2568'!G64+'24.082568'!G64+'25.08.2568'!G64+'26.08.256'!G64+'27.08.2568'!G64+'28.08.2568'!G64+'29.08.2568'!G64+'30.08.2568'!G64+'31.08.2568'!G64</f>
        <v>0</v>
      </c>
      <c r="H64" s="52">
        <f>+'19.08.2568'!H64+'20.8.2568'!H64+'21.08.2568'!H64+'22.08.2568'!H64+'23.08.2568'!H64+'24.082568'!H64+'25.08.2568'!H64+'26.08.256'!H64+'27.08.2568'!H64+'28.08.2568'!H64+'29.08.2568'!H64+'30.08.2568'!H64+'31.08.2568'!H64</f>
        <v>0</v>
      </c>
      <c r="I64" s="69">
        <f t="shared" si="6"/>
        <v>0</v>
      </c>
      <c r="J64" s="52">
        <f>+'19.08.2568'!J64+'20.8.2568'!J64+'21.08.2568'!J64+'22.08.2568'!J64+'23.08.2568'!J64+'24.082568'!J64+'25.08.2568'!J64+'26.08.256'!J64+'27.08.2568'!J64+'28.08.2568'!J64+'29.08.2568'!J64+'30.08.2568'!J64+'31.08.2568'!J64</f>
        <v>0</v>
      </c>
      <c r="K64" s="52">
        <f>+'19.08.2568'!K64+'20.8.2568'!K64+'21.08.2568'!K64+'22.08.2568'!K64+'23.08.2568'!K64+'24.082568'!K64+'25.08.2568'!K64+'26.08.256'!K64+'27.08.2568'!K64+'28.08.2568'!K64+'29.08.2568'!K64+'30.08.2568'!K64+'31.08.2568'!K64</f>
        <v>0</v>
      </c>
      <c r="L64" s="69">
        <f t="shared" si="0"/>
        <v>0</v>
      </c>
      <c r="M64" s="52">
        <f>+'19.08.2568'!M64+'20.8.2568'!M64+'21.08.2568'!M64+'22.08.2568'!M64+'23.08.2568'!M64+'24.082568'!M64+'25.08.2568'!M64+'26.08.256'!M64+'27.08.2568'!M64+'28.08.2568'!M64+'29.08.2568'!M64+'30.08.2568'!M64+'31.08.2568'!M64</f>
        <v>0</v>
      </c>
      <c r="N64" s="52">
        <f>+'19.08.2568'!N64+'20.8.2568'!N64+'21.08.2568'!N64+'22.08.2568'!N64+'23.08.2568'!N64+'24.082568'!N64+'25.08.2568'!N64+'26.08.256'!N64+'27.08.2568'!N64+'28.08.2568'!N64+'29.08.2568'!N64+'30.08.2568'!N64+'31.08.2568'!N64</f>
        <v>0</v>
      </c>
      <c r="O64" s="69">
        <f t="shared" si="1"/>
        <v>0</v>
      </c>
      <c r="P64" s="52">
        <f>+'19.08.2568'!P64+'20.8.2568'!P64+'21.08.2568'!P64+'22.08.2568'!P64+'23.08.2568'!P64+'24.082568'!P64+'25.08.2568'!P64+'26.08.256'!P64+'27.08.2568'!P64+'28.08.2568'!P64+'29.08.2568'!P64+'30.08.2568'!P64+'31.08.2568'!P64</f>
        <v>0</v>
      </c>
      <c r="Q64" s="52">
        <f>+'19.08.2568'!Q64+'20.8.2568'!Q64+'21.08.2568'!Q64+'22.08.2568'!Q64+'23.08.2568'!Q64+'24.082568'!Q64+'25.08.2568'!Q64+'26.08.256'!Q64+'27.08.2568'!Q64+'28.08.2568'!Q64+'29.08.2568'!Q64+'30.08.2568'!Q64+'31.08.2568'!Q64</f>
        <v>0</v>
      </c>
      <c r="R64" s="69">
        <f t="shared" si="2"/>
        <v>0</v>
      </c>
      <c r="S64" s="52"/>
      <c r="T64" s="52"/>
      <c r="U64" s="69">
        <f t="shared" si="3"/>
        <v>0</v>
      </c>
      <c r="V64" s="52"/>
      <c r="W64" s="52"/>
      <c r="X64" s="69">
        <f t="shared" si="4"/>
        <v>0</v>
      </c>
      <c r="Y64" s="52">
        <f>+'19.08.2568'!Y64+'20.8.2568'!Y64+'21.08.2568'!Y64+'22.08.2568'!Y64+'23.08.2568'!Y64+'24.082568'!Y64+'25.08.2568'!Y64+'26.08.256'!Y64+'27.08.2568'!Y64+'28.08.2568'!Y64+'29.08.2568'!Y64+'30.08.2568'!Y64+'31.08.2568'!Y64</f>
        <v>0</v>
      </c>
      <c r="Z64" s="64">
        <f t="shared" si="7"/>
        <v>0</v>
      </c>
    </row>
    <row r="65" spans="2:26" hidden="1">
      <c r="B65" s="50">
        <v>1100003</v>
      </c>
      <c r="C65" s="54" t="s">
        <v>186</v>
      </c>
      <c r="D65" s="52">
        <f>+'19.08.2568'!D65+'20.8.2568'!D65+'21.08.2568'!D65+'22.08.2568'!D65+'23.08.2568'!D65+'24.082568'!D65+'25.08.2568'!D65+'26.08.256'!D65+'27.08.2568'!D65+'28.08.2568'!D65+'29.08.2568'!D65+'30.08.2568'!D65+'31.08.2568'!D65</f>
        <v>0</v>
      </c>
      <c r="E65" s="52">
        <f>+'19.08.2568'!E65+'20.8.2568'!E65+'21.08.2568'!E65+'22.08.2568'!E65+'23.08.2568'!E65+'24.082568'!E65+'25.08.2568'!E65+'26.08.256'!E65+'27.08.2568'!E65+'28.08.2568'!E65+'29.08.2568'!E65+'30.08.2568'!E65+'31.08.2568'!E65</f>
        <v>0</v>
      </c>
      <c r="F65" s="69">
        <f t="shared" si="5"/>
        <v>0</v>
      </c>
      <c r="G65" s="52">
        <f>+'19.08.2568'!G65+'20.8.2568'!G65+'21.08.2568'!G65+'22.08.2568'!G65+'23.08.2568'!G65+'24.082568'!G65+'25.08.2568'!G65+'26.08.256'!G65+'27.08.2568'!G65+'28.08.2568'!G65+'29.08.2568'!G65+'30.08.2568'!G65+'31.08.2568'!G65</f>
        <v>0</v>
      </c>
      <c r="H65" s="52">
        <f>+'19.08.2568'!H65+'20.8.2568'!H65+'21.08.2568'!H65+'22.08.2568'!H65+'23.08.2568'!H65+'24.082568'!H65+'25.08.2568'!H65+'26.08.256'!H65+'27.08.2568'!H65+'28.08.2568'!H65+'29.08.2568'!H65+'30.08.2568'!H65+'31.08.2568'!H65</f>
        <v>0</v>
      </c>
      <c r="I65" s="69">
        <f t="shared" si="6"/>
        <v>0</v>
      </c>
      <c r="J65" s="52">
        <f>+'19.08.2568'!J65+'20.8.2568'!J65+'21.08.2568'!J65+'22.08.2568'!J65+'23.08.2568'!J65+'24.082568'!J65+'25.08.2568'!J65+'26.08.256'!J65+'27.08.2568'!J65+'28.08.2568'!J65+'29.08.2568'!J65+'30.08.2568'!J65+'31.08.2568'!J65</f>
        <v>0</v>
      </c>
      <c r="K65" s="52">
        <f>+'19.08.2568'!K65+'20.8.2568'!K65+'21.08.2568'!K65+'22.08.2568'!K65+'23.08.2568'!K65+'24.082568'!K65+'25.08.2568'!K65+'26.08.256'!K65+'27.08.2568'!K65+'28.08.2568'!K65+'29.08.2568'!K65+'30.08.2568'!K65+'31.08.2568'!K65</f>
        <v>0</v>
      </c>
      <c r="L65" s="69">
        <f t="shared" si="0"/>
        <v>0</v>
      </c>
      <c r="M65" s="52">
        <f>+'19.08.2568'!M65+'20.8.2568'!M65+'21.08.2568'!M65+'22.08.2568'!M65+'23.08.2568'!M65+'24.082568'!M65+'25.08.2568'!M65+'26.08.256'!M65+'27.08.2568'!M65+'28.08.2568'!M65+'29.08.2568'!M65+'30.08.2568'!M65+'31.08.2568'!M65</f>
        <v>0</v>
      </c>
      <c r="N65" s="52">
        <f>+'19.08.2568'!N65+'20.8.2568'!N65+'21.08.2568'!N65+'22.08.2568'!N65+'23.08.2568'!N65+'24.082568'!N65+'25.08.2568'!N65+'26.08.256'!N65+'27.08.2568'!N65+'28.08.2568'!N65+'29.08.2568'!N65+'30.08.2568'!N65+'31.08.2568'!N65</f>
        <v>0</v>
      </c>
      <c r="O65" s="69">
        <f t="shared" si="1"/>
        <v>0</v>
      </c>
      <c r="P65" s="52">
        <f>+'19.08.2568'!P65+'20.8.2568'!P65+'21.08.2568'!P65+'22.08.2568'!P65+'23.08.2568'!P65+'24.082568'!P65+'25.08.2568'!P65+'26.08.256'!P65+'27.08.2568'!P65+'28.08.2568'!P65+'29.08.2568'!P65+'30.08.2568'!P65+'31.08.2568'!P65</f>
        <v>0</v>
      </c>
      <c r="Q65" s="52">
        <f>+'19.08.2568'!Q65+'20.8.2568'!Q65+'21.08.2568'!Q65+'22.08.2568'!Q65+'23.08.2568'!Q65+'24.082568'!Q65+'25.08.2568'!Q65+'26.08.256'!Q65+'27.08.2568'!Q65+'28.08.2568'!Q65+'29.08.2568'!Q65+'30.08.2568'!Q65+'31.08.2568'!Q65</f>
        <v>0</v>
      </c>
      <c r="R65" s="69">
        <f t="shared" si="2"/>
        <v>0</v>
      </c>
      <c r="S65" s="52"/>
      <c r="T65" s="52"/>
      <c r="U65" s="69">
        <f t="shared" si="3"/>
        <v>0</v>
      </c>
      <c r="V65" s="52"/>
      <c r="W65" s="52"/>
      <c r="X65" s="69">
        <f t="shared" si="4"/>
        <v>0</v>
      </c>
      <c r="Y65" s="52">
        <f>+'19.08.2568'!Y65+'20.8.2568'!Y65+'21.08.2568'!Y65+'22.08.2568'!Y65+'23.08.2568'!Y65+'24.082568'!Y65+'25.08.2568'!Y65+'26.08.256'!Y65+'27.08.2568'!Y65+'28.08.2568'!Y65+'29.08.2568'!Y65+'30.08.2568'!Y65+'31.08.2568'!Y65</f>
        <v>0</v>
      </c>
      <c r="Z65" s="64">
        <f t="shared" si="7"/>
        <v>0</v>
      </c>
    </row>
    <row r="66" spans="2:26">
      <c r="B66" s="50">
        <v>20039042</v>
      </c>
      <c r="C66" s="54" t="s">
        <v>206</v>
      </c>
      <c r="D66" s="52">
        <f>+'19.08.2568'!D66+'20.8.2568'!D66+'21.08.2568'!D66+'22.08.2568'!D66+'23.08.2568'!D66+'24.082568'!D66+'25.08.2568'!D66+'26.08.256'!D66+'27.08.2568'!D66+'28.08.2568'!D66+'29.08.2568'!D66+'30.08.2568'!D66+'31.08.2568'!D66</f>
        <v>9</v>
      </c>
      <c r="E66" s="52">
        <f>+'19.08.2568'!E66+'20.8.2568'!E66+'21.08.2568'!E66+'22.08.2568'!E66+'23.08.2568'!E66+'24.082568'!E66+'25.08.2568'!E66+'26.08.256'!E66+'27.08.2568'!E66+'28.08.2568'!E66+'29.08.2568'!E66+'30.08.2568'!E66+'31.08.2568'!E66</f>
        <v>0</v>
      </c>
      <c r="F66" s="69">
        <f t="shared" si="5"/>
        <v>9</v>
      </c>
      <c r="G66" s="52">
        <f>+'19.08.2568'!G66+'20.8.2568'!G66+'21.08.2568'!G66+'22.08.2568'!G66+'23.08.2568'!G66+'24.082568'!G66+'25.08.2568'!G66+'26.08.256'!G66+'27.08.2568'!G66+'28.08.2568'!G66+'29.08.2568'!G66+'30.08.2568'!G66+'31.08.2568'!G66</f>
        <v>0</v>
      </c>
      <c r="H66" s="52">
        <f>+'19.08.2568'!H66+'20.8.2568'!H66+'21.08.2568'!H66+'22.08.2568'!H66+'23.08.2568'!H66+'24.082568'!H66+'25.08.2568'!H66+'26.08.256'!H66+'27.08.2568'!H66+'28.08.2568'!H66+'29.08.2568'!H66+'30.08.2568'!H66+'31.08.2568'!H66</f>
        <v>0</v>
      </c>
      <c r="I66" s="69">
        <f t="shared" si="6"/>
        <v>0</v>
      </c>
      <c r="J66" s="52">
        <f>+'19.08.2568'!J66+'20.8.2568'!J66+'21.08.2568'!J66+'22.08.2568'!J66+'23.08.2568'!J66+'24.082568'!J66+'25.08.2568'!J66+'26.08.256'!J66+'27.08.2568'!J66+'28.08.2568'!J66+'29.08.2568'!J66+'30.08.2568'!J66+'31.08.2568'!J66</f>
        <v>0</v>
      </c>
      <c r="K66" s="52">
        <f>+'19.08.2568'!K66+'20.8.2568'!K66+'21.08.2568'!K66+'22.08.2568'!K66+'23.08.2568'!K66+'24.082568'!K66+'25.08.2568'!K66+'26.08.256'!K66+'27.08.2568'!K66+'28.08.2568'!K66+'29.08.2568'!K66+'30.08.2568'!K66+'31.08.2568'!K66</f>
        <v>0</v>
      </c>
      <c r="L66" s="69">
        <f t="shared" si="0"/>
        <v>0</v>
      </c>
      <c r="M66" s="52">
        <f>+'19.08.2568'!M66+'20.8.2568'!M66+'21.08.2568'!M66+'22.08.2568'!M66+'23.08.2568'!M66+'24.082568'!M66+'25.08.2568'!M66+'26.08.256'!M66+'27.08.2568'!M66+'28.08.2568'!M66+'29.08.2568'!M66+'30.08.2568'!M66+'31.08.2568'!M66</f>
        <v>93</v>
      </c>
      <c r="N66" s="52">
        <f>+'19.08.2568'!N66+'20.8.2568'!N66+'21.08.2568'!N66+'22.08.2568'!N66+'23.08.2568'!N66+'24.082568'!N66+'25.08.2568'!N66+'26.08.256'!N66+'27.08.2568'!N66+'28.08.2568'!N66+'29.08.2568'!N66+'30.08.2568'!N66+'31.08.2568'!N66</f>
        <v>0</v>
      </c>
      <c r="O66" s="69">
        <f t="shared" si="1"/>
        <v>93</v>
      </c>
      <c r="P66" s="52">
        <f>+'19.08.2568'!P66+'20.8.2568'!P66+'21.08.2568'!P66+'22.08.2568'!P66+'23.08.2568'!P66+'24.082568'!P66+'25.08.2568'!P66+'26.08.256'!P66+'27.08.2568'!P66+'28.08.2568'!P66+'29.08.2568'!P66+'30.08.2568'!P66+'31.08.2568'!P66</f>
        <v>0</v>
      </c>
      <c r="Q66" s="52">
        <f>+'19.08.2568'!Q66+'20.8.2568'!Q66+'21.08.2568'!Q66+'22.08.2568'!Q66+'23.08.2568'!Q66+'24.082568'!Q66+'25.08.2568'!Q66+'26.08.256'!Q66+'27.08.2568'!Q66+'28.08.2568'!Q66+'29.08.2568'!Q66+'30.08.2568'!Q66+'31.08.2568'!Q66</f>
        <v>0</v>
      </c>
      <c r="R66" s="69">
        <f t="shared" si="2"/>
        <v>0</v>
      </c>
      <c r="S66" s="52"/>
      <c r="T66" s="52"/>
      <c r="U66" s="69">
        <f t="shared" si="3"/>
        <v>0</v>
      </c>
      <c r="V66" s="52"/>
      <c r="W66" s="52"/>
      <c r="X66" s="69">
        <f t="shared" si="4"/>
        <v>0</v>
      </c>
      <c r="Y66" s="52">
        <f>+'19.08.2568'!Y66+'20.8.2568'!Y66+'21.08.2568'!Y66+'22.08.2568'!Y66+'23.08.2568'!Y66+'24.082568'!Y66+'25.08.2568'!Y66+'26.08.256'!Y66+'27.08.2568'!Y66+'28.08.2568'!Y66+'29.08.2568'!Y66+'30.08.2568'!Y66+'31.08.2568'!Y66</f>
        <v>0</v>
      </c>
      <c r="Z66" s="75">
        <f t="shared" si="7"/>
        <v>102</v>
      </c>
    </row>
    <row r="67" spans="2:26">
      <c r="B67" s="50">
        <v>1114501</v>
      </c>
      <c r="C67" s="54" t="s">
        <v>187</v>
      </c>
      <c r="D67" s="52">
        <f>+'19.08.2568'!D67+'20.8.2568'!D67+'21.08.2568'!D67+'22.08.2568'!D67+'23.08.2568'!D67+'24.082568'!D67+'25.08.2568'!D67+'26.08.256'!D67+'27.08.2568'!D67+'28.08.2568'!D67+'29.08.2568'!D67+'30.08.2568'!D67+'31.08.2568'!D67</f>
        <v>15</v>
      </c>
      <c r="E67" s="52">
        <f>+'19.08.2568'!E67+'20.8.2568'!E67+'21.08.2568'!E67+'22.08.2568'!E67+'23.08.2568'!E67+'24.082568'!E67+'25.08.2568'!E67+'26.08.256'!E67+'27.08.2568'!E67+'28.08.2568'!E67+'29.08.2568'!E67+'30.08.2568'!E67+'31.08.2568'!E67</f>
        <v>0</v>
      </c>
      <c r="F67" s="69">
        <f t="shared" si="5"/>
        <v>15</v>
      </c>
      <c r="G67" s="52">
        <f>+'19.08.2568'!G67+'20.8.2568'!G67+'21.08.2568'!G67+'22.08.2568'!G67+'23.08.2568'!G67+'24.082568'!G67+'25.08.2568'!G67+'26.08.256'!G67+'27.08.2568'!G67+'28.08.2568'!G67+'29.08.2568'!G67+'30.08.2568'!G67+'31.08.2568'!G67</f>
        <v>84</v>
      </c>
      <c r="H67" s="52">
        <f>+'19.08.2568'!H67+'20.8.2568'!H67+'21.08.2568'!H67+'22.08.2568'!H67+'23.08.2568'!H67+'24.082568'!H67+'25.08.2568'!H67+'26.08.256'!H67+'27.08.2568'!H67+'28.08.2568'!H67+'29.08.2568'!H67+'30.08.2568'!H67+'31.08.2568'!H67</f>
        <v>0</v>
      </c>
      <c r="I67" s="69">
        <f t="shared" si="6"/>
        <v>84</v>
      </c>
      <c r="J67" s="52">
        <f>+'19.08.2568'!J67+'20.8.2568'!J67+'21.08.2568'!J67+'22.08.2568'!J67+'23.08.2568'!J67+'24.082568'!J67+'25.08.2568'!J67+'26.08.256'!J67+'27.08.2568'!J67+'28.08.2568'!J67+'29.08.2568'!J67+'30.08.2568'!J67+'31.08.2568'!J67</f>
        <v>23</v>
      </c>
      <c r="K67" s="52">
        <f>+'19.08.2568'!K67+'20.8.2568'!K67+'21.08.2568'!K67+'22.08.2568'!K67+'23.08.2568'!K67+'24.082568'!K67+'25.08.2568'!K67+'26.08.256'!K67+'27.08.2568'!K67+'28.08.2568'!K67+'29.08.2568'!K67+'30.08.2568'!K67+'31.08.2568'!K67</f>
        <v>0</v>
      </c>
      <c r="L67" s="69">
        <f t="shared" si="0"/>
        <v>23</v>
      </c>
      <c r="M67" s="52">
        <f>+'19.08.2568'!M67+'20.8.2568'!M67+'21.08.2568'!M67+'22.08.2568'!M67+'23.08.2568'!M67+'24.082568'!M67+'25.08.2568'!M67+'26.08.256'!M67+'27.08.2568'!M67+'28.08.2568'!M67+'29.08.2568'!M67+'30.08.2568'!M67+'31.08.2568'!M67</f>
        <v>1024</v>
      </c>
      <c r="N67" s="52">
        <f>+'19.08.2568'!N67+'20.8.2568'!N67+'21.08.2568'!N67+'22.08.2568'!N67+'23.08.2568'!N67+'24.082568'!N67+'25.08.2568'!N67+'26.08.256'!N67+'27.08.2568'!N67+'28.08.2568'!N67+'29.08.2568'!N67+'30.08.2568'!N67+'31.08.2568'!N67</f>
        <v>2</v>
      </c>
      <c r="O67" s="69">
        <f t="shared" si="1"/>
        <v>1026</v>
      </c>
      <c r="P67" s="52">
        <f>+'19.08.2568'!P67+'20.8.2568'!P67+'21.08.2568'!P67+'22.08.2568'!P67+'23.08.2568'!P67+'24.082568'!P67+'25.08.2568'!P67+'26.08.256'!P67+'27.08.2568'!P67+'28.08.2568'!P67+'29.08.2568'!P67+'30.08.2568'!P67+'31.08.2568'!P67</f>
        <v>5</v>
      </c>
      <c r="Q67" s="52">
        <f>+'19.08.2568'!Q67+'20.8.2568'!Q67+'21.08.2568'!Q67+'22.08.2568'!Q67+'23.08.2568'!Q67+'24.082568'!Q67+'25.08.2568'!Q67+'26.08.256'!Q67+'27.08.2568'!Q67+'28.08.2568'!Q67+'29.08.2568'!Q67+'30.08.2568'!Q67+'31.08.2568'!Q67</f>
        <v>0</v>
      </c>
      <c r="R67" s="69">
        <f t="shared" si="2"/>
        <v>5</v>
      </c>
      <c r="S67" s="52"/>
      <c r="T67" s="52"/>
      <c r="U67" s="69">
        <f t="shared" si="3"/>
        <v>0</v>
      </c>
      <c r="V67" s="52"/>
      <c r="W67" s="52"/>
      <c r="X67" s="69">
        <f t="shared" si="4"/>
        <v>0</v>
      </c>
      <c r="Y67" s="52">
        <f>+'19.08.2568'!Y67+'20.8.2568'!Y67+'21.08.2568'!Y67+'22.08.2568'!Y67+'23.08.2568'!Y67+'24.082568'!Y67+'25.08.2568'!Y67+'26.08.256'!Y67+'27.08.2568'!Y67+'28.08.2568'!Y67+'29.08.2568'!Y67+'30.08.2568'!Y67+'31.08.2568'!Y67</f>
        <v>0</v>
      </c>
      <c r="Z67" s="75">
        <f t="shared" si="7"/>
        <v>1153</v>
      </c>
    </row>
    <row r="68" spans="2:26">
      <c r="B68" s="50">
        <v>1114502</v>
      </c>
      <c r="C68" s="54" t="s">
        <v>188</v>
      </c>
      <c r="D68" s="52">
        <f>+'19.08.2568'!D68+'20.8.2568'!D68+'21.08.2568'!D68+'22.08.2568'!D68+'23.08.2568'!D68+'24.082568'!D68+'25.08.2568'!D68+'26.08.256'!D68+'27.08.2568'!D68+'28.08.2568'!D68+'29.08.2568'!D68+'30.08.2568'!D68+'31.08.2568'!D68</f>
        <v>8</v>
      </c>
      <c r="E68" s="52">
        <f>+'19.08.2568'!E68+'20.8.2568'!E68+'21.08.2568'!E68+'22.08.2568'!E68+'23.08.2568'!E68+'24.082568'!E68+'25.08.2568'!E68+'26.08.256'!E68+'27.08.2568'!E68+'28.08.2568'!E68+'29.08.2568'!E68+'30.08.2568'!E68+'31.08.2568'!E68</f>
        <v>0</v>
      </c>
      <c r="F68" s="69">
        <f t="shared" si="5"/>
        <v>8</v>
      </c>
      <c r="G68" s="52">
        <f>+'19.08.2568'!G68+'20.8.2568'!G68+'21.08.2568'!G68+'22.08.2568'!G68+'23.08.2568'!G68+'24.082568'!G68+'25.08.2568'!G68+'26.08.256'!G68+'27.08.2568'!G68+'28.08.2568'!G68+'29.08.2568'!G68+'30.08.2568'!G68+'31.08.2568'!G68</f>
        <v>33</v>
      </c>
      <c r="H68" s="52">
        <f>+'19.08.2568'!H68+'20.8.2568'!H68+'21.08.2568'!H68+'22.08.2568'!H68+'23.08.2568'!H68+'24.082568'!H68+'25.08.2568'!H68+'26.08.256'!H68+'27.08.2568'!H68+'28.08.2568'!H68+'29.08.2568'!H68+'30.08.2568'!H68+'31.08.2568'!H68</f>
        <v>0</v>
      </c>
      <c r="I68" s="69">
        <f t="shared" si="6"/>
        <v>33</v>
      </c>
      <c r="J68" s="52">
        <f>+'19.08.2568'!J68+'20.8.2568'!J68+'21.08.2568'!J68+'22.08.2568'!J68+'23.08.2568'!J68+'24.082568'!J68+'25.08.2568'!J68+'26.08.256'!J68+'27.08.2568'!J68+'28.08.2568'!J68+'29.08.2568'!J68+'30.08.2568'!J68+'31.08.2568'!J68</f>
        <v>32</v>
      </c>
      <c r="K68" s="52">
        <f>+'19.08.2568'!K68+'20.8.2568'!K68+'21.08.2568'!K68+'22.08.2568'!K68+'23.08.2568'!K68+'24.082568'!K68+'25.08.2568'!K68+'26.08.256'!K68+'27.08.2568'!K68+'28.08.2568'!K68+'29.08.2568'!K68+'30.08.2568'!K68+'31.08.2568'!K68</f>
        <v>0</v>
      </c>
      <c r="L68" s="69">
        <f t="shared" si="0"/>
        <v>32</v>
      </c>
      <c r="M68" s="52">
        <f>+'19.08.2568'!M68+'20.8.2568'!M68+'21.08.2568'!M68+'22.08.2568'!M68+'23.08.2568'!M68+'24.082568'!M68+'25.08.2568'!M68+'26.08.256'!M68+'27.08.2568'!M68+'28.08.2568'!M68+'29.08.2568'!M68+'30.08.2568'!M68+'31.08.2568'!M68</f>
        <v>1051</v>
      </c>
      <c r="N68" s="52">
        <f>+'19.08.2568'!N68+'20.8.2568'!N68+'21.08.2568'!N68+'22.08.2568'!N68+'23.08.2568'!N68+'24.082568'!N68+'25.08.2568'!N68+'26.08.256'!N68+'27.08.2568'!N68+'28.08.2568'!N68+'29.08.2568'!N68+'30.08.2568'!N68+'31.08.2568'!N68</f>
        <v>2</v>
      </c>
      <c r="O68" s="69">
        <f t="shared" si="1"/>
        <v>1053</v>
      </c>
      <c r="P68" s="52">
        <f>+'19.08.2568'!P68+'20.8.2568'!P68+'21.08.2568'!P68+'22.08.2568'!P68+'23.08.2568'!P68+'24.082568'!P68+'25.08.2568'!P68+'26.08.256'!P68+'27.08.2568'!P68+'28.08.2568'!P68+'29.08.2568'!P68+'30.08.2568'!P68+'31.08.2568'!P68</f>
        <v>5</v>
      </c>
      <c r="Q68" s="52">
        <f>+'19.08.2568'!Q68+'20.8.2568'!Q68+'21.08.2568'!Q68+'22.08.2568'!Q68+'23.08.2568'!Q68+'24.082568'!Q68+'25.08.2568'!Q68+'26.08.256'!Q68+'27.08.2568'!Q68+'28.08.2568'!Q68+'29.08.2568'!Q68+'30.08.2568'!Q68+'31.08.2568'!Q68</f>
        <v>0</v>
      </c>
      <c r="R68" s="69">
        <f t="shared" si="2"/>
        <v>5</v>
      </c>
      <c r="S68" s="52"/>
      <c r="T68" s="52"/>
      <c r="U68" s="69">
        <f t="shared" si="3"/>
        <v>0</v>
      </c>
      <c r="V68" s="52"/>
      <c r="W68" s="52"/>
      <c r="X68" s="69">
        <f t="shared" si="4"/>
        <v>0</v>
      </c>
      <c r="Y68" s="52">
        <f>+'19.08.2568'!Y68+'20.8.2568'!Y68+'21.08.2568'!Y68+'22.08.2568'!Y68+'23.08.2568'!Y68+'24.082568'!Y68+'25.08.2568'!Y68+'26.08.256'!Y68+'27.08.2568'!Y68+'28.08.2568'!Y68+'29.08.2568'!Y68+'30.08.2568'!Y68+'31.08.2568'!Y68</f>
        <v>0</v>
      </c>
      <c r="Z68" s="75">
        <f t="shared" si="7"/>
        <v>1131</v>
      </c>
    </row>
    <row r="69" spans="2:26">
      <c r="B69" s="50">
        <v>1114503</v>
      </c>
      <c r="C69" s="54" t="s">
        <v>189</v>
      </c>
      <c r="D69" s="52">
        <f>+'19.08.2568'!D69+'20.8.2568'!D69+'21.08.2568'!D69+'22.08.2568'!D69+'23.08.2568'!D69+'24.082568'!D69+'25.08.2568'!D69+'26.08.256'!D69+'27.08.2568'!D69+'28.08.2568'!D69+'29.08.2568'!D69+'30.08.2568'!D69+'31.08.2568'!D69</f>
        <v>1</v>
      </c>
      <c r="E69" s="52">
        <f>+'19.08.2568'!E69+'20.8.2568'!E69+'21.08.2568'!E69+'22.08.2568'!E69+'23.08.2568'!E69+'24.082568'!E69+'25.08.2568'!E69+'26.08.256'!E69+'27.08.2568'!E69+'28.08.2568'!E69+'29.08.2568'!E69+'30.08.2568'!E69+'31.08.2568'!E69</f>
        <v>0</v>
      </c>
      <c r="F69" s="69">
        <f t="shared" ref="F69:F99" si="8">SUM(D69:E69)</f>
        <v>1</v>
      </c>
      <c r="G69" s="52">
        <f>+'19.08.2568'!G69+'20.8.2568'!G69+'21.08.2568'!G69+'22.08.2568'!G69+'23.08.2568'!G69+'24.082568'!G69+'25.08.2568'!G69+'26.08.256'!G69+'27.08.2568'!G69+'28.08.2568'!G69+'29.08.2568'!G69+'30.08.2568'!G69+'31.08.2568'!G69</f>
        <v>34</v>
      </c>
      <c r="H69" s="52">
        <f>+'19.08.2568'!H69+'20.8.2568'!H69+'21.08.2568'!H69+'22.08.2568'!H69+'23.08.2568'!H69+'24.082568'!H69+'25.08.2568'!H69+'26.08.256'!H69+'27.08.2568'!H69+'28.08.2568'!H69+'29.08.2568'!H69+'30.08.2568'!H69+'31.08.2568'!H69</f>
        <v>0</v>
      </c>
      <c r="I69" s="69">
        <f t="shared" ref="I69:I99" si="9">SUM(G69:H69)</f>
        <v>34</v>
      </c>
      <c r="J69" s="52">
        <f>+'19.08.2568'!J69+'20.8.2568'!J69+'21.08.2568'!J69+'22.08.2568'!J69+'23.08.2568'!J69+'24.082568'!J69+'25.08.2568'!J69+'26.08.256'!J69+'27.08.2568'!J69+'28.08.2568'!J69+'29.08.2568'!J69+'30.08.2568'!J69+'31.08.2568'!J69</f>
        <v>15</v>
      </c>
      <c r="K69" s="52">
        <f>+'19.08.2568'!K69+'20.8.2568'!K69+'21.08.2568'!K69+'22.08.2568'!K69+'23.08.2568'!K69+'24.082568'!K69+'25.08.2568'!K69+'26.08.256'!K69+'27.08.2568'!K69+'28.08.2568'!K69+'29.08.2568'!K69+'30.08.2568'!K69+'31.08.2568'!K69</f>
        <v>0</v>
      </c>
      <c r="L69" s="69">
        <f t="shared" ref="L69:L99" si="10">SUM(J69:K69)</f>
        <v>15</v>
      </c>
      <c r="M69" s="52">
        <f>+'19.08.2568'!M69+'20.8.2568'!M69+'21.08.2568'!M69+'22.08.2568'!M69+'23.08.2568'!M69+'24.082568'!M69+'25.08.2568'!M69+'26.08.256'!M69+'27.08.2568'!M69+'28.08.2568'!M69+'29.08.2568'!M69+'30.08.2568'!M69+'31.08.2568'!M69</f>
        <v>1036</v>
      </c>
      <c r="N69" s="52">
        <f>+'19.08.2568'!N69+'20.8.2568'!N69+'21.08.2568'!N69+'22.08.2568'!N69+'23.08.2568'!N69+'24.082568'!N69+'25.08.2568'!N69+'26.08.256'!N69+'27.08.2568'!N69+'28.08.2568'!N69+'29.08.2568'!N69+'30.08.2568'!N69+'31.08.2568'!N69</f>
        <v>2</v>
      </c>
      <c r="O69" s="69">
        <f t="shared" ref="O69:O99" si="11">SUM(M69:N69)</f>
        <v>1038</v>
      </c>
      <c r="P69" s="52">
        <f>+'19.08.2568'!P69+'20.8.2568'!P69+'21.08.2568'!P69+'22.08.2568'!P69+'23.08.2568'!P69+'24.082568'!P69+'25.08.2568'!P69+'26.08.256'!P69+'27.08.2568'!P69+'28.08.2568'!P69+'29.08.2568'!P69+'30.08.2568'!P69+'31.08.2568'!P69</f>
        <v>5</v>
      </c>
      <c r="Q69" s="52">
        <f>+'19.08.2568'!Q69+'20.8.2568'!Q69+'21.08.2568'!Q69+'22.08.2568'!Q69+'23.08.2568'!Q69+'24.082568'!Q69+'25.08.2568'!Q69+'26.08.256'!Q69+'27.08.2568'!Q69+'28.08.2568'!Q69+'29.08.2568'!Q69+'30.08.2568'!Q69+'31.08.2568'!Q69</f>
        <v>0</v>
      </c>
      <c r="R69" s="69">
        <f t="shared" ref="R69:R99" si="12">SUM(P69:Q69)</f>
        <v>5</v>
      </c>
      <c r="S69" s="52"/>
      <c r="T69" s="52"/>
      <c r="U69" s="69">
        <f t="shared" ref="U69:U99" si="13">SUM(S69:T69)</f>
        <v>0</v>
      </c>
      <c r="V69" s="52"/>
      <c r="W69" s="52"/>
      <c r="X69" s="69">
        <f t="shared" ref="X69:X99" si="14">SUM(V69:W69)</f>
        <v>0</v>
      </c>
      <c r="Y69" s="52">
        <f>+'19.08.2568'!Y69+'20.8.2568'!Y69+'21.08.2568'!Y69+'22.08.2568'!Y69+'23.08.2568'!Y69+'24.082568'!Y69+'25.08.2568'!Y69+'26.08.256'!Y69+'27.08.2568'!Y69+'28.08.2568'!Y69+'29.08.2568'!Y69+'30.08.2568'!Y69+'31.08.2568'!Y69</f>
        <v>0</v>
      </c>
      <c r="Z69" s="75">
        <f t="shared" ref="Z69:Z70" si="15">+F69+I69+L69+O69+R69+U69+X69+Y69</f>
        <v>1093</v>
      </c>
    </row>
    <row r="70" spans="2:26">
      <c r="B70" s="50">
        <v>1124021</v>
      </c>
      <c r="C70" s="54" t="s">
        <v>190</v>
      </c>
      <c r="D70" s="52">
        <f>+'19.08.2568'!D70+'20.8.2568'!D70+'21.08.2568'!D70+'22.08.2568'!D70+'23.08.2568'!D70+'24.082568'!D70+'25.08.2568'!D70+'26.08.256'!D70+'27.08.2568'!D70+'28.08.2568'!D70+'29.08.2568'!D70+'30.08.2568'!D70+'31.08.2568'!D70</f>
        <v>3</v>
      </c>
      <c r="E70" s="52">
        <f>+'19.08.2568'!E70+'20.8.2568'!E70+'21.08.2568'!E70+'22.08.2568'!E70+'23.08.2568'!E70+'24.082568'!E70+'25.08.2568'!E70+'26.08.256'!E70+'27.08.2568'!E70+'28.08.2568'!E70+'29.08.2568'!E70+'30.08.2568'!E70+'31.08.2568'!E70</f>
        <v>0</v>
      </c>
      <c r="F70" s="69">
        <f t="shared" si="8"/>
        <v>3</v>
      </c>
      <c r="G70" s="52">
        <f>+'19.08.2568'!G70+'20.8.2568'!G70+'21.08.2568'!G70+'22.08.2568'!G70+'23.08.2568'!G70+'24.082568'!G70+'25.08.2568'!G70+'26.08.256'!G70+'27.08.2568'!G70+'28.08.2568'!G70+'29.08.2568'!G70+'30.08.2568'!G70+'31.08.2568'!G70</f>
        <v>219</v>
      </c>
      <c r="H70" s="52">
        <f>+'19.08.2568'!H70+'20.8.2568'!H70+'21.08.2568'!H70+'22.08.2568'!H70+'23.08.2568'!H70+'24.082568'!H70+'25.08.2568'!H70+'26.08.256'!H70+'27.08.2568'!H70+'28.08.2568'!H70+'29.08.2568'!H70+'30.08.2568'!H70+'31.08.2568'!H70</f>
        <v>0</v>
      </c>
      <c r="I70" s="69">
        <f t="shared" si="9"/>
        <v>219</v>
      </c>
      <c r="J70" s="52">
        <f>+'19.08.2568'!J70+'20.8.2568'!J70+'21.08.2568'!J70+'22.08.2568'!J70+'23.08.2568'!J70+'24.082568'!J70+'25.08.2568'!J70+'26.08.256'!J70+'27.08.2568'!J70+'28.08.2568'!J70+'29.08.2568'!J70+'30.08.2568'!J70+'31.08.2568'!J70</f>
        <v>40</v>
      </c>
      <c r="K70" s="52">
        <f>+'19.08.2568'!K70+'20.8.2568'!K70+'21.08.2568'!K70+'22.08.2568'!K70+'23.08.2568'!K70+'24.082568'!K70+'25.08.2568'!K70+'26.08.256'!K70+'27.08.2568'!K70+'28.08.2568'!K70+'29.08.2568'!K70+'30.08.2568'!K70+'31.08.2568'!K70</f>
        <v>0</v>
      </c>
      <c r="L70" s="69">
        <f t="shared" si="10"/>
        <v>40</v>
      </c>
      <c r="M70" s="52">
        <f>+'19.08.2568'!M70+'20.8.2568'!M70+'21.08.2568'!M70+'22.08.2568'!M70+'23.08.2568'!M70+'24.082568'!M70+'25.08.2568'!M70+'26.08.256'!M70+'27.08.2568'!M70+'28.08.2568'!M70+'29.08.2568'!M70+'30.08.2568'!M70+'31.08.2568'!M70</f>
        <v>378</v>
      </c>
      <c r="N70" s="52">
        <f>+'19.08.2568'!N70+'20.8.2568'!N70+'21.08.2568'!N70+'22.08.2568'!N70+'23.08.2568'!N70+'24.082568'!N70+'25.08.2568'!N70+'26.08.256'!N70+'27.08.2568'!N70+'28.08.2568'!N70+'29.08.2568'!N70+'30.08.2568'!N70+'31.08.2568'!N70</f>
        <v>0</v>
      </c>
      <c r="O70" s="69">
        <f t="shared" si="11"/>
        <v>378</v>
      </c>
      <c r="P70" s="52">
        <f>+'19.08.2568'!P70+'20.8.2568'!P70+'21.08.2568'!P70+'22.08.2568'!P70+'23.08.2568'!P70+'24.082568'!P70+'25.08.2568'!P70+'26.08.256'!P70+'27.08.2568'!P70+'28.08.2568'!P70+'29.08.2568'!P70+'30.08.2568'!P70+'31.08.2568'!P70</f>
        <v>13</v>
      </c>
      <c r="Q70" s="52">
        <f>+'19.08.2568'!Q70+'20.8.2568'!Q70+'21.08.2568'!Q70+'22.08.2568'!Q70+'23.08.2568'!Q70+'24.082568'!Q70+'25.08.2568'!Q70+'26.08.256'!Q70+'27.08.2568'!Q70+'28.08.2568'!Q70+'29.08.2568'!Q70+'30.08.2568'!Q70+'31.08.2568'!Q70</f>
        <v>0</v>
      </c>
      <c r="R70" s="69">
        <f t="shared" si="12"/>
        <v>13</v>
      </c>
      <c r="S70" s="52"/>
      <c r="T70" s="52"/>
      <c r="U70" s="69">
        <f t="shared" si="13"/>
        <v>0</v>
      </c>
      <c r="V70" s="52"/>
      <c r="W70" s="52"/>
      <c r="X70" s="69">
        <f t="shared" si="14"/>
        <v>0</v>
      </c>
      <c r="Y70" s="52">
        <f>+'19.08.2568'!Y70+'20.8.2568'!Y70+'21.08.2568'!Y70+'22.08.2568'!Y70+'23.08.2568'!Y70+'24.082568'!Y70+'25.08.2568'!Y70+'26.08.256'!Y70+'27.08.2568'!Y70+'28.08.2568'!Y70+'29.08.2568'!Y70+'30.08.2568'!Y70+'31.08.2568'!Y70</f>
        <v>0</v>
      </c>
      <c r="Z70" s="75">
        <f t="shared" si="15"/>
        <v>653</v>
      </c>
    </row>
    <row r="71" spans="2:26" hidden="1">
      <c r="B71" s="50">
        <v>1005761</v>
      </c>
      <c r="C71" s="54" t="s">
        <v>191</v>
      </c>
      <c r="D71" s="52">
        <f>+'19.08.2568'!D71+'20.8.2568'!D71+'21.08.2568'!D71+'22.08.2568'!D71+'23.08.2568'!D71+'24.082568'!D71+'25.08.2568'!D71+'26.08.256'!D71+'27.08.2568'!D71+'28.08.2568'!D71+'29.08.2568'!D71+'30.08.2568'!D71+'31.08.2568'!D71</f>
        <v>0</v>
      </c>
      <c r="E71" s="52">
        <f>+'19.08.2568'!E71+'20.8.2568'!E71+'21.08.2568'!E71+'22.08.2568'!E71+'23.08.2568'!E71+'24.082568'!E71+'25.08.2568'!E71+'26.08.256'!E71+'27.08.2568'!E71+'28.08.2568'!E71+'29.08.2568'!E71+'30.08.2568'!E71+'31.08.2568'!E71</f>
        <v>0</v>
      </c>
      <c r="F71" s="69">
        <f t="shared" si="8"/>
        <v>0</v>
      </c>
      <c r="G71" s="52">
        <f>+'19.08.2568'!G71+'20.8.2568'!G71+'21.08.2568'!G71+'22.08.2568'!G71+'23.08.2568'!G71+'24.082568'!G71+'25.08.2568'!G71+'26.08.256'!G71+'27.08.2568'!G71+'28.08.2568'!G71+'29.08.2568'!G71+'30.08.2568'!G71+'31.08.2568'!G71</f>
        <v>0</v>
      </c>
      <c r="H71" s="52">
        <f>+'19.08.2568'!H71+'20.8.2568'!H71+'21.08.2568'!H71+'22.08.2568'!H71+'23.08.2568'!H71+'24.082568'!H71+'25.08.2568'!H71+'26.08.256'!H71+'27.08.2568'!H71+'28.08.2568'!H71+'29.08.2568'!H71+'30.08.2568'!H71+'31.08.2568'!H71</f>
        <v>0</v>
      </c>
      <c r="I71" s="69">
        <f t="shared" si="9"/>
        <v>0</v>
      </c>
      <c r="J71" s="52">
        <f>+'19.08.2568'!J71+'20.8.2568'!J71+'21.08.2568'!J71+'22.08.2568'!J71+'23.08.2568'!J71+'24.082568'!J71+'25.08.2568'!J71+'26.08.256'!J71+'27.08.2568'!J71+'28.08.2568'!J71+'29.08.2568'!J71+'30.08.2568'!J71+'31.08.2568'!J71</f>
        <v>0</v>
      </c>
      <c r="K71" s="52">
        <f>+'19.08.2568'!K71+'20.8.2568'!K71+'21.08.2568'!K71+'22.08.2568'!K71+'23.08.2568'!K71+'24.082568'!K71+'25.08.2568'!K71+'26.08.256'!K71+'27.08.2568'!K71+'28.08.2568'!K71+'29.08.2568'!K71+'30.08.2568'!K71+'31.08.2568'!K71</f>
        <v>0</v>
      </c>
      <c r="L71" s="69">
        <f t="shared" si="10"/>
        <v>0</v>
      </c>
      <c r="M71" s="52">
        <f>+'19.08.2568'!M71+'20.8.2568'!M71+'21.08.2568'!M71+'22.08.2568'!M71+'23.08.2568'!M71+'24.082568'!M71+'25.08.2568'!M71+'26.08.256'!M71+'27.08.2568'!M71+'28.08.2568'!M71+'29.08.2568'!M71+'30.08.2568'!M71+'31.08.2568'!M71</f>
        <v>0</v>
      </c>
      <c r="N71" s="52">
        <f>+'19.08.2568'!N71+'20.8.2568'!N71+'21.08.2568'!N71+'22.08.2568'!N71+'23.08.2568'!N71+'24.082568'!N71+'25.08.2568'!N71+'26.08.256'!N71+'27.08.2568'!N71+'28.08.2568'!N71+'29.08.2568'!N71+'30.08.2568'!N71+'31.08.2568'!N71</f>
        <v>0</v>
      </c>
      <c r="O71" s="69">
        <f t="shared" si="11"/>
        <v>0</v>
      </c>
      <c r="P71" s="52">
        <f>+'19.08.2568'!P71+'20.8.2568'!P71+'21.08.2568'!P71+'22.08.2568'!P71+'23.08.2568'!P71+'24.082568'!P71+'25.08.2568'!P71+'26.08.256'!P71+'27.08.2568'!P71+'28.08.2568'!P71+'29.08.2568'!P71+'30.08.2568'!P71+'31.08.2568'!P71</f>
        <v>0</v>
      </c>
      <c r="Q71" s="52">
        <f>+'19.08.2568'!Q71+'20.8.2568'!Q71+'21.08.2568'!Q71+'22.08.2568'!Q71+'23.08.2568'!Q71+'24.082568'!Q71+'25.08.2568'!Q71+'26.08.256'!Q71+'27.08.2568'!Q71+'28.08.2568'!Q71+'29.08.2568'!Q71+'30.08.2568'!Q71+'31.08.2568'!Q71</f>
        <v>0</v>
      </c>
      <c r="R71" s="69">
        <f t="shared" si="12"/>
        <v>0</v>
      </c>
      <c r="S71" s="52"/>
      <c r="T71" s="52"/>
      <c r="U71" s="69">
        <f t="shared" si="13"/>
        <v>0</v>
      </c>
      <c r="V71" s="52"/>
      <c r="W71" s="52"/>
      <c r="X71" s="69">
        <f t="shared" si="14"/>
        <v>0</v>
      </c>
      <c r="Y71" s="52">
        <f>+'19.08.2568'!Y71+'20.8.2568'!Y71+'21.08.2568'!Y71+'22.08.2568'!Y71+'23.08.2568'!Y71+'24.082568'!Y71+'25.08.2568'!Y71+'26.08.256'!Y71+'27.08.2568'!Y71+'28.08.2568'!Y71+'29.08.2568'!Y71+'30.08.2568'!Y71+'31.08.2568'!Y71</f>
        <v>0</v>
      </c>
      <c r="Z71" s="64">
        <f t="shared" ref="Z71:Z99" si="16">+F71+I71+L71+O71+R71+U71+X71+Y71</f>
        <v>0</v>
      </c>
    </row>
    <row r="72" spans="2:26" hidden="1">
      <c r="B72" s="50">
        <v>1100001</v>
      </c>
      <c r="C72" s="54" t="s">
        <v>192</v>
      </c>
      <c r="D72" s="52">
        <f>+'19.08.2568'!D72+'20.8.2568'!D72+'21.08.2568'!D72+'22.08.2568'!D72+'23.08.2568'!D72+'24.082568'!D72+'25.08.2568'!D72+'26.08.256'!D72+'27.08.2568'!D72+'28.08.2568'!D72+'29.08.2568'!D72+'30.08.2568'!D72+'31.08.2568'!D72</f>
        <v>0</v>
      </c>
      <c r="E72" s="52">
        <f>+'19.08.2568'!E72+'20.8.2568'!E72+'21.08.2568'!E72+'22.08.2568'!E72+'23.08.2568'!E72+'24.082568'!E72+'25.08.2568'!E72+'26.08.256'!E72+'27.08.2568'!E72+'28.08.2568'!E72+'29.08.2568'!E72+'30.08.2568'!E72+'31.08.2568'!E72</f>
        <v>0</v>
      </c>
      <c r="F72" s="69">
        <f t="shared" si="8"/>
        <v>0</v>
      </c>
      <c r="G72" s="52">
        <f>+'19.08.2568'!G72+'20.8.2568'!G72+'21.08.2568'!G72+'22.08.2568'!G72+'23.08.2568'!G72+'24.082568'!G72+'25.08.2568'!G72+'26.08.256'!G72+'27.08.2568'!G72+'28.08.2568'!G72+'29.08.2568'!G72+'30.08.2568'!G72+'31.08.2568'!G72</f>
        <v>0</v>
      </c>
      <c r="H72" s="52">
        <f>+'19.08.2568'!H72+'20.8.2568'!H72+'21.08.2568'!H72+'22.08.2568'!H72+'23.08.2568'!H72+'24.082568'!H72+'25.08.2568'!H72+'26.08.256'!H72+'27.08.2568'!H72+'28.08.2568'!H72+'29.08.2568'!H72+'30.08.2568'!H72+'31.08.2568'!H72</f>
        <v>0</v>
      </c>
      <c r="I72" s="69">
        <f t="shared" si="9"/>
        <v>0</v>
      </c>
      <c r="J72" s="52">
        <f>+'19.08.2568'!J72+'20.8.2568'!J72+'21.08.2568'!J72+'22.08.2568'!J72+'23.08.2568'!J72+'24.082568'!J72+'25.08.2568'!J72+'26.08.256'!J72+'27.08.2568'!J72+'28.08.2568'!J72+'29.08.2568'!J72+'30.08.2568'!J72+'31.08.2568'!J72</f>
        <v>0</v>
      </c>
      <c r="K72" s="52">
        <f>+'19.08.2568'!K72+'20.8.2568'!K72+'21.08.2568'!K72+'22.08.2568'!K72+'23.08.2568'!K72+'24.082568'!K72+'25.08.2568'!K72+'26.08.256'!K72+'27.08.2568'!K72+'28.08.2568'!K72+'29.08.2568'!K72+'30.08.2568'!K72+'31.08.2568'!K72</f>
        <v>0</v>
      </c>
      <c r="L72" s="69">
        <f t="shared" si="10"/>
        <v>0</v>
      </c>
      <c r="M72" s="52">
        <f>+'19.08.2568'!M72+'20.8.2568'!M72+'21.08.2568'!M72+'22.08.2568'!M72+'23.08.2568'!M72+'24.082568'!M72+'25.08.2568'!M72+'26.08.256'!M72+'27.08.2568'!M72+'28.08.2568'!M72+'29.08.2568'!M72+'30.08.2568'!M72+'31.08.2568'!M72</f>
        <v>0</v>
      </c>
      <c r="N72" s="52">
        <f>+'19.08.2568'!N72+'20.8.2568'!N72+'21.08.2568'!N72+'22.08.2568'!N72+'23.08.2568'!N72+'24.082568'!N72+'25.08.2568'!N72+'26.08.256'!N72+'27.08.2568'!N72+'28.08.2568'!N72+'29.08.2568'!N72+'30.08.2568'!N72+'31.08.2568'!N72</f>
        <v>0</v>
      </c>
      <c r="O72" s="69">
        <f t="shared" si="11"/>
        <v>0</v>
      </c>
      <c r="P72" s="52">
        <f>+'19.08.2568'!P72+'20.8.2568'!P72+'21.08.2568'!P72+'22.08.2568'!P72+'23.08.2568'!P72+'24.082568'!P72+'25.08.2568'!P72+'26.08.256'!P72+'27.08.2568'!P72+'28.08.2568'!P72+'29.08.2568'!P72+'30.08.2568'!P72+'31.08.2568'!P72</f>
        <v>0</v>
      </c>
      <c r="Q72" s="52">
        <f>+'19.08.2568'!Q72+'20.8.2568'!Q72+'21.08.2568'!Q72+'22.08.2568'!Q72+'23.08.2568'!Q72+'24.082568'!Q72+'25.08.2568'!Q72+'26.08.256'!Q72+'27.08.2568'!Q72+'28.08.2568'!Q72+'29.08.2568'!Q72+'30.08.2568'!Q72+'31.08.2568'!Q72</f>
        <v>0</v>
      </c>
      <c r="R72" s="69">
        <f t="shared" si="12"/>
        <v>0</v>
      </c>
      <c r="S72" s="52"/>
      <c r="T72" s="52"/>
      <c r="U72" s="69">
        <f t="shared" si="13"/>
        <v>0</v>
      </c>
      <c r="V72" s="52"/>
      <c r="W72" s="52"/>
      <c r="X72" s="69">
        <f t="shared" si="14"/>
        <v>0</v>
      </c>
      <c r="Y72" s="52">
        <f>+'19.08.2568'!Y72+'20.8.2568'!Y72+'21.08.2568'!Y72+'22.08.2568'!Y72+'23.08.2568'!Y72+'24.082568'!Y72+'25.08.2568'!Y72+'26.08.256'!Y72+'27.08.2568'!Y72+'28.08.2568'!Y72+'29.08.2568'!Y72+'30.08.2568'!Y72+'31.08.2568'!Y72</f>
        <v>0</v>
      </c>
      <c r="Z72" s="64">
        <f t="shared" si="16"/>
        <v>0</v>
      </c>
    </row>
    <row r="73" spans="2:26" hidden="1">
      <c r="B73" s="50">
        <v>1100002</v>
      </c>
      <c r="C73" s="54" t="s">
        <v>193</v>
      </c>
      <c r="D73" s="52">
        <f>+'19.08.2568'!D73+'20.8.2568'!D73+'21.08.2568'!D73+'22.08.2568'!D73+'23.08.2568'!D73+'24.082568'!D73+'25.08.2568'!D73+'26.08.256'!D73+'27.08.2568'!D73+'28.08.2568'!D73+'29.08.2568'!D73+'30.08.2568'!D73+'31.08.2568'!D73</f>
        <v>0</v>
      </c>
      <c r="E73" s="52">
        <f>+'19.08.2568'!E73+'20.8.2568'!E73+'21.08.2568'!E73+'22.08.2568'!E73+'23.08.2568'!E73+'24.082568'!E73+'25.08.2568'!E73+'26.08.256'!E73+'27.08.2568'!E73+'28.08.2568'!E73+'29.08.2568'!E73+'30.08.2568'!E73+'31.08.2568'!E73</f>
        <v>0</v>
      </c>
      <c r="F73" s="69">
        <f t="shared" si="8"/>
        <v>0</v>
      </c>
      <c r="G73" s="52">
        <f>+'19.08.2568'!G73+'20.8.2568'!G73+'21.08.2568'!G73+'22.08.2568'!G73+'23.08.2568'!G73+'24.082568'!G73+'25.08.2568'!G73+'26.08.256'!G73+'27.08.2568'!G73+'28.08.2568'!G73+'29.08.2568'!G73+'30.08.2568'!G73+'31.08.2568'!G73</f>
        <v>0</v>
      </c>
      <c r="H73" s="52">
        <f>+'19.08.2568'!H73+'20.8.2568'!H73+'21.08.2568'!H73+'22.08.2568'!H73+'23.08.2568'!H73+'24.082568'!H73+'25.08.2568'!H73+'26.08.256'!H73+'27.08.2568'!H73+'28.08.2568'!H73+'29.08.2568'!H73+'30.08.2568'!H73+'31.08.2568'!H73</f>
        <v>0</v>
      </c>
      <c r="I73" s="69">
        <f t="shared" si="9"/>
        <v>0</v>
      </c>
      <c r="J73" s="52">
        <f>+'19.08.2568'!J73+'20.8.2568'!J73+'21.08.2568'!J73+'22.08.2568'!J73+'23.08.2568'!J73+'24.082568'!J73+'25.08.2568'!J73+'26.08.256'!J73+'27.08.2568'!J73+'28.08.2568'!J73+'29.08.2568'!J73+'30.08.2568'!J73+'31.08.2568'!J73</f>
        <v>0</v>
      </c>
      <c r="K73" s="52">
        <f>+'19.08.2568'!K73+'20.8.2568'!K73+'21.08.2568'!K73+'22.08.2568'!K73+'23.08.2568'!K73+'24.082568'!K73+'25.08.2568'!K73+'26.08.256'!K73+'27.08.2568'!K73+'28.08.2568'!K73+'29.08.2568'!K73+'30.08.2568'!K73+'31.08.2568'!K73</f>
        <v>0</v>
      </c>
      <c r="L73" s="69">
        <f t="shared" si="10"/>
        <v>0</v>
      </c>
      <c r="M73" s="52">
        <f>+'19.08.2568'!M73+'20.8.2568'!M73+'21.08.2568'!M73+'22.08.2568'!M73+'23.08.2568'!M73+'24.082568'!M73+'25.08.2568'!M73+'26.08.256'!M73+'27.08.2568'!M73+'28.08.2568'!M73+'29.08.2568'!M73+'30.08.2568'!M73+'31.08.2568'!M73</f>
        <v>1</v>
      </c>
      <c r="N73" s="52">
        <f>+'19.08.2568'!N73+'20.8.2568'!N73+'21.08.2568'!N73+'22.08.2568'!N73+'23.08.2568'!N73+'24.082568'!N73+'25.08.2568'!N73+'26.08.256'!N73+'27.08.2568'!N73+'28.08.2568'!N73+'29.08.2568'!N73+'30.08.2568'!N73+'31.08.2568'!N73</f>
        <v>0</v>
      </c>
      <c r="O73" s="69">
        <f t="shared" si="11"/>
        <v>1</v>
      </c>
      <c r="P73" s="52">
        <f>+'19.08.2568'!P73+'20.8.2568'!P73+'21.08.2568'!P73+'22.08.2568'!P73+'23.08.2568'!P73+'24.082568'!P73+'25.08.2568'!P73+'26.08.256'!P73+'27.08.2568'!P73+'28.08.2568'!P73+'29.08.2568'!P73+'30.08.2568'!P73+'31.08.2568'!P73</f>
        <v>0</v>
      </c>
      <c r="Q73" s="52">
        <f>+'19.08.2568'!Q73+'20.8.2568'!Q73+'21.08.2568'!Q73+'22.08.2568'!Q73+'23.08.2568'!Q73+'24.082568'!Q73+'25.08.2568'!Q73+'26.08.256'!Q73+'27.08.2568'!Q73+'28.08.2568'!Q73+'29.08.2568'!Q73+'30.08.2568'!Q73+'31.08.2568'!Q73</f>
        <v>0</v>
      </c>
      <c r="R73" s="69">
        <f t="shared" si="12"/>
        <v>0</v>
      </c>
      <c r="S73" s="52"/>
      <c r="T73" s="52"/>
      <c r="U73" s="69">
        <f t="shared" si="13"/>
        <v>0</v>
      </c>
      <c r="V73" s="52"/>
      <c r="W73" s="52"/>
      <c r="X73" s="69">
        <f t="shared" si="14"/>
        <v>0</v>
      </c>
      <c r="Y73" s="52">
        <f>+'19.08.2568'!Y73+'20.8.2568'!Y73+'21.08.2568'!Y73+'22.08.2568'!Y73+'23.08.2568'!Y73+'24.082568'!Y73+'25.08.2568'!Y73+'26.08.256'!Y73+'27.08.2568'!Y73+'28.08.2568'!Y73+'29.08.2568'!Y73+'30.08.2568'!Y73+'31.08.2568'!Y73</f>
        <v>0</v>
      </c>
      <c r="Z73" s="64">
        <f t="shared" si="16"/>
        <v>1</v>
      </c>
    </row>
    <row r="74" spans="2:26">
      <c r="B74" s="50">
        <v>20052721</v>
      </c>
      <c r="C74" s="54" t="s">
        <v>194</v>
      </c>
      <c r="D74" s="52">
        <f>+'19.08.2568'!D74+'20.8.2568'!D74+'21.08.2568'!D74+'22.08.2568'!D74+'23.08.2568'!D74+'24.082568'!D74+'25.08.2568'!D74+'26.08.256'!D74+'27.08.2568'!D74+'28.08.2568'!D74+'29.08.2568'!D74+'30.08.2568'!D74+'31.08.2568'!D74</f>
        <v>0</v>
      </c>
      <c r="E74" s="52">
        <f>+'19.08.2568'!E74+'20.8.2568'!E74+'21.08.2568'!E74+'22.08.2568'!E74+'23.08.2568'!E74+'24.082568'!E74+'25.08.2568'!E74+'26.08.256'!E74+'27.08.2568'!E74+'28.08.2568'!E74+'29.08.2568'!E74+'30.08.2568'!E74+'31.08.2568'!E74</f>
        <v>0</v>
      </c>
      <c r="F74" s="69">
        <f t="shared" si="8"/>
        <v>0</v>
      </c>
      <c r="G74" s="52">
        <f>+'19.08.2568'!G74+'20.8.2568'!G74+'21.08.2568'!G74+'22.08.2568'!G74+'23.08.2568'!G74+'24.082568'!G74+'25.08.2568'!G74+'26.08.256'!G74+'27.08.2568'!G74+'28.08.2568'!G74+'29.08.2568'!G74+'30.08.2568'!G74+'31.08.2568'!G74</f>
        <v>0</v>
      </c>
      <c r="H74" s="52">
        <f>+'19.08.2568'!H74+'20.8.2568'!H74+'21.08.2568'!H74+'22.08.2568'!H74+'23.08.2568'!H74+'24.082568'!H74+'25.08.2568'!H74+'26.08.256'!H74+'27.08.2568'!H74+'28.08.2568'!H74+'29.08.2568'!H74+'30.08.2568'!H74+'31.08.2568'!H74</f>
        <v>0</v>
      </c>
      <c r="I74" s="69">
        <f t="shared" si="9"/>
        <v>0</v>
      </c>
      <c r="J74" s="52">
        <f>+'19.08.2568'!J74+'20.8.2568'!J74+'21.08.2568'!J74+'22.08.2568'!J74+'23.08.2568'!J74+'24.082568'!J74+'25.08.2568'!J74+'26.08.256'!J74+'27.08.2568'!J74+'28.08.2568'!J74+'29.08.2568'!J74+'30.08.2568'!J74+'31.08.2568'!J74</f>
        <v>0</v>
      </c>
      <c r="K74" s="52">
        <f>+'19.08.2568'!K74+'20.8.2568'!K74+'21.08.2568'!K74+'22.08.2568'!K74+'23.08.2568'!K74+'24.082568'!K74+'25.08.2568'!K74+'26.08.256'!K74+'27.08.2568'!K74+'28.08.2568'!K74+'29.08.2568'!K74+'30.08.2568'!K74+'31.08.2568'!K74</f>
        <v>0</v>
      </c>
      <c r="L74" s="69">
        <f t="shared" si="10"/>
        <v>0</v>
      </c>
      <c r="M74" s="52">
        <f>+'19.08.2568'!M74+'20.8.2568'!M74+'21.08.2568'!M74+'22.08.2568'!M74+'23.08.2568'!M74+'24.082568'!M74+'25.08.2568'!M74+'26.08.256'!M74+'27.08.2568'!M74+'28.08.2568'!M74+'29.08.2568'!M74+'30.08.2568'!M74+'31.08.2568'!M74</f>
        <v>40</v>
      </c>
      <c r="N74" s="52">
        <f>+'19.08.2568'!N74+'20.8.2568'!N74+'21.08.2568'!N74+'22.08.2568'!N74+'23.08.2568'!N74+'24.082568'!N74+'25.08.2568'!N74+'26.08.256'!N74+'27.08.2568'!N74+'28.08.2568'!N74+'29.08.2568'!N74+'30.08.2568'!N74+'31.08.2568'!N74</f>
        <v>0</v>
      </c>
      <c r="O74" s="69">
        <f t="shared" si="11"/>
        <v>40</v>
      </c>
      <c r="P74" s="52">
        <f>+'19.08.2568'!P74+'20.8.2568'!P74+'21.08.2568'!P74+'22.08.2568'!P74+'23.08.2568'!P74+'24.082568'!P74+'25.08.2568'!P74+'26.08.256'!P74+'27.08.2568'!P74+'28.08.2568'!P74+'29.08.2568'!P74+'30.08.2568'!P74+'31.08.2568'!P74</f>
        <v>0</v>
      </c>
      <c r="Q74" s="52">
        <f>+'19.08.2568'!Q74+'20.8.2568'!Q74+'21.08.2568'!Q74+'22.08.2568'!Q74+'23.08.2568'!Q74+'24.082568'!Q74+'25.08.2568'!Q74+'26.08.256'!Q74+'27.08.2568'!Q74+'28.08.2568'!Q74+'29.08.2568'!Q74+'30.08.2568'!Q74+'31.08.2568'!Q74</f>
        <v>0</v>
      </c>
      <c r="R74" s="69">
        <f t="shared" si="12"/>
        <v>0</v>
      </c>
      <c r="S74" s="52"/>
      <c r="T74" s="52"/>
      <c r="U74" s="69">
        <f t="shared" si="13"/>
        <v>0</v>
      </c>
      <c r="V74" s="52"/>
      <c r="W74" s="52"/>
      <c r="X74" s="69">
        <f t="shared" si="14"/>
        <v>0</v>
      </c>
      <c r="Y74" s="52">
        <f>+'19.08.2568'!Y74+'20.8.2568'!Y74+'21.08.2568'!Y74+'22.08.2568'!Y74+'23.08.2568'!Y74+'24.082568'!Y74+'25.08.2568'!Y74+'26.08.256'!Y74+'27.08.2568'!Y74+'28.08.2568'!Y74+'29.08.2568'!Y74+'30.08.2568'!Y74+'31.08.2568'!Y74</f>
        <v>22</v>
      </c>
      <c r="Z74" s="75">
        <f t="shared" si="16"/>
        <v>62</v>
      </c>
    </row>
    <row r="75" spans="2:26">
      <c r="B75" s="50">
        <v>1113170</v>
      </c>
      <c r="C75" s="54" t="s">
        <v>87</v>
      </c>
      <c r="D75" s="52">
        <f>+'19.08.2568'!D75+'20.8.2568'!D75+'21.08.2568'!D75+'22.08.2568'!D75+'23.08.2568'!D75+'24.082568'!D75+'25.08.2568'!D75+'26.08.256'!D75+'27.08.2568'!D75+'28.08.2568'!D75+'29.08.2568'!D75+'30.08.2568'!D75+'31.08.2568'!D75</f>
        <v>62</v>
      </c>
      <c r="E75" s="52">
        <f>+'19.08.2568'!E75+'20.8.2568'!E75+'21.08.2568'!E75+'22.08.2568'!E75+'23.08.2568'!E75+'24.082568'!E75+'25.08.2568'!E75+'26.08.256'!E75+'27.08.2568'!E75+'28.08.2568'!E75+'29.08.2568'!E75+'30.08.2568'!E75+'31.08.2568'!E75</f>
        <v>0</v>
      </c>
      <c r="F75" s="69">
        <f t="shared" si="8"/>
        <v>62</v>
      </c>
      <c r="G75" s="52">
        <f>+'19.08.2568'!G75+'20.8.2568'!G75+'21.08.2568'!G75+'22.08.2568'!G75+'23.08.2568'!G75+'24.082568'!G75+'25.08.2568'!G75+'26.08.256'!G75+'27.08.2568'!G75+'28.08.2568'!G75+'29.08.2568'!G75+'30.08.2568'!G75+'31.08.2568'!G75</f>
        <v>0</v>
      </c>
      <c r="H75" s="52">
        <f>+'19.08.2568'!H75+'20.8.2568'!H75+'21.08.2568'!H75+'22.08.2568'!H75+'23.08.2568'!H75+'24.082568'!H75+'25.08.2568'!H75+'26.08.256'!H75+'27.08.2568'!H75+'28.08.2568'!H75+'29.08.2568'!H75+'30.08.2568'!H75+'31.08.2568'!H75</f>
        <v>0</v>
      </c>
      <c r="I75" s="69">
        <f t="shared" si="9"/>
        <v>0</v>
      </c>
      <c r="J75" s="52">
        <f>+'19.08.2568'!J75+'20.8.2568'!J75+'21.08.2568'!J75+'22.08.2568'!J75+'23.08.2568'!J75+'24.082568'!J75+'25.08.2568'!J75+'26.08.256'!J75+'27.08.2568'!J75+'28.08.2568'!J75+'29.08.2568'!J75+'30.08.2568'!J75+'31.08.2568'!J75</f>
        <v>2</v>
      </c>
      <c r="K75" s="52">
        <f>+'19.08.2568'!K75+'20.8.2568'!K75+'21.08.2568'!K75+'22.08.2568'!K75+'23.08.2568'!K75+'24.082568'!K75+'25.08.2568'!K75+'26.08.256'!K75+'27.08.2568'!K75+'28.08.2568'!K75+'29.08.2568'!K75+'30.08.2568'!K75+'31.08.2568'!K75</f>
        <v>0</v>
      </c>
      <c r="L75" s="69">
        <f t="shared" si="10"/>
        <v>2</v>
      </c>
      <c r="M75" s="52">
        <f>+'19.08.2568'!M75+'20.8.2568'!M75+'21.08.2568'!M75+'22.08.2568'!M75+'23.08.2568'!M75+'24.082568'!M75+'25.08.2568'!M75+'26.08.256'!M75+'27.08.2568'!M75+'28.08.2568'!M75+'29.08.2568'!M75+'30.08.2568'!M75+'31.08.2568'!M75</f>
        <v>31</v>
      </c>
      <c r="N75" s="52">
        <f>+'19.08.2568'!N75+'20.8.2568'!N75+'21.08.2568'!N75+'22.08.2568'!N75+'23.08.2568'!N75+'24.082568'!N75+'25.08.2568'!N75+'26.08.256'!N75+'27.08.2568'!N75+'28.08.2568'!N75+'29.08.2568'!N75+'30.08.2568'!N75+'31.08.2568'!N75</f>
        <v>0</v>
      </c>
      <c r="O75" s="69">
        <f t="shared" si="11"/>
        <v>31</v>
      </c>
      <c r="P75" s="52">
        <f>+'19.08.2568'!P75+'20.8.2568'!P75+'21.08.2568'!P75+'22.08.2568'!P75+'23.08.2568'!P75+'24.082568'!P75+'25.08.2568'!P75+'26.08.256'!P75+'27.08.2568'!P75+'28.08.2568'!P75+'29.08.2568'!P75+'30.08.2568'!P75+'31.08.2568'!P75</f>
        <v>0</v>
      </c>
      <c r="Q75" s="52">
        <f>+'19.08.2568'!Q75+'20.8.2568'!Q75+'21.08.2568'!Q75+'22.08.2568'!Q75+'23.08.2568'!Q75+'24.082568'!Q75+'25.08.2568'!Q75+'26.08.256'!Q75+'27.08.2568'!Q75+'28.08.2568'!Q75+'29.08.2568'!Q75+'30.08.2568'!Q75+'31.08.2568'!Q75</f>
        <v>0</v>
      </c>
      <c r="R75" s="69">
        <f t="shared" si="12"/>
        <v>0</v>
      </c>
      <c r="S75" s="52"/>
      <c r="T75" s="52"/>
      <c r="U75" s="69">
        <f t="shared" si="13"/>
        <v>0</v>
      </c>
      <c r="V75" s="52"/>
      <c r="W75" s="52"/>
      <c r="X75" s="69">
        <f t="shared" si="14"/>
        <v>0</v>
      </c>
      <c r="Y75" s="52">
        <f>+'19.08.2568'!Y75+'20.8.2568'!Y75+'21.08.2568'!Y75+'22.08.2568'!Y75+'23.08.2568'!Y75+'24.082568'!Y75+'25.08.2568'!Y75+'26.08.256'!Y75+'27.08.2568'!Y75+'28.08.2568'!Y75+'29.08.2568'!Y75+'30.08.2568'!Y75+'31.08.2568'!Y75</f>
        <v>1</v>
      </c>
      <c r="Z75" s="75">
        <f t="shared" si="16"/>
        <v>96</v>
      </c>
    </row>
    <row r="76" spans="2:26">
      <c r="B76" s="50">
        <v>1113171</v>
      </c>
      <c r="C76" s="54" t="s">
        <v>88</v>
      </c>
      <c r="D76" s="52">
        <f>+'19.08.2568'!D76+'20.8.2568'!D76+'21.08.2568'!D76+'22.08.2568'!D76+'23.08.2568'!D76+'24.082568'!D76+'25.08.2568'!D76+'26.08.256'!D76+'27.08.2568'!D76+'28.08.2568'!D76+'29.08.2568'!D76+'30.08.2568'!D76+'31.08.2568'!D76</f>
        <v>45</v>
      </c>
      <c r="E76" s="52">
        <f>+'19.08.2568'!E76+'20.8.2568'!E76+'21.08.2568'!E76+'22.08.2568'!E76+'23.08.2568'!E76+'24.082568'!E76+'25.08.2568'!E76+'26.08.256'!E76+'27.08.2568'!E76+'28.08.2568'!E76+'29.08.2568'!E76+'30.08.2568'!E76+'31.08.2568'!E76</f>
        <v>0</v>
      </c>
      <c r="F76" s="69">
        <f t="shared" si="8"/>
        <v>45</v>
      </c>
      <c r="G76" s="52">
        <f>+'19.08.2568'!G76+'20.8.2568'!G76+'21.08.2568'!G76+'22.08.2568'!G76+'23.08.2568'!G76+'24.082568'!G76+'25.08.2568'!G76+'26.08.256'!G76+'27.08.2568'!G76+'28.08.2568'!G76+'29.08.2568'!G76+'30.08.2568'!G76+'31.08.2568'!G76</f>
        <v>0</v>
      </c>
      <c r="H76" s="52">
        <f>+'19.08.2568'!H76+'20.8.2568'!H76+'21.08.2568'!H76+'22.08.2568'!H76+'23.08.2568'!H76+'24.082568'!H76+'25.08.2568'!H76+'26.08.256'!H76+'27.08.2568'!H76+'28.08.2568'!H76+'29.08.2568'!H76+'30.08.2568'!H76+'31.08.2568'!H76</f>
        <v>0</v>
      </c>
      <c r="I76" s="69">
        <f t="shared" si="9"/>
        <v>0</v>
      </c>
      <c r="J76" s="52">
        <f>+'19.08.2568'!J76+'20.8.2568'!J76+'21.08.2568'!J76+'22.08.2568'!J76+'23.08.2568'!J76+'24.082568'!J76+'25.08.2568'!J76+'26.08.256'!J76+'27.08.2568'!J76+'28.08.2568'!J76+'29.08.2568'!J76+'30.08.2568'!J76+'31.08.2568'!J76</f>
        <v>4</v>
      </c>
      <c r="K76" s="52">
        <f>+'19.08.2568'!K76+'20.8.2568'!K76+'21.08.2568'!K76+'22.08.2568'!K76+'23.08.2568'!K76+'24.082568'!K76+'25.08.2568'!K76+'26.08.256'!K76+'27.08.2568'!K76+'28.08.2568'!K76+'29.08.2568'!K76+'30.08.2568'!K76+'31.08.2568'!K76</f>
        <v>0</v>
      </c>
      <c r="L76" s="69">
        <f t="shared" si="10"/>
        <v>4</v>
      </c>
      <c r="M76" s="52">
        <f>+'19.08.2568'!M76+'20.8.2568'!M76+'21.08.2568'!M76+'22.08.2568'!M76+'23.08.2568'!M76+'24.082568'!M76+'25.08.2568'!M76+'26.08.256'!M76+'27.08.2568'!M76+'28.08.2568'!M76+'29.08.2568'!M76+'30.08.2568'!M76+'31.08.2568'!M76</f>
        <v>10</v>
      </c>
      <c r="N76" s="52">
        <f>+'19.08.2568'!N76+'20.8.2568'!N76+'21.08.2568'!N76+'22.08.2568'!N76+'23.08.2568'!N76+'24.082568'!N76+'25.08.2568'!N76+'26.08.256'!N76+'27.08.2568'!N76+'28.08.2568'!N76+'29.08.2568'!N76+'30.08.2568'!N76+'31.08.2568'!N76</f>
        <v>0</v>
      </c>
      <c r="O76" s="69">
        <f t="shared" si="11"/>
        <v>10</v>
      </c>
      <c r="P76" s="52">
        <f>+'19.08.2568'!P76+'20.8.2568'!P76+'21.08.2568'!P76+'22.08.2568'!P76+'23.08.2568'!P76+'24.082568'!P76+'25.08.2568'!P76+'26.08.256'!P76+'27.08.2568'!P76+'28.08.2568'!P76+'29.08.2568'!P76+'30.08.2568'!P76+'31.08.2568'!P76</f>
        <v>0</v>
      </c>
      <c r="Q76" s="52">
        <f>+'19.08.2568'!Q76+'20.8.2568'!Q76+'21.08.2568'!Q76+'22.08.2568'!Q76+'23.08.2568'!Q76+'24.082568'!Q76+'25.08.2568'!Q76+'26.08.256'!Q76+'27.08.2568'!Q76+'28.08.2568'!Q76+'29.08.2568'!Q76+'30.08.2568'!Q76+'31.08.2568'!Q76</f>
        <v>0</v>
      </c>
      <c r="R76" s="69">
        <f t="shared" si="12"/>
        <v>0</v>
      </c>
      <c r="S76" s="52"/>
      <c r="T76" s="52"/>
      <c r="U76" s="69">
        <f t="shared" si="13"/>
        <v>0</v>
      </c>
      <c r="V76" s="52"/>
      <c r="W76" s="52"/>
      <c r="X76" s="69">
        <f t="shared" si="14"/>
        <v>0</v>
      </c>
      <c r="Y76" s="52">
        <f>+'19.08.2568'!Y76+'20.8.2568'!Y76+'21.08.2568'!Y76+'22.08.2568'!Y76+'23.08.2568'!Y76+'24.082568'!Y76+'25.08.2568'!Y76+'26.08.256'!Y76+'27.08.2568'!Y76+'28.08.2568'!Y76+'29.08.2568'!Y76+'30.08.2568'!Y76+'31.08.2568'!Y76</f>
        <v>0</v>
      </c>
      <c r="Z76" s="75">
        <f t="shared" si="16"/>
        <v>59</v>
      </c>
    </row>
    <row r="77" spans="2:26" hidden="1">
      <c r="B77" s="50">
        <v>1113172</v>
      </c>
      <c r="C77" s="54" t="s">
        <v>89</v>
      </c>
      <c r="D77" s="52">
        <f>+'19.08.2568'!D77+'20.8.2568'!D77+'21.08.2568'!D77+'22.08.2568'!D77+'23.08.2568'!D77+'24.082568'!D77+'25.08.2568'!D77+'26.08.256'!D77+'27.08.2568'!D77+'28.08.2568'!D77+'29.08.2568'!D77+'30.08.2568'!D77+'31.08.2568'!D77</f>
        <v>0</v>
      </c>
      <c r="E77" s="52">
        <f>+'19.08.2568'!E77+'20.8.2568'!E77+'21.08.2568'!E77+'22.08.2568'!E77+'23.08.2568'!E77+'24.082568'!E77+'25.08.2568'!E77+'26.08.256'!E77+'27.08.2568'!E77+'28.08.2568'!E77+'29.08.2568'!E77+'30.08.2568'!E77+'31.08.2568'!E77</f>
        <v>0</v>
      </c>
      <c r="F77" s="69">
        <f t="shared" si="8"/>
        <v>0</v>
      </c>
      <c r="G77" s="52">
        <f>+'19.08.2568'!G77+'20.8.2568'!G77+'21.08.2568'!G77+'22.08.2568'!G77+'23.08.2568'!G77+'24.082568'!G77+'25.08.2568'!G77+'26.08.256'!G77+'27.08.2568'!G77+'28.08.2568'!G77+'29.08.2568'!G77+'30.08.2568'!G77+'31.08.2568'!G77</f>
        <v>0</v>
      </c>
      <c r="H77" s="52">
        <f>+'19.08.2568'!H77+'20.8.2568'!H77+'21.08.2568'!H77+'22.08.2568'!H77+'23.08.2568'!H77+'24.082568'!H77+'25.08.2568'!H77+'26.08.256'!H77+'27.08.2568'!H77+'28.08.2568'!H77+'29.08.2568'!H77+'30.08.2568'!H77+'31.08.2568'!H77</f>
        <v>0</v>
      </c>
      <c r="I77" s="69">
        <f t="shared" si="9"/>
        <v>0</v>
      </c>
      <c r="J77" s="52">
        <f>+'19.08.2568'!J77+'20.8.2568'!J77+'21.08.2568'!J77+'22.08.2568'!J77+'23.08.2568'!J77+'24.082568'!J77+'25.08.2568'!J77+'26.08.256'!J77+'27.08.2568'!J77+'28.08.2568'!J77+'29.08.2568'!J77+'30.08.2568'!J77+'31.08.2568'!J77</f>
        <v>0</v>
      </c>
      <c r="K77" s="52">
        <f>+'19.08.2568'!K77+'20.8.2568'!K77+'21.08.2568'!K77+'22.08.2568'!K77+'23.08.2568'!K77+'24.082568'!K77+'25.08.2568'!K77+'26.08.256'!K77+'27.08.2568'!K77+'28.08.2568'!K77+'29.08.2568'!K77+'30.08.2568'!K77+'31.08.2568'!K77</f>
        <v>0</v>
      </c>
      <c r="L77" s="69">
        <f t="shared" si="10"/>
        <v>0</v>
      </c>
      <c r="M77" s="52">
        <f>+'19.08.2568'!M77+'20.8.2568'!M77+'21.08.2568'!M77+'22.08.2568'!M77+'23.08.2568'!M77+'24.082568'!M77+'25.08.2568'!M77+'26.08.256'!M77+'27.08.2568'!M77+'28.08.2568'!M77+'29.08.2568'!M77+'30.08.2568'!M77+'31.08.2568'!M77</f>
        <v>0</v>
      </c>
      <c r="N77" s="52">
        <f>+'19.08.2568'!N77+'20.8.2568'!N77+'21.08.2568'!N77+'22.08.2568'!N77+'23.08.2568'!N77+'24.082568'!N77+'25.08.2568'!N77+'26.08.256'!N77+'27.08.2568'!N77+'28.08.2568'!N77+'29.08.2568'!N77+'30.08.2568'!N77+'31.08.2568'!N77</f>
        <v>0</v>
      </c>
      <c r="O77" s="69">
        <f t="shared" si="11"/>
        <v>0</v>
      </c>
      <c r="P77" s="52">
        <f>+'19.08.2568'!P77+'20.8.2568'!P77+'21.08.2568'!P77+'22.08.2568'!P77+'23.08.2568'!P77+'24.082568'!P77+'25.08.2568'!P77+'26.08.256'!P77+'27.08.2568'!P77+'28.08.2568'!P77+'29.08.2568'!P77+'30.08.2568'!P77+'31.08.2568'!P77</f>
        <v>0</v>
      </c>
      <c r="Q77" s="52">
        <f>+'19.08.2568'!Q77+'20.8.2568'!Q77+'21.08.2568'!Q77+'22.08.2568'!Q77+'23.08.2568'!Q77+'24.082568'!Q77+'25.08.2568'!Q77+'26.08.256'!Q77+'27.08.2568'!Q77+'28.08.2568'!Q77+'29.08.2568'!Q77+'30.08.2568'!Q77+'31.08.2568'!Q77</f>
        <v>0</v>
      </c>
      <c r="R77" s="69">
        <f t="shared" si="12"/>
        <v>0</v>
      </c>
      <c r="S77" s="52"/>
      <c r="T77" s="52"/>
      <c r="U77" s="69">
        <f t="shared" si="13"/>
        <v>0</v>
      </c>
      <c r="V77" s="52"/>
      <c r="W77" s="52"/>
      <c r="X77" s="69">
        <f t="shared" si="14"/>
        <v>0</v>
      </c>
      <c r="Y77" s="52">
        <f>+'19.08.2568'!Y77+'20.8.2568'!Y77+'21.08.2568'!Y77+'22.08.2568'!Y77+'23.08.2568'!Y77+'24.082568'!Y77+'25.08.2568'!Y77+'26.08.256'!Y77+'27.08.2568'!Y77+'28.08.2568'!Y77+'29.08.2568'!Y77+'30.08.2568'!Y77+'31.08.2568'!Y77</f>
        <v>0</v>
      </c>
      <c r="Z77" s="64">
        <f t="shared" si="16"/>
        <v>0</v>
      </c>
    </row>
    <row r="78" spans="2:26">
      <c r="B78" s="50">
        <v>1113173</v>
      </c>
      <c r="C78" s="54" t="s">
        <v>90</v>
      </c>
      <c r="D78" s="52">
        <f>+'19.08.2568'!D78+'20.8.2568'!D78+'21.08.2568'!D78+'22.08.2568'!D78+'23.08.2568'!D78+'24.082568'!D78+'25.08.2568'!D78+'26.08.256'!D78+'27.08.2568'!D78+'28.08.2568'!D78+'29.08.2568'!D78+'30.08.2568'!D78+'31.08.2568'!D78</f>
        <v>31</v>
      </c>
      <c r="E78" s="52">
        <f>+'19.08.2568'!E78+'20.8.2568'!E78+'21.08.2568'!E78+'22.08.2568'!E78+'23.08.2568'!E78+'24.082568'!E78+'25.08.2568'!E78+'26.08.256'!E78+'27.08.2568'!E78+'28.08.2568'!E78+'29.08.2568'!E78+'30.08.2568'!E78+'31.08.2568'!E78</f>
        <v>0</v>
      </c>
      <c r="F78" s="69">
        <f t="shared" si="8"/>
        <v>31</v>
      </c>
      <c r="G78" s="52">
        <f>+'19.08.2568'!G78+'20.8.2568'!G78+'21.08.2568'!G78+'22.08.2568'!G78+'23.08.2568'!G78+'24.082568'!G78+'25.08.2568'!G78+'26.08.256'!G78+'27.08.2568'!G78+'28.08.2568'!G78+'29.08.2568'!G78+'30.08.2568'!G78+'31.08.2568'!G78</f>
        <v>0</v>
      </c>
      <c r="H78" s="52">
        <f>+'19.08.2568'!H78+'20.8.2568'!H78+'21.08.2568'!H78+'22.08.2568'!H78+'23.08.2568'!H78+'24.082568'!H78+'25.08.2568'!H78+'26.08.256'!H78+'27.08.2568'!H78+'28.08.2568'!H78+'29.08.2568'!H78+'30.08.2568'!H78+'31.08.2568'!H78</f>
        <v>0</v>
      </c>
      <c r="I78" s="69">
        <f t="shared" si="9"/>
        <v>0</v>
      </c>
      <c r="J78" s="52">
        <f>+'19.08.2568'!J78+'20.8.2568'!J78+'21.08.2568'!J78+'22.08.2568'!J78+'23.08.2568'!J78+'24.082568'!J78+'25.08.2568'!J78+'26.08.256'!J78+'27.08.2568'!J78+'28.08.2568'!J78+'29.08.2568'!J78+'30.08.2568'!J78+'31.08.2568'!J78</f>
        <v>5</v>
      </c>
      <c r="K78" s="52">
        <f>+'19.08.2568'!K78+'20.8.2568'!K78+'21.08.2568'!K78+'22.08.2568'!K78+'23.08.2568'!K78+'24.082568'!K78+'25.08.2568'!K78+'26.08.256'!K78+'27.08.2568'!K78+'28.08.2568'!K78+'29.08.2568'!K78+'30.08.2568'!K78+'31.08.2568'!K78</f>
        <v>0</v>
      </c>
      <c r="L78" s="69">
        <f t="shared" si="10"/>
        <v>5</v>
      </c>
      <c r="M78" s="52">
        <f>+'19.08.2568'!M78+'20.8.2568'!M78+'21.08.2568'!M78+'22.08.2568'!M78+'23.08.2568'!M78+'24.082568'!M78+'25.08.2568'!M78+'26.08.256'!M78+'27.08.2568'!M78+'28.08.2568'!M78+'29.08.2568'!M78+'30.08.2568'!M78+'31.08.2568'!M78</f>
        <v>9</v>
      </c>
      <c r="N78" s="52">
        <f>+'19.08.2568'!N78+'20.8.2568'!N78+'21.08.2568'!N78+'22.08.2568'!N78+'23.08.2568'!N78+'24.082568'!N78+'25.08.2568'!N78+'26.08.256'!N78+'27.08.2568'!N78+'28.08.2568'!N78+'29.08.2568'!N78+'30.08.2568'!N78+'31.08.2568'!N78</f>
        <v>0</v>
      </c>
      <c r="O78" s="69">
        <f t="shared" si="11"/>
        <v>9</v>
      </c>
      <c r="P78" s="52">
        <f>+'19.08.2568'!P78+'20.8.2568'!P78+'21.08.2568'!P78+'22.08.2568'!P78+'23.08.2568'!P78+'24.082568'!P78+'25.08.2568'!P78+'26.08.256'!P78+'27.08.2568'!P78+'28.08.2568'!P78+'29.08.2568'!P78+'30.08.2568'!P78+'31.08.2568'!P78</f>
        <v>0</v>
      </c>
      <c r="Q78" s="52">
        <f>+'19.08.2568'!Q78+'20.8.2568'!Q78+'21.08.2568'!Q78+'22.08.2568'!Q78+'23.08.2568'!Q78+'24.082568'!Q78+'25.08.2568'!Q78+'26.08.256'!Q78+'27.08.2568'!Q78+'28.08.2568'!Q78+'29.08.2568'!Q78+'30.08.2568'!Q78+'31.08.2568'!Q78</f>
        <v>0</v>
      </c>
      <c r="R78" s="69">
        <f t="shared" si="12"/>
        <v>0</v>
      </c>
      <c r="S78" s="52"/>
      <c r="T78" s="52"/>
      <c r="U78" s="69">
        <f t="shared" si="13"/>
        <v>0</v>
      </c>
      <c r="V78" s="52"/>
      <c r="W78" s="52"/>
      <c r="X78" s="69">
        <f t="shared" si="14"/>
        <v>0</v>
      </c>
      <c r="Y78" s="52">
        <f>+'19.08.2568'!Y78+'20.8.2568'!Y78+'21.08.2568'!Y78+'22.08.2568'!Y78+'23.08.2568'!Y78+'24.082568'!Y78+'25.08.2568'!Y78+'26.08.256'!Y78+'27.08.2568'!Y78+'28.08.2568'!Y78+'29.08.2568'!Y78+'30.08.2568'!Y78+'31.08.2568'!Y78</f>
        <v>0</v>
      </c>
      <c r="Z78" s="75">
        <f t="shared" si="16"/>
        <v>45</v>
      </c>
    </row>
    <row r="79" spans="2:26">
      <c r="B79" s="50">
        <v>1200001</v>
      </c>
      <c r="C79" s="54" t="s">
        <v>195</v>
      </c>
      <c r="D79" s="52">
        <f>+'19.08.2568'!D79+'20.8.2568'!D79+'21.08.2568'!D79+'22.08.2568'!D79+'23.08.2568'!D79+'24.082568'!D79+'25.08.2568'!D79+'26.08.256'!D79+'27.08.2568'!D79+'28.08.2568'!D79+'29.08.2568'!D79+'30.08.2568'!D79+'31.08.2568'!D79</f>
        <v>0</v>
      </c>
      <c r="E79" s="52">
        <f>+'19.08.2568'!E79+'20.8.2568'!E79+'21.08.2568'!E79+'22.08.2568'!E79+'23.08.2568'!E79+'24.082568'!E79+'25.08.2568'!E79+'26.08.256'!E79+'27.08.2568'!E79+'28.08.2568'!E79+'29.08.2568'!E79+'30.08.2568'!E79+'31.08.2568'!E79</f>
        <v>0</v>
      </c>
      <c r="F79" s="69">
        <f t="shared" si="8"/>
        <v>0</v>
      </c>
      <c r="G79" s="52">
        <f>+'19.08.2568'!G79+'20.8.2568'!G79+'21.08.2568'!G79+'22.08.2568'!G79+'23.08.2568'!G79+'24.082568'!G79+'25.08.2568'!G79+'26.08.256'!G79+'27.08.2568'!G79+'28.08.2568'!G79+'29.08.2568'!G79+'30.08.2568'!G79+'31.08.2568'!G79</f>
        <v>0</v>
      </c>
      <c r="H79" s="52">
        <f>+'19.08.2568'!H79+'20.8.2568'!H79+'21.08.2568'!H79+'22.08.2568'!H79+'23.08.2568'!H79+'24.082568'!H79+'25.08.2568'!H79+'26.08.256'!H79+'27.08.2568'!H79+'28.08.2568'!H79+'29.08.2568'!H79+'30.08.2568'!H79+'31.08.2568'!H79</f>
        <v>0</v>
      </c>
      <c r="I79" s="69">
        <f t="shared" si="9"/>
        <v>0</v>
      </c>
      <c r="J79" s="52">
        <f>+'19.08.2568'!J79+'20.8.2568'!J79+'21.08.2568'!J79+'22.08.2568'!J79+'23.08.2568'!J79+'24.082568'!J79+'25.08.2568'!J79+'26.08.256'!J79+'27.08.2568'!J79+'28.08.2568'!J79+'29.08.2568'!J79+'30.08.2568'!J79+'31.08.2568'!J79</f>
        <v>0</v>
      </c>
      <c r="K79" s="52">
        <f>+'19.08.2568'!K79+'20.8.2568'!K79+'21.08.2568'!K79+'22.08.2568'!K79+'23.08.2568'!K79+'24.082568'!K79+'25.08.2568'!K79+'26.08.256'!K79+'27.08.2568'!K79+'28.08.2568'!K79+'29.08.2568'!K79+'30.08.2568'!K79+'31.08.2568'!K79</f>
        <v>0</v>
      </c>
      <c r="L79" s="69">
        <f t="shared" si="10"/>
        <v>0</v>
      </c>
      <c r="M79" s="52">
        <f>+'19.08.2568'!M79+'20.8.2568'!M79+'21.08.2568'!M79+'22.08.2568'!M79+'23.08.2568'!M79+'24.082568'!M79+'25.08.2568'!M79+'26.08.256'!M79+'27.08.2568'!M79+'28.08.2568'!M79+'29.08.2568'!M79+'30.08.2568'!M79+'31.08.2568'!M79</f>
        <v>0</v>
      </c>
      <c r="N79" s="52">
        <f>+'19.08.2568'!N79+'20.8.2568'!N79+'21.08.2568'!N79+'22.08.2568'!N79+'23.08.2568'!N79+'24.082568'!N79+'25.08.2568'!N79+'26.08.256'!N79+'27.08.2568'!N79+'28.08.2568'!N79+'29.08.2568'!N79+'30.08.2568'!N79+'31.08.2568'!N79</f>
        <v>0</v>
      </c>
      <c r="O79" s="69">
        <f t="shared" si="11"/>
        <v>0</v>
      </c>
      <c r="P79" s="52">
        <f>+'19.08.2568'!P79+'20.8.2568'!P79+'21.08.2568'!P79+'22.08.2568'!P79+'23.08.2568'!P79+'24.082568'!P79+'25.08.2568'!P79+'26.08.256'!P79+'27.08.2568'!P79+'28.08.2568'!P79+'29.08.2568'!P79+'30.08.2568'!P79+'31.08.2568'!P79</f>
        <v>0</v>
      </c>
      <c r="Q79" s="52">
        <f>+'19.08.2568'!Q79+'20.8.2568'!Q79+'21.08.2568'!Q79+'22.08.2568'!Q79+'23.08.2568'!Q79+'24.082568'!Q79+'25.08.2568'!Q79+'26.08.256'!Q79+'27.08.2568'!Q79+'28.08.2568'!Q79+'29.08.2568'!Q79+'30.08.2568'!Q79+'31.08.2568'!Q79</f>
        <v>0</v>
      </c>
      <c r="R79" s="69">
        <f t="shared" si="12"/>
        <v>0</v>
      </c>
      <c r="S79" s="52"/>
      <c r="T79" s="52"/>
      <c r="U79" s="69">
        <f t="shared" si="13"/>
        <v>0</v>
      </c>
      <c r="V79" s="52"/>
      <c r="W79" s="52"/>
      <c r="X79" s="69">
        <f t="shared" si="14"/>
        <v>0</v>
      </c>
      <c r="Y79" s="52">
        <f>+'19.08.2568'!Y79+'20.8.2568'!Y79+'21.08.2568'!Y79+'22.08.2568'!Y79+'23.08.2568'!Y79+'24.082568'!Y79+'25.08.2568'!Y79+'26.08.256'!Y79+'27.08.2568'!Y79+'28.08.2568'!Y79+'29.08.2568'!Y79+'30.08.2568'!Y79+'31.08.2568'!Y79</f>
        <v>10</v>
      </c>
      <c r="Z79" s="75">
        <f t="shared" si="16"/>
        <v>10</v>
      </c>
    </row>
    <row r="80" spans="2:26" hidden="1">
      <c r="B80" s="50">
        <v>1200002</v>
      </c>
      <c r="C80" s="54" t="s">
        <v>196</v>
      </c>
      <c r="D80" s="52">
        <f>+'19.08.2568'!D80+'20.8.2568'!D80+'21.08.2568'!D80+'22.08.2568'!D80+'23.08.2568'!D80+'24.082568'!D80+'25.08.2568'!D80+'26.08.256'!D80+'27.08.2568'!D80+'28.08.2568'!D80+'29.08.2568'!D80+'30.08.2568'!D80+'31.08.2568'!D80</f>
        <v>0</v>
      </c>
      <c r="E80" s="52">
        <f>+'19.08.2568'!E80+'20.8.2568'!E80+'21.08.2568'!E80+'22.08.2568'!E80+'23.08.2568'!E80+'24.082568'!E80+'25.08.2568'!E80+'26.08.256'!E80+'27.08.2568'!E80+'28.08.2568'!E80+'29.08.2568'!E80+'30.08.2568'!E80+'31.08.2568'!E80</f>
        <v>0</v>
      </c>
      <c r="F80" s="69">
        <f t="shared" si="8"/>
        <v>0</v>
      </c>
      <c r="G80" s="52">
        <f>+'19.08.2568'!G80+'20.8.2568'!G80+'21.08.2568'!G80+'22.08.2568'!G80+'23.08.2568'!G80+'24.082568'!G80+'25.08.2568'!G80+'26.08.256'!G80+'27.08.2568'!G80+'28.08.2568'!G80+'29.08.2568'!G80+'30.08.2568'!G80+'31.08.2568'!G80</f>
        <v>0</v>
      </c>
      <c r="H80" s="52">
        <f>+'19.08.2568'!H80+'20.8.2568'!H80+'21.08.2568'!H80+'22.08.2568'!H80+'23.08.2568'!H80+'24.082568'!H80+'25.08.2568'!H80+'26.08.256'!H80+'27.08.2568'!H80+'28.08.2568'!H80+'29.08.2568'!H80+'30.08.2568'!H80+'31.08.2568'!H80</f>
        <v>0</v>
      </c>
      <c r="I80" s="69">
        <f t="shared" si="9"/>
        <v>0</v>
      </c>
      <c r="J80" s="52">
        <f>+'19.08.2568'!J80+'20.8.2568'!J80+'21.08.2568'!J80+'22.08.2568'!J80+'23.08.2568'!J80+'24.082568'!J80+'25.08.2568'!J80+'26.08.256'!J80+'27.08.2568'!J80+'28.08.2568'!J80+'29.08.2568'!J80+'30.08.2568'!J80+'31.08.2568'!J80</f>
        <v>0</v>
      </c>
      <c r="K80" s="52">
        <f>+'19.08.2568'!K80+'20.8.2568'!K80+'21.08.2568'!K80+'22.08.2568'!K80+'23.08.2568'!K80+'24.082568'!K80+'25.08.2568'!K80+'26.08.256'!K80+'27.08.2568'!K80+'28.08.2568'!K80+'29.08.2568'!K80+'30.08.2568'!K80+'31.08.2568'!K80</f>
        <v>0</v>
      </c>
      <c r="L80" s="69">
        <f t="shared" si="10"/>
        <v>0</v>
      </c>
      <c r="M80" s="52">
        <f>+'19.08.2568'!M80+'20.8.2568'!M80+'21.08.2568'!M80+'22.08.2568'!M80+'23.08.2568'!M80+'24.082568'!M80+'25.08.2568'!M80+'26.08.256'!M80+'27.08.2568'!M80+'28.08.2568'!M80+'29.08.2568'!M80+'30.08.2568'!M80+'31.08.2568'!M80</f>
        <v>0</v>
      </c>
      <c r="N80" s="52">
        <f>+'19.08.2568'!N80+'20.8.2568'!N80+'21.08.2568'!N80+'22.08.2568'!N80+'23.08.2568'!N80+'24.082568'!N80+'25.08.2568'!N80+'26.08.256'!N80+'27.08.2568'!N80+'28.08.2568'!N80+'29.08.2568'!N80+'30.08.2568'!N80+'31.08.2568'!N80</f>
        <v>0</v>
      </c>
      <c r="O80" s="69">
        <f t="shared" si="11"/>
        <v>0</v>
      </c>
      <c r="P80" s="52">
        <f>+'19.08.2568'!P80+'20.8.2568'!P80+'21.08.2568'!P80+'22.08.2568'!P80+'23.08.2568'!P80+'24.082568'!P80+'25.08.2568'!P80+'26.08.256'!P80+'27.08.2568'!P80+'28.08.2568'!P80+'29.08.2568'!P80+'30.08.2568'!P80+'31.08.2568'!P80</f>
        <v>0</v>
      </c>
      <c r="Q80" s="52">
        <f>+'19.08.2568'!Q80+'20.8.2568'!Q80+'21.08.2568'!Q80+'22.08.2568'!Q80+'23.08.2568'!Q80+'24.082568'!Q80+'25.08.2568'!Q80+'26.08.256'!Q80+'27.08.2568'!Q80+'28.08.2568'!Q80+'29.08.2568'!Q80+'30.08.2568'!Q80+'31.08.2568'!Q80</f>
        <v>0</v>
      </c>
      <c r="R80" s="69">
        <f t="shared" si="12"/>
        <v>0</v>
      </c>
      <c r="S80" s="52"/>
      <c r="T80" s="52"/>
      <c r="U80" s="69">
        <f t="shared" si="13"/>
        <v>0</v>
      </c>
      <c r="V80" s="52"/>
      <c r="W80" s="52"/>
      <c r="X80" s="69">
        <f t="shared" si="14"/>
        <v>0</v>
      </c>
      <c r="Y80" s="52">
        <f>+'19.08.2568'!Y80+'20.8.2568'!Y80+'21.08.2568'!Y80+'22.08.2568'!Y80+'23.08.2568'!Y80+'24.082568'!Y80+'25.08.2568'!Y80+'26.08.256'!Y80+'27.08.2568'!Y80+'28.08.2568'!Y80+'29.08.2568'!Y80+'30.08.2568'!Y80+'31.08.2568'!Y80</f>
        <v>0</v>
      </c>
      <c r="Z80" s="64">
        <f t="shared" si="16"/>
        <v>0</v>
      </c>
    </row>
    <row r="81" spans="2:26" hidden="1">
      <c r="B81" s="50">
        <v>20054646</v>
      </c>
      <c r="C81" s="54" t="s">
        <v>141</v>
      </c>
      <c r="D81" s="52">
        <f>+'19.08.2568'!D81+'20.8.2568'!D81+'21.08.2568'!D81+'22.08.2568'!D81+'23.08.2568'!D81+'24.082568'!D81+'25.08.2568'!D81+'26.08.256'!D81+'27.08.2568'!D81+'28.08.2568'!D81+'29.08.2568'!D81+'30.08.2568'!D81+'31.08.2568'!D81</f>
        <v>0</v>
      </c>
      <c r="E81" s="52">
        <f>+'19.08.2568'!E81+'20.8.2568'!E81+'21.08.2568'!E81+'22.08.2568'!E81+'23.08.2568'!E81+'24.082568'!E81+'25.08.2568'!E81+'26.08.256'!E81+'27.08.2568'!E81+'28.08.2568'!E81+'29.08.2568'!E81+'30.08.2568'!E81+'31.08.2568'!E81</f>
        <v>0</v>
      </c>
      <c r="F81" s="69">
        <f t="shared" si="8"/>
        <v>0</v>
      </c>
      <c r="G81" s="52">
        <f>+'19.08.2568'!G81+'20.8.2568'!G81+'21.08.2568'!G81+'22.08.2568'!G81+'23.08.2568'!G81+'24.082568'!G81+'25.08.2568'!G81+'26.08.256'!G81+'27.08.2568'!G81+'28.08.2568'!G81+'29.08.2568'!G81+'30.08.2568'!G81+'31.08.2568'!G81</f>
        <v>0</v>
      </c>
      <c r="H81" s="52">
        <f>+'19.08.2568'!H81+'20.8.2568'!H81+'21.08.2568'!H81+'22.08.2568'!H81+'23.08.2568'!H81+'24.082568'!H81+'25.08.2568'!H81+'26.08.256'!H81+'27.08.2568'!H81+'28.08.2568'!H81+'29.08.2568'!H81+'30.08.2568'!H81+'31.08.2568'!H81</f>
        <v>0</v>
      </c>
      <c r="I81" s="69">
        <f t="shared" si="9"/>
        <v>0</v>
      </c>
      <c r="J81" s="52">
        <f>+'19.08.2568'!J81+'20.8.2568'!J81+'21.08.2568'!J81+'22.08.2568'!J81+'23.08.2568'!J81+'24.082568'!J81+'25.08.2568'!J81+'26.08.256'!J81+'27.08.2568'!J81+'28.08.2568'!J81+'29.08.2568'!J81+'30.08.2568'!J81+'31.08.2568'!J81</f>
        <v>0</v>
      </c>
      <c r="K81" s="52">
        <f>+'19.08.2568'!K81+'20.8.2568'!K81+'21.08.2568'!K81+'22.08.2568'!K81+'23.08.2568'!K81+'24.082568'!K81+'25.08.2568'!K81+'26.08.256'!K81+'27.08.2568'!K81+'28.08.2568'!K81+'29.08.2568'!K81+'30.08.2568'!K81+'31.08.2568'!K81</f>
        <v>0</v>
      </c>
      <c r="L81" s="69">
        <f t="shared" si="10"/>
        <v>0</v>
      </c>
      <c r="M81" s="52">
        <f>+'19.08.2568'!M81+'20.8.2568'!M81+'21.08.2568'!M81+'22.08.2568'!M81+'23.08.2568'!M81+'24.082568'!M81+'25.08.2568'!M81+'26.08.256'!M81+'27.08.2568'!M81+'28.08.2568'!M81+'29.08.2568'!M81+'30.08.2568'!M81+'31.08.2568'!M81</f>
        <v>0</v>
      </c>
      <c r="N81" s="52">
        <f>+'19.08.2568'!N81+'20.8.2568'!N81+'21.08.2568'!N81+'22.08.2568'!N81+'23.08.2568'!N81+'24.082568'!N81+'25.08.2568'!N81+'26.08.256'!N81+'27.08.2568'!N81+'28.08.2568'!N81+'29.08.2568'!N81+'30.08.2568'!N81+'31.08.2568'!N81</f>
        <v>0</v>
      </c>
      <c r="O81" s="69">
        <f t="shared" si="11"/>
        <v>0</v>
      </c>
      <c r="P81" s="52">
        <f>+'19.08.2568'!P81+'20.8.2568'!P81+'21.08.2568'!P81+'22.08.2568'!P81+'23.08.2568'!P81+'24.082568'!P81+'25.08.2568'!P81+'26.08.256'!P81+'27.08.2568'!P81+'28.08.2568'!P81+'29.08.2568'!P81+'30.08.2568'!P81+'31.08.2568'!P81</f>
        <v>0</v>
      </c>
      <c r="Q81" s="52">
        <f>+'19.08.2568'!Q81+'20.8.2568'!Q81+'21.08.2568'!Q81+'22.08.2568'!Q81+'23.08.2568'!Q81+'24.082568'!Q81+'25.08.2568'!Q81+'26.08.256'!Q81+'27.08.2568'!Q81+'28.08.2568'!Q81+'29.08.2568'!Q81+'30.08.2568'!Q81+'31.08.2568'!Q81</f>
        <v>0</v>
      </c>
      <c r="R81" s="69">
        <f t="shared" si="12"/>
        <v>0</v>
      </c>
      <c r="S81" s="52"/>
      <c r="T81" s="52"/>
      <c r="U81" s="69">
        <f t="shared" si="13"/>
        <v>0</v>
      </c>
      <c r="V81" s="52"/>
      <c r="W81" s="52"/>
      <c r="X81" s="69">
        <f t="shared" si="14"/>
        <v>0</v>
      </c>
      <c r="Y81" s="52">
        <f>+'19.08.2568'!Y81+'20.8.2568'!Y81+'21.08.2568'!Y81+'22.08.2568'!Y81+'23.08.2568'!Y81+'24.082568'!Y81+'25.08.2568'!Y81+'26.08.256'!Y81+'27.08.2568'!Y81+'28.08.2568'!Y81+'29.08.2568'!Y81+'30.08.2568'!Y81+'31.08.2568'!Y81</f>
        <v>0</v>
      </c>
      <c r="Z81" s="64">
        <f t="shared" si="16"/>
        <v>0</v>
      </c>
    </row>
    <row r="82" spans="2:26">
      <c r="B82" s="50">
        <v>300</v>
      </c>
      <c r="C82" s="54" t="s">
        <v>197</v>
      </c>
      <c r="D82" s="52">
        <f>+'19.08.2568'!D82+'20.8.2568'!D82+'21.08.2568'!D82+'22.08.2568'!D82+'23.08.2568'!D82+'24.082568'!D82+'25.08.2568'!D82+'26.08.256'!D82+'27.08.2568'!D82+'28.08.2568'!D82+'29.08.2568'!D82+'30.08.2568'!D82+'31.08.2568'!D82</f>
        <v>0</v>
      </c>
      <c r="E82" s="52">
        <f>+'19.08.2568'!E82+'20.8.2568'!E82+'21.08.2568'!E82+'22.08.2568'!E82+'23.08.2568'!E82+'24.082568'!E82+'25.08.2568'!E82+'26.08.256'!E82+'27.08.2568'!E82+'28.08.2568'!E82+'29.08.2568'!E82+'30.08.2568'!E82+'31.08.2568'!E82</f>
        <v>0</v>
      </c>
      <c r="F82" s="69">
        <f t="shared" si="8"/>
        <v>0</v>
      </c>
      <c r="G82" s="52">
        <f>+'19.08.2568'!G82+'20.8.2568'!G82+'21.08.2568'!G82+'22.08.2568'!G82+'23.08.2568'!G82+'24.082568'!G82+'25.08.2568'!G82+'26.08.256'!G82+'27.08.2568'!G82+'28.08.2568'!G82+'29.08.2568'!G82+'30.08.2568'!G82+'31.08.2568'!G82</f>
        <v>27</v>
      </c>
      <c r="H82" s="52">
        <f>+'19.08.2568'!H82+'20.8.2568'!H82+'21.08.2568'!H82+'22.08.2568'!H82+'23.08.2568'!H82+'24.082568'!H82+'25.08.2568'!H82+'26.08.256'!H82+'27.08.2568'!H82+'28.08.2568'!H82+'29.08.2568'!H82+'30.08.2568'!H82+'31.08.2568'!H82</f>
        <v>0</v>
      </c>
      <c r="I82" s="69">
        <f t="shared" si="9"/>
        <v>27</v>
      </c>
      <c r="J82" s="52">
        <f>+'19.08.2568'!J82+'20.8.2568'!J82+'21.08.2568'!J82+'22.08.2568'!J82+'23.08.2568'!J82+'24.082568'!J82+'25.08.2568'!J82+'26.08.256'!J82+'27.08.2568'!J82+'28.08.2568'!J82+'29.08.2568'!J82+'30.08.2568'!J82+'31.08.2568'!J82</f>
        <v>4</v>
      </c>
      <c r="K82" s="52">
        <f>+'19.08.2568'!K82+'20.8.2568'!K82+'21.08.2568'!K82+'22.08.2568'!K82+'23.08.2568'!K82+'24.082568'!K82+'25.08.2568'!K82+'26.08.256'!K82+'27.08.2568'!K82+'28.08.2568'!K82+'29.08.2568'!K82+'30.08.2568'!K82+'31.08.2568'!K82</f>
        <v>0</v>
      </c>
      <c r="L82" s="69">
        <f t="shared" si="10"/>
        <v>4</v>
      </c>
      <c r="M82" s="52">
        <f>+'19.08.2568'!M82+'20.8.2568'!M82+'21.08.2568'!M82+'22.08.2568'!M82+'23.08.2568'!M82+'24.082568'!M82+'25.08.2568'!M82+'26.08.256'!M82+'27.08.2568'!M82+'28.08.2568'!M82+'29.08.2568'!M82+'30.08.2568'!M82+'31.08.2568'!M82</f>
        <v>0</v>
      </c>
      <c r="N82" s="52">
        <f>+'19.08.2568'!N82+'20.8.2568'!N82+'21.08.2568'!N82+'22.08.2568'!N82+'23.08.2568'!N82+'24.082568'!N82+'25.08.2568'!N82+'26.08.256'!N82+'27.08.2568'!N82+'28.08.2568'!N82+'29.08.2568'!N82+'30.08.2568'!N82+'31.08.2568'!N82</f>
        <v>0</v>
      </c>
      <c r="O82" s="69">
        <f t="shared" si="11"/>
        <v>0</v>
      </c>
      <c r="P82" s="52">
        <f>+'19.08.2568'!P82+'20.8.2568'!P82+'21.08.2568'!P82+'22.08.2568'!P82+'23.08.2568'!P82+'24.082568'!P82+'25.08.2568'!P82+'26.08.256'!P82+'27.08.2568'!P82+'28.08.2568'!P82+'29.08.2568'!P82+'30.08.2568'!P82+'31.08.2568'!P82</f>
        <v>0</v>
      </c>
      <c r="Q82" s="52">
        <f>+'19.08.2568'!Q82+'20.8.2568'!Q82+'21.08.2568'!Q82+'22.08.2568'!Q82+'23.08.2568'!Q82+'24.082568'!Q82+'25.08.2568'!Q82+'26.08.256'!Q82+'27.08.2568'!Q82+'28.08.2568'!Q82+'29.08.2568'!Q82+'30.08.2568'!Q82+'31.08.2568'!Q82</f>
        <v>0</v>
      </c>
      <c r="R82" s="69">
        <f t="shared" si="12"/>
        <v>0</v>
      </c>
      <c r="S82" s="52"/>
      <c r="T82" s="52"/>
      <c r="U82" s="69">
        <f t="shared" si="13"/>
        <v>0</v>
      </c>
      <c r="V82" s="52"/>
      <c r="W82" s="52"/>
      <c r="X82" s="69">
        <f t="shared" si="14"/>
        <v>0</v>
      </c>
      <c r="Y82" s="52">
        <f>+'19.08.2568'!Y82+'20.8.2568'!Y82+'21.08.2568'!Y82+'22.08.2568'!Y82+'23.08.2568'!Y82+'24.082568'!Y82+'25.08.2568'!Y82+'26.08.256'!Y82+'27.08.2568'!Y82+'28.08.2568'!Y82+'29.08.2568'!Y82+'30.08.2568'!Y82+'31.08.2568'!Y82</f>
        <v>0</v>
      </c>
      <c r="Z82" s="75">
        <f t="shared" si="16"/>
        <v>31</v>
      </c>
    </row>
    <row r="83" spans="2:26">
      <c r="B83" s="50">
        <v>200</v>
      </c>
      <c r="C83" s="54" t="s">
        <v>198</v>
      </c>
      <c r="D83" s="52">
        <f>+'19.08.2568'!D83+'20.8.2568'!D83+'21.08.2568'!D83+'22.08.2568'!D83+'23.08.2568'!D83+'24.082568'!D83+'25.08.2568'!D83+'26.08.256'!D83+'27.08.2568'!D83+'28.08.2568'!D83+'29.08.2568'!D83+'30.08.2568'!D83+'31.08.2568'!D83</f>
        <v>20</v>
      </c>
      <c r="E83" s="52">
        <f>+'19.08.2568'!E83+'20.8.2568'!E83+'21.08.2568'!E83+'22.08.2568'!E83+'23.08.2568'!E83+'24.082568'!E83+'25.08.2568'!E83+'26.08.256'!E83+'27.08.2568'!E83+'28.08.2568'!E83+'29.08.2568'!E83+'30.08.2568'!E83+'31.08.2568'!E83</f>
        <v>0</v>
      </c>
      <c r="F83" s="69">
        <f t="shared" si="8"/>
        <v>20</v>
      </c>
      <c r="G83" s="52">
        <f>+'19.08.2568'!G83+'20.8.2568'!G83+'21.08.2568'!G83+'22.08.2568'!G83+'23.08.2568'!G83+'24.082568'!G83+'25.08.2568'!G83+'26.08.256'!G83+'27.08.2568'!G83+'28.08.2568'!G83+'29.08.2568'!G83+'30.08.2568'!G83+'31.08.2568'!G83</f>
        <v>90</v>
      </c>
      <c r="H83" s="52">
        <f>+'19.08.2568'!H83+'20.8.2568'!H83+'21.08.2568'!H83+'22.08.2568'!H83+'23.08.2568'!H83+'24.082568'!H83+'25.08.2568'!H83+'26.08.256'!H83+'27.08.2568'!H83+'28.08.2568'!H83+'29.08.2568'!H83+'30.08.2568'!H83+'31.08.2568'!H83</f>
        <v>0</v>
      </c>
      <c r="I83" s="69">
        <f t="shared" si="9"/>
        <v>90</v>
      </c>
      <c r="J83" s="52">
        <f>+'19.08.2568'!J83+'20.8.2568'!J83+'21.08.2568'!J83+'22.08.2568'!J83+'23.08.2568'!J83+'24.082568'!J83+'25.08.2568'!J83+'26.08.256'!J83+'27.08.2568'!J83+'28.08.2568'!J83+'29.08.2568'!J83+'30.08.2568'!J83+'31.08.2568'!J83</f>
        <v>11</v>
      </c>
      <c r="K83" s="52">
        <f>+'19.08.2568'!K83+'20.8.2568'!K83+'21.08.2568'!K83+'22.08.2568'!K83+'23.08.2568'!K83+'24.082568'!K83+'25.08.2568'!K83+'26.08.256'!K83+'27.08.2568'!K83+'28.08.2568'!K83+'29.08.2568'!K83+'30.08.2568'!K83+'31.08.2568'!K83</f>
        <v>0</v>
      </c>
      <c r="L83" s="69">
        <f t="shared" si="10"/>
        <v>11</v>
      </c>
      <c r="M83" s="52">
        <f>+'19.08.2568'!M83+'20.8.2568'!M83+'21.08.2568'!M83+'22.08.2568'!M83+'23.08.2568'!M83+'24.082568'!M83+'25.08.2568'!M83+'26.08.256'!M83+'27.08.2568'!M83+'28.08.2568'!M83+'29.08.2568'!M83+'30.08.2568'!M83+'31.08.2568'!M83</f>
        <v>0</v>
      </c>
      <c r="N83" s="52">
        <f>+'19.08.2568'!N83+'20.8.2568'!N83+'21.08.2568'!N83+'22.08.2568'!N83+'23.08.2568'!N83+'24.082568'!N83+'25.08.2568'!N83+'26.08.256'!N83+'27.08.2568'!N83+'28.08.2568'!N83+'29.08.2568'!N83+'30.08.2568'!N83+'31.08.2568'!N83</f>
        <v>0</v>
      </c>
      <c r="O83" s="69">
        <f t="shared" si="11"/>
        <v>0</v>
      </c>
      <c r="P83" s="52">
        <f>+'19.08.2568'!P83+'20.8.2568'!P83+'21.08.2568'!P83+'22.08.2568'!P83+'23.08.2568'!P83+'24.082568'!P83+'25.08.2568'!P83+'26.08.256'!P83+'27.08.2568'!P83+'28.08.2568'!P83+'29.08.2568'!P83+'30.08.2568'!P83+'31.08.2568'!P83</f>
        <v>0</v>
      </c>
      <c r="Q83" s="52">
        <f>+'19.08.2568'!Q83+'20.8.2568'!Q83+'21.08.2568'!Q83+'22.08.2568'!Q83+'23.08.2568'!Q83+'24.082568'!Q83+'25.08.2568'!Q83+'26.08.256'!Q83+'27.08.2568'!Q83+'28.08.2568'!Q83+'29.08.2568'!Q83+'30.08.2568'!Q83+'31.08.2568'!Q83</f>
        <v>0</v>
      </c>
      <c r="R83" s="69">
        <f t="shared" si="12"/>
        <v>0</v>
      </c>
      <c r="S83" s="52"/>
      <c r="T83" s="52"/>
      <c r="U83" s="69">
        <f t="shared" si="13"/>
        <v>0</v>
      </c>
      <c r="V83" s="52"/>
      <c r="W83" s="52"/>
      <c r="X83" s="69">
        <f t="shared" si="14"/>
        <v>0</v>
      </c>
      <c r="Y83" s="52">
        <f>+'19.08.2568'!Y83+'20.8.2568'!Y83+'21.08.2568'!Y83+'22.08.2568'!Y83+'23.08.2568'!Y83+'24.082568'!Y83+'25.08.2568'!Y83+'26.08.256'!Y83+'27.08.2568'!Y83+'28.08.2568'!Y83+'29.08.2568'!Y83+'30.08.2568'!Y83+'31.08.2568'!Y83</f>
        <v>0</v>
      </c>
      <c r="Z83" s="75">
        <f t="shared" si="16"/>
        <v>121</v>
      </c>
    </row>
    <row r="84" spans="2:26" hidden="1">
      <c r="B84" s="50">
        <v>1111087</v>
      </c>
      <c r="C84" s="54" t="s">
        <v>15</v>
      </c>
      <c r="D84" s="52">
        <f>+'19.08.2568'!D84+'20.8.2568'!D84+'21.08.2568'!D84+'22.08.2568'!D84+'23.08.2568'!D84+'24.082568'!D84+'25.08.2568'!D84+'26.08.256'!D84+'27.08.2568'!D84+'28.08.2568'!D84+'29.08.2568'!D84+'30.08.2568'!D84+'31.08.2568'!D84</f>
        <v>0</v>
      </c>
      <c r="E84" s="52">
        <f>+'19.08.2568'!E84+'20.8.2568'!E84+'21.08.2568'!E84+'22.08.2568'!E84+'23.08.2568'!E84+'24.082568'!E84+'25.08.2568'!E84+'26.08.256'!E84+'27.08.2568'!E84+'28.08.2568'!E84+'29.08.2568'!E84+'30.08.2568'!E84+'31.08.2568'!E84</f>
        <v>0</v>
      </c>
      <c r="F84" s="69">
        <f t="shared" si="8"/>
        <v>0</v>
      </c>
      <c r="G84" s="52">
        <f>+'19.08.2568'!G84+'20.8.2568'!G84+'21.08.2568'!G84+'22.08.2568'!G84+'23.08.2568'!G84+'24.082568'!G84+'25.08.2568'!G84+'26.08.256'!G84+'27.08.2568'!G84+'28.08.2568'!G84+'29.08.2568'!G84+'30.08.2568'!G84+'31.08.2568'!G84</f>
        <v>0</v>
      </c>
      <c r="H84" s="52">
        <f>+'19.08.2568'!H84+'20.8.2568'!H84+'21.08.2568'!H84+'22.08.2568'!H84+'23.08.2568'!H84+'24.082568'!H84+'25.08.2568'!H84+'26.08.256'!H84+'27.08.2568'!H84+'28.08.2568'!H84+'29.08.2568'!H84+'30.08.2568'!H84+'31.08.2568'!H84</f>
        <v>0</v>
      </c>
      <c r="I84" s="69">
        <f t="shared" si="9"/>
        <v>0</v>
      </c>
      <c r="J84" s="52">
        <f>+'19.08.2568'!J84+'20.8.2568'!J84+'21.08.2568'!J84+'22.08.2568'!J84+'23.08.2568'!J84+'24.082568'!J84+'25.08.2568'!J84+'26.08.256'!J84+'27.08.2568'!J84+'28.08.2568'!J84+'29.08.2568'!J84+'30.08.2568'!J84+'31.08.2568'!J84</f>
        <v>0</v>
      </c>
      <c r="K84" s="52">
        <f>+'19.08.2568'!K84+'20.8.2568'!K84+'21.08.2568'!K84+'22.08.2568'!K84+'23.08.2568'!K84+'24.082568'!K84+'25.08.2568'!K84+'26.08.256'!K84+'27.08.2568'!K84+'28.08.2568'!K84+'29.08.2568'!K84+'30.08.2568'!K84+'31.08.2568'!K84</f>
        <v>0</v>
      </c>
      <c r="L84" s="69">
        <f t="shared" si="10"/>
        <v>0</v>
      </c>
      <c r="M84" s="52">
        <f>+'19.08.2568'!M84+'20.8.2568'!M84+'21.08.2568'!M84+'22.08.2568'!M84+'23.08.2568'!M84+'24.082568'!M84+'25.08.2568'!M84+'26.08.256'!M84+'27.08.2568'!M84+'28.08.2568'!M84+'29.08.2568'!M84+'30.08.2568'!M84+'31.08.2568'!M84</f>
        <v>0</v>
      </c>
      <c r="N84" s="52">
        <f>+'19.08.2568'!N84+'20.8.2568'!N84+'21.08.2568'!N84+'22.08.2568'!N84+'23.08.2568'!N84+'24.082568'!N84+'25.08.2568'!N84+'26.08.256'!N84+'27.08.2568'!N84+'28.08.2568'!N84+'29.08.2568'!N84+'30.08.2568'!N84+'31.08.2568'!N84</f>
        <v>0</v>
      </c>
      <c r="O84" s="69">
        <f t="shared" si="11"/>
        <v>0</v>
      </c>
      <c r="P84" s="52">
        <f>+'19.08.2568'!P84+'20.8.2568'!P84+'21.08.2568'!P84+'22.08.2568'!P84+'23.08.2568'!P84+'24.082568'!P84+'25.08.2568'!P84+'26.08.256'!P84+'27.08.2568'!P84+'28.08.2568'!P84+'29.08.2568'!P84+'30.08.2568'!P84+'31.08.2568'!P84</f>
        <v>0</v>
      </c>
      <c r="Q84" s="52">
        <f>+'19.08.2568'!Q84+'20.8.2568'!Q84+'21.08.2568'!Q84+'22.08.2568'!Q84+'23.08.2568'!Q84+'24.082568'!Q84+'25.08.2568'!Q84+'26.08.256'!Q84+'27.08.2568'!Q84+'28.08.2568'!Q84+'29.08.2568'!Q84+'30.08.2568'!Q84+'31.08.2568'!Q84</f>
        <v>0</v>
      </c>
      <c r="R84" s="69">
        <f t="shared" si="12"/>
        <v>0</v>
      </c>
      <c r="S84" s="52"/>
      <c r="T84" s="52"/>
      <c r="U84" s="69">
        <f t="shared" si="13"/>
        <v>0</v>
      </c>
      <c r="V84" s="52"/>
      <c r="W84" s="52"/>
      <c r="X84" s="69">
        <f t="shared" si="14"/>
        <v>0</v>
      </c>
      <c r="Y84" s="52">
        <f>+'19.08.2568'!Y84+'20.8.2568'!Y84+'21.08.2568'!Y84+'22.08.2568'!Y84+'23.08.2568'!Y84+'24.082568'!Y84+'25.08.2568'!Y84+'26.08.256'!Y84+'27.08.2568'!Y84+'28.08.2568'!Y84+'29.08.2568'!Y84+'30.08.2568'!Y84+'31.08.2568'!Y84</f>
        <v>0</v>
      </c>
      <c r="Z84" s="64">
        <f t="shared" si="16"/>
        <v>0</v>
      </c>
    </row>
    <row r="85" spans="2:26" hidden="1">
      <c r="B85" s="50"/>
      <c r="C85" s="54" t="s">
        <v>110</v>
      </c>
      <c r="D85" s="52">
        <f>+'19.08.2568'!D85+'20.8.2568'!D85+'21.08.2568'!D85+'22.08.2568'!D85+'23.08.2568'!D85+'24.082568'!D85+'25.08.2568'!D85+'26.08.256'!D85+'27.08.2568'!D85+'28.08.2568'!D85+'29.08.2568'!D85+'30.08.2568'!D85+'31.08.2568'!D85</f>
        <v>0</v>
      </c>
      <c r="E85" s="52">
        <f>+'19.08.2568'!E85+'20.8.2568'!E85+'21.08.2568'!E85+'22.08.2568'!E85+'23.08.2568'!E85+'24.082568'!E85+'25.08.2568'!E85+'26.08.256'!E85+'27.08.2568'!E85+'28.08.2568'!E85+'29.08.2568'!E85+'30.08.2568'!E85+'31.08.2568'!E85</f>
        <v>0</v>
      </c>
      <c r="F85" s="69">
        <f t="shared" si="8"/>
        <v>0</v>
      </c>
      <c r="G85" s="52">
        <f>+'19.08.2568'!G85+'20.8.2568'!G85+'21.08.2568'!G85+'22.08.2568'!G85+'23.08.2568'!G85+'24.082568'!G85+'25.08.2568'!G85+'26.08.256'!G85+'27.08.2568'!G85+'28.08.2568'!G85+'29.08.2568'!G85+'30.08.2568'!G85+'31.08.2568'!G85</f>
        <v>0</v>
      </c>
      <c r="H85" s="52">
        <f>+'19.08.2568'!H85+'20.8.2568'!H85+'21.08.2568'!H85+'22.08.2568'!H85+'23.08.2568'!H85+'24.082568'!H85+'25.08.2568'!H85+'26.08.256'!H85+'27.08.2568'!H85+'28.08.2568'!H85+'29.08.2568'!H85+'30.08.2568'!H85+'31.08.2568'!H85</f>
        <v>0</v>
      </c>
      <c r="I85" s="69">
        <f t="shared" si="9"/>
        <v>0</v>
      </c>
      <c r="J85" s="52">
        <f>+'19.08.2568'!J85+'20.8.2568'!J85+'21.08.2568'!J85+'22.08.2568'!J85+'23.08.2568'!J85+'24.082568'!J85+'25.08.2568'!J85+'26.08.256'!J85+'27.08.2568'!J85+'28.08.2568'!J85+'29.08.2568'!J85+'30.08.2568'!J85+'31.08.2568'!J85</f>
        <v>0</v>
      </c>
      <c r="K85" s="52">
        <f>+'19.08.2568'!K85+'20.8.2568'!K85+'21.08.2568'!K85+'22.08.2568'!K85+'23.08.2568'!K85+'24.082568'!K85+'25.08.2568'!K85+'26.08.256'!K85+'27.08.2568'!K85+'28.08.2568'!K85+'29.08.2568'!K85+'30.08.2568'!K85+'31.08.2568'!K85</f>
        <v>0</v>
      </c>
      <c r="L85" s="69">
        <f t="shared" si="10"/>
        <v>0</v>
      </c>
      <c r="M85" s="52">
        <f>+'19.08.2568'!M85+'20.8.2568'!M85+'21.08.2568'!M85+'22.08.2568'!M85+'23.08.2568'!M85+'24.082568'!M85+'25.08.2568'!M85+'26.08.256'!M85+'27.08.2568'!M85+'28.08.2568'!M85+'29.08.2568'!M85+'30.08.2568'!M85+'31.08.2568'!M85</f>
        <v>0</v>
      </c>
      <c r="N85" s="52">
        <f>+'19.08.2568'!N85+'20.8.2568'!N85+'21.08.2568'!N85+'22.08.2568'!N85+'23.08.2568'!N85+'24.082568'!N85+'25.08.2568'!N85+'26.08.256'!N85+'27.08.2568'!N85+'28.08.2568'!N85+'29.08.2568'!N85+'30.08.2568'!N85+'31.08.2568'!N85</f>
        <v>0</v>
      </c>
      <c r="O85" s="69">
        <f t="shared" si="11"/>
        <v>0</v>
      </c>
      <c r="P85" s="52">
        <f>+'19.08.2568'!P85+'20.8.2568'!P85+'21.08.2568'!P85+'22.08.2568'!P85+'23.08.2568'!P85+'24.082568'!P85+'25.08.2568'!P85+'26.08.256'!P85+'27.08.2568'!P85+'28.08.2568'!P85+'29.08.2568'!P85+'30.08.2568'!P85+'31.08.2568'!P85</f>
        <v>0</v>
      </c>
      <c r="Q85" s="52">
        <f>+'19.08.2568'!Q85+'20.8.2568'!Q85+'21.08.2568'!Q85+'22.08.2568'!Q85+'23.08.2568'!Q85+'24.082568'!Q85+'25.08.2568'!Q85+'26.08.256'!Q85+'27.08.2568'!Q85+'28.08.2568'!Q85+'29.08.2568'!Q85+'30.08.2568'!Q85+'31.08.2568'!Q85</f>
        <v>0</v>
      </c>
      <c r="R85" s="69">
        <f t="shared" si="12"/>
        <v>0</v>
      </c>
      <c r="S85" s="52"/>
      <c r="T85" s="52"/>
      <c r="U85" s="69">
        <f t="shared" si="13"/>
        <v>0</v>
      </c>
      <c r="V85" s="52"/>
      <c r="W85" s="52"/>
      <c r="X85" s="69">
        <f t="shared" si="14"/>
        <v>0</v>
      </c>
      <c r="Y85" s="52">
        <f>+'19.08.2568'!Y85+'20.8.2568'!Y85+'21.08.2568'!Y85+'22.08.2568'!Y85+'23.08.2568'!Y85+'24.082568'!Y85+'25.08.2568'!Y85+'26.08.256'!Y85+'27.08.2568'!Y85+'28.08.2568'!Y85+'29.08.2568'!Y85+'30.08.2568'!Y85+'31.08.2568'!Y85</f>
        <v>0</v>
      </c>
      <c r="Z85" s="64">
        <f t="shared" si="16"/>
        <v>0</v>
      </c>
    </row>
    <row r="86" spans="2:26" hidden="1">
      <c r="B86" s="50"/>
      <c r="C86" s="54" t="s">
        <v>112</v>
      </c>
      <c r="D86" s="52">
        <f>+'19.08.2568'!D86+'20.8.2568'!D86+'21.08.2568'!D86+'22.08.2568'!D86+'23.08.2568'!D86+'24.082568'!D86+'25.08.2568'!D86+'26.08.256'!D86+'27.08.2568'!D86+'28.08.2568'!D86+'29.08.2568'!D86+'30.08.2568'!D86+'31.08.2568'!D86</f>
        <v>0</v>
      </c>
      <c r="E86" s="52">
        <f>+'19.08.2568'!E86+'20.8.2568'!E86+'21.08.2568'!E86+'22.08.2568'!E86+'23.08.2568'!E86+'24.082568'!E86+'25.08.2568'!E86+'26.08.256'!E86+'27.08.2568'!E86+'28.08.2568'!E86+'29.08.2568'!E86+'30.08.2568'!E86+'31.08.2568'!E86</f>
        <v>0</v>
      </c>
      <c r="F86" s="69">
        <f t="shared" si="8"/>
        <v>0</v>
      </c>
      <c r="G86" s="52">
        <f>+'19.08.2568'!G86+'20.8.2568'!G86+'21.08.2568'!G86+'22.08.2568'!G86+'23.08.2568'!G86+'24.082568'!G86+'25.08.2568'!G86+'26.08.256'!G86+'27.08.2568'!G86+'28.08.2568'!G86+'29.08.2568'!G86+'30.08.2568'!G86+'31.08.2568'!G86</f>
        <v>0</v>
      </c>
      <c r="H86" s="52">
        <f>+'19.08.2568'!H86+'20.8.2568'!H86+'21.08.2568'!H86+'22.08.2568'!H86+'23.08.2568'!H86+'24.082568'!H86+'25.08.2568'!H86+'26.08.256'!H86+'27.08.2568'!H86+'28.08.2568'!H86+'29.08.2568'!H86+'30.08.2568'!H86+'31.08.2568'!H86</f>
        <v>0</v>
      </c>
      <c r="I86" s="69">
        <f t="shared" si="9"/>
        <v>0</v>
      </c>
      <c r="J86" s="52">
        <f>+'19.08.2568'!J86+'20.8.2568'!J86+'21.08.2568'!J86+'22.08.2568'!J86+'23.08.2568'!J86+'24.082568'!J86+'25.08.2568'!J86+'26.08.256'!J86+'27.08.2568'!J86+'28.08.2568'!J86+'29.08.2568'!J86+'30.08.2568'!J86+'31.08.2568'!J86</f>
        <v>0</v>
      </c>
      <c r="K86" s="52">
        <f>+'19.08.2568'!K86+'20.8.2568'!K86+'21.08.2568'!K86+'22.08.2568'!K86+'23.08.2568'!K86+'24.082568'!K86+'25.08.2568'!K86+'26.08.256'!K86+'27.08.2568'!K86+'28.08.2568'!K86+'29.08.2568'!K86+'30.08.2568'!K86+'31.08.2568'!K86</f>
        <v>0</v>
      </c>
      <c r="L86" s="69">
        <f t="shared" si="10"/>
        <v>0</v>
      </c>
      <c r="M86" s="52">
        <f>+'19.08.2568'!M86+'20.8.2568'!M86+'21.08.2568'!M86+'22.08.2568'!M86+'23.08.2568'!M86+'24.082568'!M86+'25.08.2568'!M86+'26.08.256'!M86+'27.08.2568'!M86+'28.08.2568'!M86+'29.08.2568'!M86+'30.08.2568'!M86+'31.08.2568'!M86</f>
        <v>0</v>
      </c>
      <c r="N86" s="52">
        <f>+'19.08.2568'!N86+'20.8.2568'!N86+'21.08.2568'!N86+'22.08.2568'!N86+'23.08.2568'!N86+'24.082568'!N86+'25.08.2568'!N86+'26.08.256'!N86+'27.08.2568'!N86+'28.08.2568'!N86+'29.08.2568'!N86+'30.08.2568'!N86+'31.08.2568'!N86</f>
        <v>0</v>
      </c>
      <c r="O86" s="69">
        <f t="shared" si="11"/>
        <v>0</v>
      </c>
      <c r="P86" s="52">
        <f>+'19.08.2568'!P86+'20.8.2568'!P86+'21.08.2568'!P86+'22.08.2568'!P86+'23.08.2568'!P86+'24.082568'!P86+'25.08.2568'!P86+'26.08.256'!P86+'27.08.2568'!P86+'28.08.2568'!P86+'29.08.2568'!P86+'30.08.2568'!P86+'31.08.2568'!P86</f>
        <v>0</v>
      </c>
      <c r="Q86" s="52">
        <f>+'19.08.2568'!Q86+'20.8.2568'!Q86+'21.08.2568'!Q86+'22.08.2568'!Q86+'23.08.2568'!Q86+'24.082568'!Q86+'25.08.2568'!Q86+'26.08.256'!Q86+'27.08.2568'!Q86+'28.08.2568'!Q86+'29.08.2568'!Q86+'30.08.2568'!Q86+'31.08.2568'!Q86</f>
        <v>0</v>
      </c>
      <c r="R86" s="69">
        <f t="shared" si="12"/>
        <v>0</v>
      </c>
      <c r="S86" s="52"/>
      <c r="T86" s="52"/>
      <c r="U86" s="69">
        <f t="shared" si="13"/>
        <v>0</v>
      </c>
      <c r="V86" s="52"/>
      <c r="W86" s="52"/>
      <c r="X86" s="69">
        <f t="shared" si="14"/>
        <v>0</v>
      </c>
      <c r="Y86" s="52">
        <f>+'19.08.2568'!Y86+'20.8.2568'!Y86+'21.08.2568'!Y86+'22.08.2568'!Y86+'23.08.2568'!Y86+'24.082568'!Y86+'25.08.2568'!Y86+'26.08.256'!Y86+'27.08.2568'!Y86+'28.08.2568'!Y86+'29.08.2568'!Y86+'30.08.2568'!Y86+'31.08.2568'!Y86</f>
        <v>0</v>
      </c>
      <c r="Z86" s="64">
        <f t="shared" si="16"/>
        <v>0</v>
      </c>
    </row>
    <row r="87" spans="2:26" hidden="1">
      <c r="B87" s="50"/>
      <c r="C87" s="54" t="s">
        <v>118</v>
      </c>
      <c r="D87" s="52">
        <f>+'19.08.2568'!D87+'20.8.2568'!D87+'21.08.2568'!D87+'22.08.2568'!D87+'23.08.2568'!D87+'24.082568'!D87+'25.08.2568'!D87+'26.08.256'!D87+'27.08.2568'!D87+'28.08.2568'!D87+'29.08.2568'!D87+'30.08.2568'!D87+'31.08.2568'!D87</f>
        <v>0</v>
      </c>
      <c r="E87" s="52">
        <f>+'19.08.2568'!E87+'20.8.2568'!E87+'21.08.2568'!E87+'22.08.2568'!E87+'23.08.2568'!E87+'24.082568'!E87+'25.08.2568'!E87+'26.08.256'!E87+'27.08.2568'!E87+'28.08.2568'!E87+'29.08.2568'!E87+'30.08.2568'!E87+'31.08.2568'!E87</f>
        <v>0</v>
      </c>
      <c r="F87" s="69">
        <f t="shared" si="8"/>
        <v>0</v>
      </c>
      <c r="G87" s="52">
        <f>+'19.08.2568'!G87+'20.8.2568'!G87+'21.08.2568'!G87+'22.08.2568'!G87+'23.08.2568'!G87+'24.082568'!G87+'25.08.2568'!G87+'26.08.256'!G87+'27.08.2568'!G87+'28.08.2568'!G87+'29.08.2568'!G87+'30.08.2568'!G87+'31.08.2568'!G87</f>
        <v>0</v>
      </c>
      <c r="H87" s="52">
        <f>+'19.08.2568'!H87+'20.8.2568'!H87+'21.08.2568'!H87+'22.08.2568'!H87+'23.08.2568'!H87+'24.082568'!H87+'25.08.2568'!H87+'26.08.256'!H87+'27.08.2568'!H87+'28.08.2568'!H87+'29.08.2568'!H87+'30.08.2568'!H87+'31.08.2568'!H87</f>
        <v>0</v>
      </c>
      <c r="I87" s="69">
        <f t="shared" si="9"/>
        <v>0</v>
      </c>
      <c r="J87" s="52">
        <f>+'19.08.2568'!J87+'20.8.2568'!J87+'21.08.2568'!J87+'22.08.2568'!J87+'23.08.2568'!J87+'24.082568'!J87+'25.08.2568'!J87+'26.08.256'!J87+'27.08.2568'!J87+'28.08.2568'!J87+'29.08.2568'!J87+'30.08.2568'!J87+'31.08.2568'!J87</f>
        <v>0</v>
      </c>
      <c r="K87" s="52">
        <f>+'19.08.2568'!K87+'20.8.2568'!K87+'21.08.2568'!K87+'22.08.2568'!K87+'23.08.2568'!K87+'24.082568'!K87+'25.08.2568'!K87+'26.08.256'!K87+'27.08.2568'!K87+'28.08.2568'!K87+'29.08.2568'!K87+'30.08.2568'!K87+'31.08.2568'!K87</f>
        <v>0</v>
      </c>
      <c r="L87" s="69">
        <f t="shared" si="10"/>
        <v>0</v>
      </c>
      <c r="M87" s="52">
        <f>+'19.08.2568'!M87+'20.8.2568'!M87+'21.08.2568'!M87+'22.08.2568'!M87+'23.08.2568'!M87+'24.082568'!M87+'25.08.2568'!M87+'26.08.256'!M87+'27.08.2568'!M87+'28.08.2568'!M87+'29.08.2568'!M87+'30.08.2568'!M87+'31.08.2568'!M87</f>
        <v>0</v>
      </c>
      <c r="N87" s="52">
        <f>+'19.08.2568'!N87+'20.8.2568'!N87+'21.08.2568'!N87+'22.08.2568'!N87+'23.08.2568'!N87+'24.082568'!N87+'25.08.2568'!N87+'26.08.256'!N87+'27.08.2568'!N87+'28.08.2568'!N87+'29.08.2568'!N87+'30.08.2568'!N87+'31.08.2568'!N87</f>
        <v>0</v>
      </c>
      <c r="O87" s="69">
        <f t="shared" si="11"/>
        <v>0</v>
      </c>
      <c r="P87" s="52">
        <f>+'19.08.2568'!P87+'20.8.2568'!P87+'21.08.2568'!P87+'22.08.2568'!P87+'23.08.2568'!P87+'24.082568'!P87+'25.08.2568'!P87+'26.08.256'!P87+'27.08.2568'!P87+'28.08.2568'!P87+'29.08.2568'!P87+'30.08.2568'!P87+'31.08.2568'!P87</f>
        <v>0</v>
      </c>
      <c r="Q87" s="52">
        <f>+'19.08.2568'!Q87+'20.8.2568'!Q87+'21.08.2568'!Q87+'22.08.2568'!Q87+'23.08.2568'!Q87+'24.082568'!Q87+'25.08.2568'!Q87+'26.08.256'!Q87+'27.08.2568'!Q87+'28.08.2568'!Q87+'29.08.2568'!Q87+'30.08.2568'!Q87+'31.08.2568'!Q87</f>
        <v>0</v>
      </c>
      <c r="R87" s="69">
        <f t="shared" si="12"/>
        <v>0</v>
      </c>
      <c r="S87" s="52"/>
      <c r="T87" s="52"/>
      <c r="U87" s="69">
        <f t="shared" si="13"/>
        <v>0</v>
      </c>
      <c r="V87" s="52"/>
      <c r="W87" s="52"/>
      <c r="X87" s="69">
        <f t="shared" si="14"/>
        <v>0</v>
      </c>
      <c r="Y87" s="52">
        <f>+'19.08.2568'!Y87+'20.8.2568'!Y87+'21.08.2568'!Y87+'22.08.2568'!Y87+'23.08.2568'!Y87+'24.082568'!Y87+'25.08.2568'!Y87+'26.08.256'!Y87+'27.08.2568'!Y87+'28.08.2568'!Y87+'29.08.2568'!Y87+'30.08.2568'!Y87+'31.08.2568'!Y87</f>
        <v>0</v>
      </c>
      <c r="Z87" s="64">
        <f t="shared" si="16"/>
        <v>0</v>
      </c>
    </row>
    <row r="88" spans="2:26" hidden="1">
      <c r="B88" s="50"/>
      <c r="C88" s="54" t="s">
        <v>113</v>
      </c>
      <c r="D88" s="52">
        <f>+'19.08.2568'!D88+'20.8.2568'!D88+'21.08.2568'!D88+'22.08.2568'!D88+'23.08.2568'!D88+'24.082568'!D88+'25.08.2568'!D88+'26.08.256'!D88+'27.08.2568'!D88+'28.08.2568'!D88+'29.08.2568'!D88+'30.08.2568'!D88+'31.08.2568'!D88</f>
        <v>0</v>
      </c>
      <c r="E88" s="52">
        <f>+'19.08.2568'!E88+'20.8.2568'!E88+'21.08.2568'!E88+'22.08.2568'!E88+'23.08.2568'!E88+'24.082568'!E88+'25.08.2568'!E88+'26.08.256'!E88+'27.08.2568'!E88+'28.08.2568'!E88+'29.08.2568'!E88+'30.08.2568'!E88+'31.08.2568'!E88</f>
        <v>0</v>
      </c>
      <c r="F88" s="69">
        <f t="shared" si="8"/>
        <v>0</v>
      </c>
      <c r="G88" s="52">
        <f>+'19.08.2568'!G88+'20.8.2568'!G88+'21.08.2568'!G88+'22.08.2568'!G88+'23.08.2568'!G88+'24.082568'!G88+'25.08.2568'!G88+'26.08.256'!G88+'27.08.2568'!G88+'28.08.2568'!G88+'29.08.2568'!G88+'30.08.2568'!G88+'31.08.2568'!G88</f>
        <v>0</v>
      </c>
      <c r="H88" s="52">
        <f>+'19.08.2568'!H88+'20.8.2568'!H88+'21.08.2568'!H88+'22.08.2568'!H88+'23.08.2568'!H88+'24.082568'!H88+'25.08.2568'!H88+'26.08.256'!H88+'27.08.2568'!H88+'28.08.2568'!H88+'29.08.2568'!H88+'30.08.2568'!H88+'31.08.2568'!H88</f>
        <v>0</v>
      </c>
      <c r="I88" s="69">
        <f t="shared" si="9"/>
        <v>0</v>
      </c>
      <c r="J88" s="52">
        <f>+'19.08.2568'!J88+'20.8.2568'!J88+'21.08.2568'!J88+'22.08.2568'!J88+'23.08.2568'!J88+'24.082568'!J88+'25.08.2568'!J88+'26.08.256'!J88+'27.08.2568'!J88+'28.08.2568'!J88+'29.08.2568'!J88+'30.08.2568'!J88+'31.08.2568'!J88</f>
        <v>0</v>
      </c>
      <c r="K88" s="52">
        <f>+'19.08.2568'!K88+'20.8.2568'!K88+'21.08.2568'!K88+'22.08.2568'!K88+'23.08.2568'!K88+'24.082568'!K88+'25.08.2568'!K88+'26.08.256'!K88+'27.08.2568'!K88+'28.08.2568'!K88+'29.08.2568'!K88+'30.08.2568'!K88+'31.08.2568'!K88</f>
        <v>0</v>
      </c>
      <c r="L88" s="69">
        <f t="shared" si="10"/>
        <v>0</v>
      </c>
      <c r="M88" s="52">
        <f>+'19.08.2568'!M88+'20.8.2568'!M88+'21.08.2568'!M88+'22.08.2568'!M88+'23.08.2568'!M88+'24.082568'!M88+'25.08.2568'!M88+'26.08.256'!M88+'27.08.2568'!M88+'28.08.2568'!M88+'29.08.2568'!M88+'30.08.2568'!M88+'31.08.2568'!M88</f>
        <v>0</v>
      </c>
      <c r="N88" s="52">
        <f>+'19.08.2568'!N88+'20.8.2568'!N88+'21.08.2568'!N88+'22.08.2568'!N88+'23.08.2568'!N88+'24.082568'!N88+'25.08.2568'!N88+'26.08.256'!N88+'27.08.2568'!N88+'28.08.2568'!N88+'29.08.2568'!N88+'30.08.2568'!N88+'31.08.2568'!N88</f>
        <v>0</v>
      </c>
      <c r="O88" s="69">
        <f t="shared" si="11"/>
        <v>0</v>
      </c>
      <c r="P88" s="52">
        <f>+'19.08.2568'!P88+'20.8.2568'!P88+'21.08.2568'!P88+'22.08.2568'!P88+'23.08.2568'!P88+'24.082568'!P88+'25.08.2568'!P88+'26.08.256'!P88+'27.08.2568'!P88+'28.08.2568'!P88+'29.08.2568'!P88+'30.08.2568'!P88+'31.08.2568'!P88</f>
        <v>0</v>
      </c>
      <c r="Q88" s="52">
        <f>+'19.08.2568'!Q88+'20.8.2568'!Q88+'21.08.2568'!Q88+'22.08.2568'!Q88+'23.08.2568'!Q88+'24.082568'!Q88+'25.08.2568'!Q88+'26.08.256'!Q88+'27.08.2568'!Q88+'28.08.2568'!Q88+'29.08.2568'!Q88+'30.08.2568'!Q88+'31.08.2568'!Q88</f>
        <v>0</v>
      </c>
      <c r="R88" s="69">
        <f t="shared" si="12"/>
        <v>0</v>
      </c>
      <c r="S88" s="52"/>
      <c r="T88" s="52"/>
      <c r="U88" s="69">
        <f t="shared" si="13"/>
        <v>0</v>
      </c>
      <c r="V88" s="52"/>
      <c r="W88" s="52"/>
      <c r="X88" s="69">
        <f t="shared" si="14"/>
        <v>0</v>
      </c>
      <c r="Y88" s="52">
        <f>+'19.08.2568'!Y88+'20.8.2568'!Y88+'21.08.2568'!Y88+'22.08.2568'!Y88+'23.08.2568'!Y88+'24.082568'!Y88+'25.08.2568'!Y88+'26.08.256'!Y88+'27.08.2568'!Y88+'28.08.2568'!Y88+'29.08.2568'!Y88+'30.08.2568'!Y88+'31.08.2568'!Y88</f>
        <v>0</v>
      </c>
      <c r="Z88" s="64">
        <f t="shared" si="16"/>
        <v>0</v>
      </c>
    </row>
    <row r="89" spans="2:26" hidden="1">
      <c r="B89" s="50">
        <v>1111092</v>
      </c>
      <c r="C89" s="54" t="s">
        <v>20</v>
      </c>
      <c r="D89" s="52">
        <f>+'19.08.2568'!D89+'20.8.2568'!D89+'21.08.2568'!D89+'22.08.2568'!D89+'23.08.2568'!D89+'24.082568'!D89+'25.08.2568'!D89+'26.08.256'!D89+'27.08.2568'!D89+'28.08.2568'!D89+'29.08.2568'!D89+'30.08.2568'!D89+'31.08.2568'!D89</f>
        <v>0</v>
      </c>
      <c r="E89" s="52">
        <f>+'19.08.2568'!E89+'20.8.2568'!E89+'21.08.2568'!E89+'22.08.2568'!E89+'23.08.2568'!E89+'24.082568'!E89+'25.08.2568'!E89+'26.08.256'!E89+'27.08.2568'!E89+'28.08.2568'!E89+'29.08.2568'!E89+'30.08.2568'!E89+'31.08.2568'!E89</f>
        <v>0</v>
      </c>
      <c r="F89" s="69">
        <f t="shared" si="8"/>
        <v>0</v>
      </c>
      <c r="G89" s="52">
        <f>+'19.08.2568'!G89+'20.8.2568'!G89+'21.08.2568'!G89+'22.08.2568'!G89+'23.08.2568'!G89+'24.082568'!G89+'25.08.2568'!G89+'26.08.256'!G89+'27.08.2568'!G89+'28.08.2568'!G89+'29.08.2568'!G89+'30.08.2568'!G89+'31.08.2568'!G89</f>
        <v>0</v>
      </c>
      <c r="H89" s="52">
        <f>+'19.08.2568'!H89+'20.8.2568'!H89+'21.08.2568'!H89+'22.08.2568'!H89+'23.08.2568'!H89+'24.082568'!H89+'25.08.2568'!H89+'26.08.256'!H89+'27.08.2568'!H89+'28.08.2568'!H89+'29.08.2568'!H89+'30.08.2568'!H89+'31.08.2568'!H89</f>
        <v>0</v>
      </c>
      <c r="I89" s="69">
        <f t="shared" si="9"/>
        <v>0</v>
      </c>
      <c r="J89" s="52">
        <f>+'19.08.2568'!J89+'20.8.2568'!J89+'21.08.2568'!J89+'22.08.2568'!J89+'23.08.2568'!J89+'24.082568'!J89+'25.08.2568'!J89+'26.08.256'!J89+'27.08.2568'!J89+'28.08.2568'!J89+'29.08.2568'!J89+'30.08.2568'!J89+'31.08.2568'!J89</f>
        <v>0</v>
      </c>
      <c r="K89" s="52">
        <f>+'19.08.2568'!K89+'20.8.2568'!K89+'21.08.2568'!K89+'22.08.2568'!K89+'23.08.2568'!K89+'24.082568'!K89+'25.08.2568'!K89+'26.08.256'!K89+'27.08.2568'!K89+'28.08.2568'!K89+'29.08.2568'!K89+'30.08.2568'!K89+'31.08.2568'!K89</f>
        <v>0</v>
      </c>
      <c r="L89" s="69">
        <f t="shared" si="10"/>
        <v>0</v>
      </c>
      <c r="M89" s="52">
        <f>+'19.08.2568'!M89+'20.8.2568'!M89+'21.08.2568'!M89+'22.08.2568'!M89+'23.08.2568'!M89+'24.082568'!M89+'25.08.2568'!M89+'26.08.256'!M89+'27.08.2568'!M89+'28.08.2568'!M89+'29.08.2568'!M89+'30.08.2568'!M89+'31.08.2568'!M89</f>
        <v>0</v>
      </c>
      <c r="N89" s="52">
        <f>+'19.08.2568'!N89+'20.8.2568'!N89+'21.08.2568'!N89+'22.08.2568'!N89+'23.08.2568'!N89+'24.082568'!N89+'25.08.2568'!N89+'26.08.256'!N89+'27.08.2568'!N89+'28.08.2568'!N89+'29.08.2568'!N89+'30.08.2568'!N89+'31.08.2568'!N89</f>
        <v>0</v>
      </c>
      <c r="O89" s="69">
        <f t="shared" si="11"/>
        <v>0</v>
      </c>
      <c r="P89" s="52">
        <f>+'19.08.2568'!P89+'20.8.2568'!P89+'21.08.2568'!P89+'22.08.2568'!P89+'23.08.2568'!P89+'24.082568'!P89+'25.08.2568'!P89+'26.08.256'!P89+'27.08.2568'!P89+'28.08.2568'!P89+'29.08.2568'!P89+'30.08.2568'!P89+'31.08.2568'!P89</f>
        <v>0</v>
      </c>
      <c r="Q89" s="52">
        <f>+'19.08.2568'!Q89+'20.8.2568'!Q89+'21.08.2568'!Q89+'22.08.2568'!Q89+'23.08.2568'!Q89+'24.082568'!Q89+'25.08.2568'!Q89+'26.08.256'!Q89+'27.08.2568'!Q89+'28.08.2568'!Q89+'29.08.2568'!Q89+'30.08.2568'!Q89+'31.08.2568'!Q89</f>
        <v>0</v>
      </c>
      <c r="R89" s="69">
        <f t="shared" si="12"/>
        <v>0</v>
      </c>
      <c r="S89" s="52"/>
      <c r="T89" s="52"/>
      <c r="U89" s="69">
        <f t="shared" si="13"/>
        <v>0</v>
      </c>
      <c r="V89" s="52"/>
      <c r="W89" s="52"/>
      <c r="X89" s="69">
        <f t="shared" si="14"/>
        <v>0</v>
      </c>
      <c r="Y89" s="52">
        <f>+'19.08.2568'!Y89+'20.8.2568'!Y89+'21.08.2568'!Y89+'22.08.2568'!Y89+'23.08.2568'!Y89+'24.082568'!Y89+'25.08.2568'!Y89+'26.08.256'!Y89+'27.08.2568'!Y89+'28.08.2568'!Y89+'29.08.2568'!Y89+'30.08.2568'!Y89+'31.08.2568'!Y89</f>
        <v>0</v>
      </c>
      <c r="Z89" s="64">
        <f t="shared" si="16"/>
        <v>0</v>
      </c>
    </row>
    <row r="90" spans="2:26" hidden="1">
      <c r="B90" s="50">
        <v>1111093</v>
      </c>
      <c r="C90" s="54" t="s">
        <v>21</v>
      </c>
      <c r="D90" s="52">
        <f>+'19.08.2568'!D90+'20.8.2568'!D90+'21.08.2568'!D90+'22.08.2568'!D90+'23.08.2568'!D90+'24.082568'!D90+'25.08.2568'!D90+'26.08.256'!D90+'27.08.2568'!D90+'28.08.2568'!D90+'29.08.2568'!D90+'30.08.2568'!D90+'31.08.2568'!D90</f>
        <v>0</v>
      </c>
      <c r="E90" s="52">
        <f>+'19.08.2568'!E90+'20.8.2568'!E90+'21.08.2568'!E90+'22.08.2568'!E90+'23.08.2568'!E90+'24.082568'!E90+'25.08.2568'!E90+'26.08.256'!E90+'27.08.2568'!E90+'28.08.2568'!E90+'29.08.2568'!E90+'30.08.2568'!E90+'31.08.2568'!E90</f>
        <v>0</v>
      </c>
      <c r="F90" s="69">
        <f t="shared" si="8"/>
        <v>0</v>
      </c>
      <c r="G90" s="52">
        <f>+'19.08.2568'!G90+'20.8.2568'!G90+'21.08.2568'!G90+'22.08.2568'!G90+'23.08.2568'!G90+'24.082568'!G90+'25.08.2568'!G90+'26.08.256'!G90+'27.08.2568'!G90+'28.08.2568'!G90+'29.08.2568'!G90+'30.08.2568'!G90+'31.08.2568'!G90</f>
        <v>0</v>
      </c>
      <c r="H90" s="52">
        <f>+'19.08.2568'!H90+'20.8.2568'!H90+'21.08.2568'!H90+'22.08.2568'!H90+'23.08.2568'!H90+'24.082568'!H90+'25.08.2568'!H90+'26.08.256'!H90+'27.08.2568'!H90+'28.08.2568'!H90+'29.08.2568'!H90+'30.08.2568'!H90+'31.08.2568'!H90</f>
        <v>0</v>
      </c>
      <c r="I90" s="69">
        <f t="shared" si="9"/>
        <v>0</v>
      </c>
      <c r="J90" s="52">
        <f>+'19.08.2568'!J90+'20.8.2568'!J90+'21.08.2568'!J90+'22.08.2568'!J90+'23.08.2568'!J90+'24.082568'!J90+'25.08.2568'!J90+'26.08.256'!J90+'27.08.2568'!J90+'28.08.2568'!J90+'29.08.2568'!J90+'30.08.2568'!J90+'31.08.2568'!J90</f>
        <v>0</v>
      </c>
      <c r="K90" s="52">
        <f>+'19.08.2568'!K90+'20.8.2568'!K90+'21.08.2568'!K90+'22.08.2568'!K90+'23.08.2568'!K90+'24.082568'!K90+'25.08.2568'!K90+'26.08.256'!K90+'27.08.2568'!K90+'28.08.2568'!K90+'29.08.2568'!K90+'30.08.2568'!K90+'31.08.2568'!K90</f>
        <v>0</v>
      </c>
      <c r="L90" s="69">
        <f t="shared" si="10"/>
        <v>0</v>
      </c>
      <c r="M90" s="52">
        <f>+'19.08.2568'!M90+'20.8.2568'!M90+'21.08.2568'!M90+'22.08.2568'!M90+'23.08.2568'!M90+'24.082568'!M90+'25.08.2568'!M90+'26.08.256'!M90+'27.08.2568'!M90+'28.08.2568'!M90+'29.08.2568'!M90+'30.08.2568'!M90+'31.08.2568'!M90</f>
        <v>0</v>
      </c>
      <c r="N90" s="52">
        <f>+'19.08.2568'!N90+'20.8.2568'!N90+'21.08.2568'!N90+'22.08.2568'!N90+'23.08.2568'!N90+'24.082568'!N90+'25.08.2568'!N90+'26.08.256'!N90+'27.08.2568'!N90+'28.08.2568'!N90+'29.08.2568'!N90+'30.08.2568'!N90+'31.08.2568'!N90</f>
        <v>0</v>
      </c>
      <c r="O90" s="69">
        <f t="shared" si="11"/>
        <v>0</v>
      </c>
      <c r="P90" s="52">
        <f>+'19.08.2568'!P90+'20.8.2568'!P90+'21.08.2568'!P90+'22.08.2568'!P90+'23.08.2568'!P90+'24.082568'!P90+'25.08.2568'!P90+'26.08.256'!P90+'27.08.2568'!P90+'28.08.2568'!P90+'29.08.2568'!P90+'30.08.2568'!P90+'31.08.2568'!P90</f>
        <v>0</v>
      </c>
      <c r="Q90" s="52">
        <f>+'19.08.2568'!Q90+'20.8.2568'!Q90+'21.08.2568'!Q90+'22.08.2568'!Q90+'23.08.2568'!Q90+'24.082568'!Q90+'25.08.2568'!Q90+'26.08.256'!Q90+'27.08.2568'!Q90+'28.08.2568'!Q90+'29.08.2568'!Q90+'30.08.2568'!Q90+'31.08.2568'!Q90</f>
        <v>0</v>
      </c>
      <c r="R90" s="69">
        <f t="shared" si="12"/>
        <v>0</v>
      </c>
      <c r="S90" s="52"/>
      <c r="T90" s="52"/>
      <c r="U90" s="69">
        <f t="shared" si="13"/>
        <v>0</v>
      </c>
      <c r="V90" s="52"/>
      <c r="W90" s="52"/>
      <c r="X90" s="69">
        <f t="shared" si="14"/>
        <v>0</v>
      </c>
      <c r="Y90" s="52">
        <f>+'19.08.2568'!Y90+'20.8.2568'!Y90+'21.08.2568'!Y90+'22.08.2568'!Y90+'23.08.2568'!Y90+'24.082568'!Y90+'25.08.2568'!Y90+'26.08.256'!Y90+'27.08.2568'!Y90+'28.08.2568'!Y90+'29.08.2568'!Y90+'30.08.2568'!Y90+'31.08.2568'!Y90</f>
        <v>0</v>
      </c>
      <c r="Z90" s="64">
        <f t="shared" si="16"/>
        <v>0</v>
      </c>
    </row>
    <row r="91" spans="2:26" hidden="1">
      <c r="B91" s="50">
        <v>1111088</v>
      </c>
      <c r="C91" s="54" t="s">
        <v>16</v>
      </c>
      <c r="D91" s="52">
        <f>+'19.08.2568'!D91+'20.8.2568'!D91+'21.08.2568'!D91+'22.08.2568'!D91+'23.08.2568'!D91+'24.082568'!D91+'25.08.2568'!D91+'26.08.256'!D91+'27.08.2568'!D91+'28.08.2568'!D91+'29.08.2568'!D91+'30.08.2568'!D91+'31.08.2568'!D91</f>
        <v>0</v>
      </c>
      <c r="E91" s="52">
        <f>+'19.08.2568'!E91+'20.8.2568'!E91+'21.08.2568'!E91+'22.08.2568'!E91+'23.08.2568'!E91+'24.082568'!E91+'25.08.2568'!E91+'26.08.256'!E91+'27.08.2568'!E91+'28.08.2568'!E91+'29.08.2568'!E91+'30.08.2568'!E91+'31.08.2568'!E91</f>
        <v>0</v>
      </c>
      <c r="F91" s="69">
        <f t="shared" si="8"/>
        <v>0</v>
      </c>
      <c r="G91" s="52">
        <f>+'19.08.2568'!G91+'20.8.2568'!G91+'21.08.2568'!G91+'22.08.2568'!G91+'23.08.2568'!G91+'24.082568'!G91+'25.08.2568'!G91+'26.08.256'!G91+'27.08.2568'!G91+'28.08.2568'!G91+'29.08.2568'!G91+'30.08.2568'!G91+'31.08.2568'!G91</f>
        <v>0</v>
      </c>
      <c r="H91" s="52">
        <f>+'19.08.2568'!H91+'20.8.2568'!H91+'21.08.2568'!H91+'22.08.2568'!H91+'23.08.2568'!H91+'24.082568'!H91+'25.08.2568'!H91+'26.08.256'!H91+'27.08.2568'!H91+'28.08.2568'!H91+'29.08.2568'!H91+'30.08.2568'!H91+'31.08.2568'!H91</f>
        <v>0</v>
      </c>
      <c r="I91" s="69">
        <f t="shared" si="9"/>
        <v>0</v>
      </c>
      <c r="J91" s="52">
        <f>+'19.08.2568'!J91+'20.8.2568'!J91+'21.08.2568'!J91+'22.08.2568'!J91+'23.08.2568'!J91+'24.082568'!J91+'25.08.2568'!J91+'26.08.256'!J91+'27.08.2568'!J91+'28.08.2568'!J91+'29.08.2568'!J91+'30.08.2568'!J91+'31.08.2568'!J91</f>
        <v>0</v>
      </c>
      <c r="K91" s="52">
        <f>+'19.08.2568'!K91+'20.8.2568'!K91+'21.08.2568'!K91+'22.08.2568'!K91+'23.08.2568'!K91+'24.082568'!K91+'25.08.2568'!K91+'26.08.256'!K91+'27.08.2568'!K91+'28.08.2568'!K91+'29.08.2568'!K91+'30.08.2568'!K91+'31.08.2568'!K91</f>
        <v>0</v>
      </c>
      <c r="L91" s="69">
        <f t="shared" si="10"/>
        <v>0</v>
      </c>
      <c r="M91" s="52">
        <f>+'19.08.2568'!M91+'20.8.2568'!M91+'21.08.2568'!M91+'22.08.2568'!M91+'23.08.2568'!M91+'24.082568'!M91+'25.08.2568'!M91+'26.08.256'!M91+'27.08.2568'!M91+'28.08.2568'!M91+'29.08.2568'!M91+'30.08.2568'!M91+'31.08.2568'!M91</f>
        <v>0</v>
      </c>
      <c r="N91" s="52">
        <f>+'19.08.2568'!N91+'20.8.2568'!N91+'21.08.2568'!N91+'22.08.2568'!N91+'23.08.2568'!N91+'24.082568'!N91+'25.08.2568'!N91+'26.08.256'!N91+'27.08.2568'!N91+'28.08.2568'!N91+'29.08.2568'!N91+'30.08.2568'!N91+'31.08.2568'!N91</f>
        <v>0</v>
      </c>
      <c r="O91" s="69">
        <f t="shared" si="11"/>
        <v>0</v>
      </c>
      <c r="P91" s="52">
        <f>+'19.08.2568'!P91+'20.8.2568'!P91+'21.08.2568'!P91+'22.08.2568'!P91+'23.08.2568'!P91+'24.082568'!P91+'25.08.2568'!P91+'26.08.256'!P91+'27.08.2568'!P91+'28.08.2568'!P91+'29.08.2568'!P91+'30.08.2568'!P91+'31.08.2568'!P91</f>
        <v>0</v>
      </c>
      <c r="Q91" s="52">
        <f>+'19.08.2568'!Q91+'20.8.2568'!Q91+'21.08.2568'!Q91+'22.08.2568'!Q91+'23.08.2568'!Q91+'24.082568'!Q91+'25.08.2568'!Q91+'26.08.256'!Q91+'27.08.2568'!Q91+'28.08.2568'!Q91+'29.08.2568'!Q91+'30.08.2568'!Q91+'31.08.2568'!Q91</f>
        <v>0</v>
      </c>
      <c r="R91" s="69">
        <f t="shared" si="12"/>
        <v>0</v>
      </c>
      <c r="S91" s="52"/>
      <c r="T91" s="52"/>
      <c r="U91" s="69">
        <f t="shared" si="13"/>
        <v>0</v>
      </c>
      <c r="V91" s="52"/>
      <c r="W91" s="52"/>
      <c r="X91" s="69">
        <f t="shared" si="14"/>
        <v>0</v>
      </c>
      <c r="Y91" s="52">
        <f>+'19.08.2568'!Y91+'20.8.2568'!Y91+'21.08.2568'!Y91+'22.08.2568'!Y91+'23.08.2568'!Y91+'24.082568'!Y91+'25.08.2568'!Y91+'26.08.256'!Y91+'27.08.2568'!Y91+'28.08.2568'!Y91+'29.08.2568'!Y91+'30.08.2568'!Y91+'31.08.2568'!Y91</f>
        <v>0</v>
      </c>
      <c r="Z91" s="64">
        <f t="shared" si="16"/>
        <v>0</v>
      </c>
    </row>
    <row r="92" spans="2:26" hidden="1">
      <c r="B92" s="50">
        <v>1111089</v>
      </c>
      <c r="C92" s="54" t="s">
        <v>17</v>
      </c>
      <c r="D92" s="52">
        <f>+'19.08.2568'!D92+'20.8.2568'!D92+'21.08.2568'!D92+'22.08.2568'!D92+'23.08.2568'!D92+'24.082568'!D92+'25.08.2568'!D92+'26.08.256'!D92+'27.08.2568'!D92+'28.08.2568'!D92+'29.08.2568'!D92+'30.08.2568'!D92+'31.08.2568'!D92</f>
        <v>0</v>
      </c>
      <c r="E92" s="52">
        <f>+'19.08.2568'!E92+'20.8.2568'!E92+'21.08.2568'!E92+'22.08.2568'!E92+'23.08.2568'!E92+'24.082568'!E92+'25.08.2568'!E92+'26.08.256'!E92+'27.08.2568'!E92+'28.08.2568'!E92+'29.08.2568'!E92+'30.08.2568'!E92+'31.08.2568'!E92</f>
        <v>0</v>
      </c>
      <c r="F92" s="69">
        <f t="shared" si="8"/>
        <v>0</v>
      </c>
      <c r="G92" s="52">
        <f>+'19.08.2568'!G92+'20.8.2568'!G92+'21.08.2568'!G92+'22.08.2568'!G92+'23.08.2568'!G92+'24.082568'!G92+'25.08.2568'!G92+'26.08.256'!G92+'27.08.2568'!G92+'28.08.2568'!G92+'29.08.2568'!G92+'30.08.2568'!G92+'31.08.2568'!G92</f>
        <v>0</v>
      </c>
      <c r="H92" s="52">
        <f>+'19.08.2568'!H92+'20.8.2568'!H92+'21.08.2568'!H92+'22.08.2568'!H92+'23.08.2568'!H92+'24.082568'!H92+'25.08.2568'!H92+'26.08.256'!H92+'27.08.2568'!H92+'28.08.2568'!H92+'29.08.2568'!H92+'30.08.2568'!H92+'31.08.2568'!H92</f>
        <v>0</v>
      </c>
      <c r="I92" s="69">
        <f t="shared" si="9"/>
        <v>0</v>
      </c>
      <c r="J92" s="52">
        <f>+'19.08.2568'!J92+'20.8.2568'!J92+'21.08.2568'!J92+'22.08.2568'!J92+'23.08.2568'!J92+'24.082568'!J92+'25.08.2568'!J92+'26.08.256'!J92+'27.08.2568'!J92+'28.08.2568'!J92+'29.08.2568'!J92+'30.08.2568'!J92+'31.08.2568'!J92</f>
        <v>0</v>
      </c>
      <c r="K92" s="52">
        <f>+'19.08.2568'!K92+'20.8.2568'!K92+'21.08.2568'!K92+'22.08.2568'!K92+'23.08.2568'!K92+'24.082568'!K92+'25.08.2568'!K92+'26.08.256'!K92+'27.08.2568'!K92+'28.08.2568'!K92+'29.08.2568'!K92+'30.08.2568'!K92+'31.08.2568'!K92</f>
        <v>0</v>
      </c>
      <c r="L92" s="69">
        <f t="shared" si="10"/>
        <v>0</v>
      </c>
      <c r="M92" s="52">
        <f>+'19.08.2568'!M92+'20.8.2568'!M92+'21.08.2568'!M92+'22.08.2568'!M92+'23.08.2568'!M92+'24.082568'!M92+'25.08.2568'!M92+'26.08.256'!M92+'27.08.2568'!M92+'28.08.2568'!M92+'29.08.2568'!M92+'30.08.2568'!M92+'31.08.2568'!M92</f>
        <v>0</v>
      </c>
      <c r="N92" s="52">
        <f>+'19.08.2568'!N92+'20.8.2568'!N92+'21.08.2568'!N92+'22.08.2568'!N92+'23.08.2568'!N92+'24.082568'!N92+'25.08.2568'!N92+'26.08.256'!N92+'27.08.2568'!N92+'28.08.2568'!N92+'29.08.2568'!N92+'30.08.2568'!N92+'31.08.2568'!N92</f>
        <v>0</v>
      </c>
      <c r="O92" s="69">
        <f t="shared" si="11"/>
        <v>0</v>
      </c>
      <c r="P92" s="52">
        <f>+'19.08.2568'!P92+'20.8.2568'!P92+'21.08.2568'!P92+'22.08.2568'!P92+'23.08.2568'!P92+'24.082568'!P92+'25.08.2568'!P92+'26.08.256'!P92+'27.08.2568'!P92+'28.08.2568'!P92+'29.08.2568'!P92+'30.08.2568'!P92+'31.08.2568'!P92</f>
        <v>0</v>
      </c>
      <c r="Q92" s="52">
        <f>+'19.08.2568'!Q92+'20.8.2568'!Q92+'21.08.2568'!Q92+'22.08.2568'!Q92+'23.08.2568'!Q92+'24.082568'!Q92+'25.08.2568'!Q92+'26.08.256'!Q92+'27.08.2568'!Q92+'28.08.2568'!Q92+'29.08.2568'!Q92+'30.08.2568'!Q92+'31.08.2568'!Q92</f>
        <v>0</v>
      </c>
      <c r="R92" s="69">
        <f t="shared" si="12"/>
        <v>0</v>
      </c>
      <c r="S92" s="52"/>
      <c r="T92" s="52"/>
      <c r="U92" s="69">
        <f t="shared" si="13"/>
        <v>0</v>
      </c>
      <c r="V92" s="52"/>
      <c r="W92" s="52"/>
      <c r="X92" s="69">
        <f t="shared" si="14"/>
        <v>0</v>
      </c>
      <c r="Y92" s="52">
        <f>+'19.08.2568'!Y92+'20.8.2568'!Y92+'21.08.2568'!Y92+'22.08.2568'!Y92+'23.08.2568'!Y92+'24.082568'!Y92+'25.08.2568'!Y92+'26.08.256'!Y92+'27.08.2568'!Y92+'28.08.2568'!Y92+'29.08.2568'!Y92+'30.08.2568'!Y92+'31.08.2568'!Y92</f>
        <v>0</v>
      </c>
      <c r="Z92" s="64">
        <f t="shared" si="16"/>
        <v>0</v>
      </c>
    </row>
    <row r="93" spans="2:26" hidden="1">
      <c r="B93" s="50">
        <v>1111094</v>
      </c>
      <c r="C93" s="54" t="s">
        <v>22</v>
      </c>
      <c r="D93" s="52">
        <f>+'19.08.2568'!D93+'20.8.2568'!D93+'21.08.2568'!D93+'22.08.2568'!D93+'23.08.2568'!D93+'24.082568'!D93+'25.08.2568'!D93+'26.08.256'!D93+'27.08.2568'!D93+'28.08.2568'!D93+'29.08.2568'!D93+'30.08.2568'!D93+'31.08.2568'!D93</f>
        <v>0</v>
      </c>
      <c r="E93" s="52">
        <f>+'19.08.2568'!E93+'20.8.2568'!E93+'21.08.2568'!E93+'22.08.2568'!E93+'23.08.2568'!E93+'24.082568'!E93+'25.08.2568'!E93+'26.08.256'!E93+'27.08.2568'!E93+'28.08.2568'!E93+'29.08.2568'!E93+'30.08.2568'!E93+'31.08.2568'!E93</f>
        <v>0</v>
      </c>
      <c r="F93" s="69">
        <f t="shared" si="8"/>
        <v>0</v>
      </c>
      <c r="G93" s="52">
        <f>+'19.08.2568'!G93+'20.8.2568'!G93+'21.08.2568'!G93+'22.08.2568'!G93+'23.08.2568'!G93+'24.082568'!G93+'25.08.2568'!G93+'26.08.256'!G93+'27.08.2568'!G93+'28.08.2568'!G93+'29.08.2568'!G93+'30.08.2568'!G93+'31.08.2568'!G93</f>
        <v>0</v>
      </c>
      <c r="H93" s="52">
        <f>+'19.08.2568'!H93+'20.8.2568'!H93+'21.08.2568'!H93+'22.08.2568'!H93+'23.08.2568'!H93+'24.082568'!H93+'25.08.2568'!H93+'26.08.256'!H93+'27.08.2568'!H93+'28.08.2568'!H93+'29.08.2568'!H93+'30.08.2568'!H93+'31.08.2568'!H93</f>
        <v>0</v>
      </c>
      <c r="I93" s="69">
        <f t="shared" si="9"/>
        <v>0</v>
      </c>
      <c r="J93" s="52">
        <f>+'19.08.2568'!J93+'20.8.2568'!J93+'21.08.2568'!J93+'22.08.2568'!J93+'23.08.2568'!J93+'24.082568'!J93+'25.08.2568'!J93+'26.08.256'!J93+'27.08.2568'!J93+'28.08.2568'!J93+'29.08.2568'!J93+'30.08.2568'!J93+'31.08.2568'!J93</f>
        <v>0</v>
      </c>
      <c r="K93" s="52">
        <f>+'19.08.2568'!K93+'20.8.2568'!K93+'21.08.2568'!K93+'22.08.2568'!K93+'23.08.2568'!K93+'24.082568'!K93+'25.08.2568'!K93+'26.08.256'!K93+'27.08.2568'!K93+'28.08.2568'!K93+'29.08.2568'!K93+'30.08.2568'!K93+'31.08.2568'!K93</f>
        <v>0</v>
      </c>
      <c r="L93" s="69">
        <f t="shared" si="10"/>
        <v>0</v>
      </c>
      <c r="M93" s="52">
        <f>+'19.08.2568'!M93+'20.8.2568'!M93+'21.08.2568'!M93+'22.08.2568'!M93+'23.08.2568'!M93+'24.082568'!M93+'25.08.2568'!M93+'26.08.256'!M93+'27.08.2568'!M93+'28.08.2568'!M93+'29.08.2568'!M93+'30.08.2568'!M93+'31.08.2568'!M93</f>
        <v>0</v>
      </c>
      <c r="N93" s="52">
        <f>+'19.08.2568'!N93+'20.8.2568'!N93+'21.08.2568'!N93+'22.08.2568'!N93+'23.08.2568'!N93+'24.082568'!N93+'25.08.2568'!N93+'26.08.256'!N93+'27.08.2568'!N93+'28.08.2568'!N93+'29.08.2568'!N93+'30.08.2568'!N93+'31.08.2568'!N93</f>
        <v>0</v>
      </c>
      <c r="O93" s="69">
        <f t="shared" si="11"/>
        <v>0</v>
      </c>
      <c r="P93" s="52">
        <f>+'19.08.2568'!P93+'20.8.2568'!P93+'21.08.2568'!P93+'22.08.2568'!P93+'23.08.2568'!P93+'24.082568'!P93+'25.08.2568'!P93+'26.08.256'!P93+'27.08.2568'!P93+'28.08.2568'!P93+'29.08.2568'!P93+'30.08.2568'!P93+'31.08.2568'!P93</f>
        <v>0</v>
      </c>
      <c r="Q93" s="52">
        <f>+'19.08.2568'!Q93+'20.8.2568'!Q93+'21.08.2568'!Q93+'22.08.2568'!Q93+'23.08.2568'!Q93+'24.082568'!Q93+'25.08.2568'!Q93+'26.08.256'!Q93+'27.08.2568'!Q93+'28.08.2568'!Q93+'29.08.2568'!Q93+'30.08.2568'!Q93+'31.08.2568'!Q93</f>
        <v>0</v>
      </c>
      <c r="R93" s="69">
        <f t="shared" si="12"/>
        <v>0</v>
      </c>
      <c r="S93" s="52"/>
      <c r="T93" s="52"/>
      <c r="U93" s="69">
        <f t="shared" si="13"/>
        <v>0</v>
      </c>
      <c r="V93" s="52"/>
      <c r="W93" s="52"/>
      <c r="X93" s="69">
        <f t="shared" si="14"/>
        <v>0</v>
      </c>
      <c r="Y93" s="52">
        <f>+'19.08.2568'!Y93+'20.8.2568'!Y93+'21.08.2568'!Y93+'22.08.2568'!Y93+'23.08.2568'!Y93+'24.082568'!Y93+'25.08.2568'!Y93+'26.08.256'!Y93+'27.08.2568'!Y93+'28.08.2568'!Y93+'29.08.2568'!Y93+'30.08.2568'!Y93+'31.08.2568'!Y93</f>
        <v>0</v>
      </c>
      <c r="Z93" s="64">
        <f t="shared" si="16"/>
        <v>0</v>
      </c>
    </row>
    <row r="94" spans="2:26" hidden="1">
      <c r="B94" s="50">
        <v>1111095</v>
      </c>
      <c r="C94" s="54" t="s">
        <v>23</v>
      </c>
      <c r="D94" s="52">
        <f>+'19.08.2568'!D94+'20.8.2568'!D94+'21.08.2568'!D94+'22.08.2568'!D94+'23.08.2568'!D94+'24.082568'!D94+'25.08.2568'!D94+'26.08.256'!D94+'27.08.2568'!D94+'28.08.2568'!D94+'29.08.2568'!D94+'30.08.2568'!D94+'31.08.2568'!D94</f>
        <v>0</v>
      </c>
      <c r="E94" s="52">
        <f>+'19.08.2568'!E94+'20.8.2568'!E94+'21.08.2568'!E94+'22.08.2568'!E94+'23.08.2568'!E94+'24.082568'!E94+'25.08.2568'!E94+'26.08.256'!E94+'27.08.2568'!E94+'28.08.2568'!E94+'29.08.2568'!E94+'30.08.2568'!E94+'31.08.2568'!E94</f>
        <v>0</v>
      </c>
      <c r="F94" s="69">
        <f t="shared" si="8"/>
        <v>0</v>
      </c>
      <c r="G94" s="52">
        <f>+'19.08.2568'!G94+'20.8.2568'!G94+'21.08.2568'!G94+'22.08.2568'!G94+'23.08.2568'!G94+'24.082568'!G94+'25.08.2568'!G94+'26.08.256'!G94+'27.08.2568'!G94+'28.08.2568'!G94+'29.08.2568'!G94+'30.08.2568'!G94+'31.08.2568'!G94</f>
        <v>0</v>
      </c>
      <c r="H94" s="52">
        <f>+'19.08.2568'!H94+'20.8.2568'!H94+'21.08.2568'!H94+'22.08.2568'!H94+'23.08.2568'!H94+'24.082568'!H94+'25.08.2568'!H94+'26.08.256'!H94+'27.08.2568'!H94+'28.08.2568'!H94+'29.08.2568'!H94+'30.08.2568'!H94+'31.08.2568'!H94</f>
        <v>0</v>
      </c>
      <c r="I94" s="69">
        <f t="shared" si="9"/>
        <v>0</v>
      </c>
      <c r="J94" s="52">
        <f>+'19.08.2568'!J94+'20.8.2568'!J94+'21.08.2568'!J94+'22.08.2568'!J94+'23.08.2568'!J94+'24.082568'!J94+'25.08.2568'!J94+'26.08.256'!J94+'27.08.2568'!J94+'28.08.2568'!J94+'29.08.2568'!J94+'30.08.2568'!J94+'31.08.2568'!J94</f>
        <v>0</v>
      </c>
      <c r="K94" s="52">
        <f>+'19.08.2568'!K94+'20.8.2568'!K94+'21.08.2568'!K94+'22.08.2568'!K94+'23.08.2568'!K94+'24.082568'!K94+'25.08.2568'!K94+'26.08.256'!K94+'27.08.2568'!K94+'28.08.2568'!K94+'29.08.2568'!K94+'30.08.2568'!K94+'31.08.2568'!K94</f>
        <v>0</v>
      </c>
      <c r="L94" s="69">
        <f t="shared" si="10"/>
        <v>0</v>
      </c>
      <c r="M94" s="52">
        <f>+'19.08.2568'!M94+'20.8.2568'!M94+'21.08.2568'!M94+'22.08.2568'!M94+'23.08.2568'!M94+'24.082568'!M94+'25.08.2568'!M94+'26.08.256'!M94+'27.08.2568'!M94+'28.08.2568'!M94+'29.08.2568'!M94+'30.08.2568'!M94+'31.08.2568'!M94</f>
        <v>0</v>
      </c>
      <c r="N94" s="52">
        <f>+'19.08.2568'!N94+'20.8.2568'!N94+'21.08.2568'!N94+'22.08.2568'!N94+'23.08.2568'!N94+'24.082568'!N94+'25.08.2568'!N94+'26.08.256'!N94+'27.08.2568'!N94+'28.08.2568'!N94+'29.08.2568'!N94+'30.08.2568'!N94+'31.08.2568'!N94</f>
        <v>0</v>
      </c>
      <c r="O94" s="69">
        <f t="shared" si="11"/>
        <v>0</v>
      </c>
      <c r="P94" s="52">
        <f>+'19.08.2568'!P94+'20.8.2568'!P94+'21.08.2568'!P94+'22.08.2568'!P94+'23.08.2568'!P94+'24.082568'!P94+'25.08.2568'!P94+'26.08.256'!P94+'27.08.2568'!P94+'28.08.2568'!P94+'29.08.2568'!P94+'30.08.2568'!P94+'31.08.2568'!P94</f>
        <v>0</v>
      </c>
      <c r="Q94" s="52">
        <f>+'19.08.2568'!Q94+'20.8.2568'!Q94+'21.08.2568'!Q94+'22.08.2568'!Q94+'23.08.2568'!Q94+'24.082568'!Q94+'25.08.2568'!Q94+'26.08.256'!Q94+'27.08.2568'!Q94+'28.08.2568'!Q94+'29.08.2568'!Q94+'30.08.2568'!Q94+'31.08.2568'!Q94</f>
        <v>0</v>
      </c>
      <c r="R94" s="69">
        <f t="shared" si="12"/>
        <v>0</v>
      </c>
      <c r="S94" s="52"/>
      <c r="T94" s="52"/>
      <c r="U94" s="69">
        <f t="shared" si="13"/>
        <v>0</v>
      </c>
      <c r="V94" s="52"/>
      <c r="W94" s="52"/>
      <c r="X94" s="69">
        <f t="shared" si="14"/>
        <v>0</v>
      </c>
      <c r="Y94" s="52">
        <f>+'19.08.2568'!Y94+'20.8.2568'!Y94+'21.08.2568'!Y94+'22.08.2568'!Y94+'23.08.2568'!Y94+'24.082568'!Y94+'25.08.2568'!Y94+'26.08.256'!Y94+'27.08.2568'!Y94+'28.08.2568'!Y94+'29.08.2568'!Y94+'30.08.2568'!Y94+'31.08.2568'!Y94</f>
        <v>0</v>
      </c>
      <c r="Z94" s="64">
        <f t="shared" si="16"/>
        <v>0</v>
      </c>
    </row>
    <row r="95" spans="2:26" hidden="1">
      <c r="B95" s="50">
        <v>1111091</v>
      </c>
      <c r="C95" s="54" t="s">
        <v>19</v>
      </c>
      <c r="D95" s="52">
        <f>+'19.08.2568'!D95+'20.8.2568'!D95+'21.08.2568'!D95+'22.08.2568'!D95+'23.08.2568'!D95+'24.082568'!D95+'25.08.2568'!D95+'26.08.256'!D95+'27.08.2568'!D95+'28.08.2568'!D95+'29.08.2568'!D95+'30.08.2568'!D95+'31.08.2568'!D95</f>
        <v>0</v>
      </c>
      <c r="E95" s="52">
        <f>+'19.08.2568'!E95+'20.8.2568'!E95+'21.08.2568'!E95+'22.08.2568'!E95+'23.08.2568'!E95+'24.082568'!E95+'25.08.2568'!E95+'26.08.256'!E95+'27.08.2568'!E95+'28.08.2568'!E95+'29.08.2568'!E95+'30.08.2568'!E95+'31.08.2568'!E95</f>
        <v>0</v>
      </c>
      <c r="F95" s="69">
        <f t="shared" si="8"/>
        <v>0</v>
      </c>
      <c r="G95" s="52">
        <f>+'19.08.2568'!G95+'20.8.2568'!G95+'21.08.2568'!G95+'22.08.2568'!G95+'23.08.2568'!G95+'24.082568'!G95+'25.08.2568'!G95+'26.08.256'!G95+'27.08.2568'!G95+'28.08.2568'!G95+'29.08.2568'!G95+'30.08.2568'!G95+'31.08.2568'!G95</f>
        <v>0</v>
      </c>
      <c r="H95" s="52">
        <f>+'19.08.2568'!H95+'20.8.2568'!H95+'21.08.2568'!H95+'22.08.2568'!H95+'23.08.2568'!H95+'24.082568'!H95+'25.08.2568'!H95+'26.08.256'!H95+'27.08.2568'!H95+'28.08.2568'!H95+'29.08.2568'!H95+'30.08.2568'!H95+'31.08.2568'!H95</f>
        <v>0</v>
      </c>
      <c r="I95" s="69">
        <f t="shared" si="9"/>
        <v>0</v>
      </c>
      <c r="J95" s="52">
        <f>+'19.08.2568'!J95+'20.8.2568'!J95+'21.08.2568'!J95+'22.08.2568'!J95+'23.08.2568'!J95+'24.082568'!J95+'25.08.2568'!J95+'26.08.256'!J95+'27.08.2568'!J95+'28.08.2568'!J95+'29.08.2568'!J95+'30.08.2568'!J95+'31.08.2568'!J95</f>
        <v>0</v>
      </c>
      <c r="K95" s="52">
        <f>+'19.08.2568'!K95+'20.8.2568'!K95+'21.08.2568'!K95+'22.08.2568'!K95+'23.08.2568'!K95+'24.082568'!K95+'25.08.2568'!K95+'26.08.256'!K95+'27.08.2568'!K95+'28.08.2568'!K95+'29.08.2568'!K95+'30.08.2568'!K95+'31.08.2568'!K95</f>
        <v>0</v>
      </c>
      <c r="L95" s="69">
        <f t="shared" si="10"/>
        <v>0</v>
      </c>
      <c r="M95" s="52">
        <f>+'19.08.2568'!M95+'20.8.2568'!M95+'21.08.2568'!M95+'22.08.2568'!M95+'23.08.2568'!M95+'24.082568'!M95+'25.08.2568'!M95+'26.08.256'!M95+'27.08.2568'!M95+'28.08.2568'!M95+'29.08.2568'!M95+'30.08.2568'!M95+'31.08.2568'!M95</f>
        <v>0</v>
      </c>
      <c r="N95" s="52">
        <f>+'19.08.2568'!N95+'20.8.2568'!N95+'21.08.2568'!N95+'22.08.2568'!N95+'23.08.2568'!N95+'24.082568'!N95+'25.08.2568'!N95+'26.08.256'!N95+'27.08.2568'!N95+'28.08.2568'!N95+'29.08.2568'!N95+'30.08.2568'!N95+'31.08.2568'!N95</f>
        <v>0</v>
      </c>
      <c r="O95" s="69">
        <f t="shared" si="11"/>
        <v>0</v>
      </c>
      <c r="P95" s="52">
        <f>+'19.08.2568'!P95+'20.8.2568'!P95+'21.08.2568'!P95+'22.08.2568'!P95+'23.08.2568'!P95+'24.082568'!P95+'25.08.2568'!P95+'26.08.256'!P95+'27.08.2568'!P95+'28.08.2568'!P95+'29.08.2568'!P95+'30.08.2568'!P95+'31.08.2568'!P95</f>
        <v>0</v>
      </c>
      <c r="Q95" s="52">
        <f>+'19.08.2568'!Q95+'20.8.2568'!Q95+'21.08.2568'!Q95+'22.08.2568'!Q95+'23.08.2568'!Q95+'24.082568'!Q95+'25.08.2568'!Q95+'26.08.256'!Q95+'27.08.2568'!Q95+'28.08.2568'!Q95+'29.08.2568'!Q95+'30.08.2568'!Q95+'31.08.2568'!Q95</f>
        <v>0</v>
      </c>
      <c r="R95" s="69">
        <f t="shared" si="12"/>
        <v>0</v>
      </c>
      <c r="S95" s="52"/>
      <c r="T95" s="52"/>
      <c r="U95" s="69">
        <f t="shared" si="13"/>
        <v>0</v>
      </c>
      <c r="V95" s="52"/>
      <c r="W95" s="52"/>
      <c r="X95" s="69">
        <f t="shared" si="14"/>
        <v>0</v>
      </c>
      <c r="Y95" s="52">
        <f>+'19.08.2568'!Y95+'20.8.2568'!Y95+'21.08.2568'!Y95+'22.08.2568'!Y95+'23.08.2568'!Y95+'24.082568'!Y95+'25.08.2568'!Y95+'26.08.256'!Y95+'27.08.2568'!Y95+'28.08.2568'!Y95+'29.08.2568'!Y95+'30.08.2568'!Y95+'31.08.2568'!Y95</f>
        <v>0</v>
      </c>
      <c r="Z95" s="64">
        <f t="shared" si="16"/>
        <v>0</v>
      </c>
    </row>
    <row r="96" spans="2:26" hidden="1">
      <c r="B96" s="50">
        <v>1111086</v>
      </c>
      <c r="C96" s="54" t="s">
        <v>14</v>
      </c>
      <c r="D96" s="52">
        <f>+'19.08.2568'!D96+'20.8.2568'!D96+'21.08.2568'!D96+'22.08.2568'!D96+'23.08.2568'!D96+'24.082568'!D96+'25.08.2568'!D96+'26.08.256'!D96+'27.08.2568'!D96+'28.08.2568'!D96+'29.08.2568'!D96+'30.08.2568'!D96+'31.08.2568'!D96</f>
        <v>0</v>
      </c>
      <c r="E96" s="52">
        <f>+'19.08.2568'!E96+'20.8.2568'!E96+'21.08.2568'!E96+'22.08.2568'!E96+'23.08.2568'!E96+'24.082568'!E96+'25.08.2568'!E96+'26.08.256'!E96+'27.08.2568'!E96+'28.08.2568'!E96+'29.08.2568'!E96+'30.08.2568'!E96+'31.08.2568'!E96</f>
        <v>0</v>
      </c>
      <c r="F96" s="69">
        <f t="shared" si="8"/>
        <v>0</v>
      </c>
      <c r="G96" s="52">
        <f>+'19.08.2568'!G96+'20.8.2568'!G96+'21.08.2568'!G96+'22.08.2568'!G96+'23.08.2568'!G96+'24.082568'!G96+'25.08.2568'!G96+'26.08.256'!G96+'27.08.2568'!G96+'28.08.2568'!G96+'29.08.2568'!G96+'30.08.2568'!G96+'31.08.2568'!G96</f>
        <v>0</v>
      </c>
      <c r="H96" s="52">
        <f>+'19.08.2568'!H96+'20.8.2568'!H96+'21.08.2568'!H96+'22.08.2568'!H96+'23.08.2568'!H96+'24.082568'!H96+'25.08.2568'!H96+'26.08.256'!H96+'27.08.2568'!H96+'28.08.2568'!H96+'29.08.2568'!H96+'30.08.2568'!H96+'31.08.2568'!H96</f>
        <v>0</v>
      </c>
      <c r="I96" s="69">
        <f t="shared" si="9"/>
        <v>0</v>
      </c>
      <c r="J96" s="52">
        <f>+'19.08.2568'!J96+'20.8.2568'!J96+'21.08.2568'!J96+'22.08.2568'!J96+'23.08.2568'!J96+'24.082568'!J96+'25.08.2568'!J96+'26.08.256'!J96+'27.08.2568'!J96+'28.08.2568'!J96+'29.08.2568'!J96+'30.08.2568'!J96+'31.08.2568'!J96</f>
        <v>0</v>
      </c>
      <c r="K96" s="52">
        <f>+'19.08.2568'!K96+'20.8.2568'!K96+'21.08.2568'!K96+'22.08.2568'!K96+'23.08.2568'!K96+'24.082568'!K96+'25.08.2568'!K96+'26.08.256'!K96+'27.08.2568'!K96+'28.08.2568'!K96+'29.08.2568'!K96+'30.08.2568'!K96+'31.08.2568'!K96</f>
        <v>0</v>
      </c>
      <c r="L96" s="69">
        <f t="shared" si="10"/>
        <v>0</v>
      </c>
      <c r="M96" s="52">
        <f>+'19.08.2568'!M96+'20.8.2568'!M96+'21.08.2568'!M96+'22.08.2568'!M96+'23.08.2568'!M96+'24.082568'!M96+'25.08.2568'!M96+'26.08.256'!M96+'27.08.2568'!M96+'28.08.2568'!M96+'29.08.2568'!M96+'30.08.2568'!M96+'31.08.2568'!M96</f>
        <v>0</v>
      </c>
      <c r="N96" s="52">
        <f>+'19.08.2568'!N96+'20.8.2568'!N96+'21.08.2568'!N96+'22.08.2568'!N96+'23.08.2568'!N96+'24.082568'!N96+'25.08.2568'!N96+'26.08.256'!N96+'27.08.2568'!N96+'28.08.2568'!N96+'29.08.2568'!N96+'30.08.2568'!N96+'31.08.2568'!N96</f>
        <v>0</v>
      </c>
      <c r="O96" s="69">
        <f t="shared" si="11"/>
        <v>0</v>
      </c>
      <c r="P96" s="52">
        <f>+'19.08.2568'!P96+'20.8.2568'!P96+'21.08.2568'!P96+'22.08.2568'!P96+'23.08.2568'!P96+'24.082568'!P96+'25.08.2568'!P96+'26.08.256'!P96+'27.08.2568'!P96+'28.08.2568'!P96+'29.08.2568'!P96+'30.08.2568'!P96+'31.08.2568'!P96</f>
        <v>0</v>
      </c>
      <c r="Q96" s="52">
        <f>+'19.08.2568'!Q96+'20.8.2568'!Q96+'21.08.2568'!Q96+'22.08.2568'!Q96+'23.08.2568'!Q96+'24.082568'!Q96+'25.08.2568'!Q96+'26.08.256'!Q96+'27.08.2568'!Q96+'28.08.2568'!Q96+'29.08.2568'!Q96+'30.08.2568'!Q96+'31.08.2568'!Q96</f>
        <v>0</v>
      </c>
      <c r="R96" s="69">
        <f t="shared" si="12"/>
        <v>0</v>
      </c>
      <c r="S96" s="52"/>
      <c r="T96" s="52"/>
      <c r="U96" s="69">
        <f t="shared" si="13"/>
        <v>0</v>
      </c>
      <c r="V96" s="52"/>
      <c r="W96" s="52"/>
      <c r="X96" s="69">
        <f t="shared" si="14"/>
        <v>0</v>
      </c>
      <c r="Y96" s="52">
        <f>+'19.08.2568'!Y96+'20.8.2568'!Y96+'21.08.2568'!Y96+'22.08.2568'!Y96+'23.08.2568'!Y96+'24.082568'!Y96+'25.08.2568'!Y96+'26.08.256'!Y96+'27.08.2568'!Y96+'28.08.2568'!Y96+'29.08.2568'!Y96+'30.08.2568'!Y96+'31.08.2568'!Y96</f>
        <v>0</v>
      </c>
      <c r="Z96" s="64">
        <f t="shared" si="16"/>
        <v>0</v>
      </c>
    </row>
    <row r="97" spans="1:26" hidden="1">
      <c r="B97" s="50">
        <v>20059548</v>
      </c>
      <c r="C97" s="54" t="s">
        <v>199</v>
      </c>
      <c r="D97" s="52">
        <f>+'19.08.2568'!D97+'20.8.2568'!D97+'21.08.2568'!D97+'22.08.2568'!D97+'23.08.2568'!D97+'24.082568'!D97+'25.08.2568'!D97+'26.08.256'!D97+'27.08.2568'!D97+'28.08.2568'!D97+'29.08.2568'!D97+'30.08.2568'!D97+'31.08.2568'!D97</f>
        <v>0</v>
      </c>
      <c r="E97" s="52">
        <f>+'19.08.2568'!E97+'20.8.2568'!E97+'21.08.2568'!E97+'22.08.2568'!E97+'23.08.2568'!E97+'24.082568'!E97+'25.08.2568'!E97+'26.08.256'!E97+'27.08.2568'!E97+'28.08.2568'!E97+'29.08.2568'!E97+'30.08.2568'!E97+'31.08.2568'!E97</f>
        <v>0</v>
      </c>
      <c r="F97" s="69">
        <f t="shared" si="8"/>
        <v>0</v>
      </c>
      <c r="G97" s="52">
        <f>+'19.08.2568'!G97+'20.8.2568'!G97+'21.08.2568'!G97+'22.08.2568'!G97+'23.08.2568'!G97+'24.082568'!G97+'25.08.2568'!G97+'26.08.256'!G97+'27.08.2568'!G97+'28.08.2568'!G97+'29.08.2568'!G97+'30.08.2568'!G97+'31.08.2568'!G97</f>
        <v>0</v>
      </c>
      <c r="H97" s="52">
        <f>+'19.08.2568'!H97+'20.8.2568'!H97+'21.08.2568'!H97+'22.08.2568'!H97+'23.08.2568'!H97+'24.082568'!H97+'25.08.2568'!H97+'26.08.256'!H97+'27.08.2568'!H97+'28.08.2568'!H97+'29.08.2568'!H97+'30.08.2568'!H97+'31.08.2568'!H97</f>
        <v>0</v>
      </c>
      <c r="I97" s="69">
        <f t="shared" si="9"/>
        <v>0</v>
      </c>
      <c r="J97" s="52">
        <f>+'19.08.2568'!J97+'20.8.2568'!J97+'21.08.2568'!J97+'22.08.2568'!J97+'23.08.2568'!J97+'24.082568'!J97+'25.08.2568'!J97+'26.08.256'!J97+'27.08.2568'!J97+'28.08.2568'!J97+'29.08.2568'!J97+'30.08.2568'!J97+'31.08.2568'!J97</f>
        <v>0</v>
      </c>
      <c r="K97" s="52">
        <f>+'19.08.2568'!K97+'20.8.2568'!K97+'21.08.2568'!K97+'22.08.2568'!K97+'23.08.2568'!K97+'24.082568'!K97+'25.08.2568'!K97+'26.08.256'!K97+'27.08.2568'!K97+'28.08.2568'!K97+'29.08.2568'!K97+'30.08.2568'!K97+'31.08.2568'!K97</f>
        <v>0</v>
      </c>
      <c r="L97" s="69">
        <f t="shared" si="10"/>
        <v>0</v>
      </c>
      <c r="M97" s="52">
        <f>+'19.08.2568'!M97+'20.8.2568'!M97+'21.08.2568'!M97+'22.08.2568'!M97+'23.08.2568'!M97+'24.082568'!M97+'25.08.2568'!M97+'26.08.256'!M97+'27.08.2568'!M97+'28.08.2568'!M97+'29.08.2568'!M97+'30.08.2568'!M97+'31.08.2568'!M97</f>
        <v>0</v>
      </c>
      <c r="N97" s="52">
        <f>+'19.08.2568'!N97+'20.8.2568'!N97+'21.08.2568'!N97+'22.08.2568'!N97+'23.08.2568'!N97+'24.082568'!N97+'25.08.2568'!N97+'26.08.256'!N97+'27.08.2568'!N97+'28.08.2568'!N97+'29.08.2568'!N97+'30.08.2568'!N97+'31.08.2568'!N97</f>
        <v>0</v>
      </c>
      <c r="O97" s="69">
        <f t="shared" si="11"/>
        <v>0</v>
      </c>
      <c r="P97" s="52">
        <f>+'19.08.2568'!P97+'20.8.2568'!P97+'21.08.2568'!P97+'22.08.2568'!P97+'23.08.2568'!P97+'24.082568'!P97+'25.08.2568'!P97+'26.08.256'!P97+'27.08.2568'!P97+'28.08.2568'!P97+'29.08.2568'!P97+'30.08.2568'!P97+'31.08.2568'!P97</f>
        <v>0</v>
      </c>
      <c r="Q97" s="52">
        <f>+'19.08.2568'!Q97+'20.8.2568'!Q97+'21.08.2568'!Q97+'22.08.2568'!Q97+'23.08.2568'!Q97+'24.082568'!Q97+'25.08.2568'!Q97+'26.08.256'!Q97+'27.08.2568'!Q97+'28.08.2568'!Q97+'29.08.2568'!Q97+'30.08.2568'!Q97+'31.08.2568'!Q97</f>
        <v>0</v>
      </c>
      <c r="R97" s="69">
        <f t="shared" si="12"/>
        <v>0</v>
      </c>
      <c r="S97" s="52"/>
      <c r="T97" s="52"/>
      <c r="U97" s="69">
        <f t="shared" si="13"/>
        <v>0</v>
      </c>
      <c r="V97" s="52"/>
      <c r="W97" s="52"/>
      <c r="X97" s="69">
        <f t="shared" si="14"/>
        <v>0</v>
      </c>
      <c r="Y97" s="52">
        <f>+'19.08.2568'!Y97+'20.8.2568'!Y97+'21.08.2568'!Y97+'22.08.2568'!Y97+'23.08.2568'!Y97+'24.082568'!Y97+'25.08.2568'!Y97+'26.08.256'!Y97+'27.08.2568'!Y97+'28.08.2568'!Y97+'29.08.2568'!Y97+'30.08.2568'!Y97+'31.08.2568'!Y97</f>
        <v>0</v>
      </c>
      <c r="Z97" s="64">
        <f t="shared" si="16"/>
        <v>0</v>
      </c>
    </row>
    <row r="98" spans="1:26">
      <c r="B98" s="50">
        <v>1100044</v>
      </c>
      <c r="C98" s="54" t="s">
        <v>142</v>
      </c>
      <c r="D98" s="52">
        <f>+'19.08.2568'!D98+'20.8.2568'!D98+'21.08.2568'!D98+'22.08.2568'!D98+'23.08.2568'!D98+'24.082568'!D98+'25.08.2568'!D98+'26.08.256'!D98+'27.08.2568'!D98+'28.08.2568'!D98+'29.08.2568'!D98+'30.08.2568'!D98+'31.08.2568'!D98</f>
        <v>0</v>
      </c>
      <c r="E98" s="52">
        <f>+'19.08.2568'!E98+'20.8.2568'!E98+'21.08.2568'!E98+'22.08.2568'!E98+'23.08.2568'!E98+'24.082568'!E98+'25.08.2568'!E98+'26.08.256'!E98+'27.08.2568'!E98+'28.08.2568'!E98+'29.08.2568'!E98+'30.08.2568'!E98+'31.08.2568'!E98</f>
        <v>0</v>
      </c>
      <c r="F98" s="69">
        <f t="shared" si="8"/>
        <v>0</v>
      </c>
      <c r="G98" s="52">
        <f>+'19.08.2568'!G98+'20.8.2568'!G98+'21.08.2568'!G98+'22.08.2568'!G98+'23.08.2568'!G98+'24.082568'!G98+'25.08.2568'!G98+'26.08.256'!G98+'27.08.2568'!G98+'28.08.2568'!G98+'29.08.2568'!G98+'30.08.2568'!G98+'31.08.2568'!G98</f>
        <v>0</v>
      </c>
      <c r="H98" s="52">
        <f>+'19.08.2568'!H98+'20.8.2568'!H98+'21.08.2568'!H98+'22.08.2568'!H98+'23.08.2568'!H98+'24.082568'!H98+'25.08.2568'!H98+'26.08.256'!H98+'27.08.2568'!H98+'28.08.2568'!H98+'29.08.2568'!H98+'30.08.2568'!H98+'31.08.2568'!H98</f>
        <v>0</v>
      </c>
      <c r="I98" s="69">
        <f t="shared" si="9"/>
        <v>0</v>
      </c>
      <c r="J98" s="52">
        <f>+'19.08.2568'!J98+'20.8.2568'!J98+'21.08.2568'!J98+'22.08.2568'!J98+'23.08.2568'!J98+'24.082568'!J98+'25.08.2568'!J98+'26.08.256'!J98+'27.08.2568'!J98+'28.08.2568'!J98+'29.08.2568'!J98+'30.08.2568'!J98+'31.08.2568'!J98</f>
        <v>0</v>
      </c>
      <c r="K98" s="52">
        <f>+'19.08.2568'!K98+'20.8.2568'!K98+'21.08.2568'!K98+'22.08.2568'!K98+'23.08.2568'!K98+'24.082568'!K98+'25.08.2568'!K98+'26.08.256'!K98+'27.08.2568'!K98+'28.08.2568'!K98+'29.08.2568'!K98+'30.08.2568'!K98+'31.08.2568'!K98</f>
        <v>0</v>
      </c>
      <c r="L98" s="69">
        <f t="shared" si="10"/>
        <v>0</v>
      </c>
      <c r="M98" s="52">
        <f>+'19.08.2568'!M98+'20.8.2568'!M98+'21.08.2568'!M98+'22.08.2568'!M98+'23.08.2568'!M98+'24.082568'!M98+'25.08.2568'!M98+'26.08.256'!M98+'27.08.2568'!M98+'28.08.2568'!M98+'29.08.2568'!M98+'30.08.2568'!M98+'31.08.2568'!M98</f>
        <v>15</v>
      </c>
      <c r="N98" s="52">
        <f>+'19.08.2568'!N98+'20.8.2568'!N98+'21.08.2568'!N98+'22.08.2568'!N98+'23.08.2568'!N98+'24.082568'!N98+'25.08.2568'!N98+'26.08.256'!N98+'27.08.2568'!N98+'28.08.2568'!N98+'29.08.2568'!N98+'30.08.2568'!N98+'31.08.2568'!N98</f>
        <v>0</v>
      </c>
      <c r="O98" s="69">
        <f t="shared" si="11"/>
        <v>15</v>
      </c>
      <c r="P98" s="52">
        <f>+'19.08.2568'!P98+'20.8.2568'!P98+'21.08.2568'!P98+'22.08.2568'!P98+'23.08.2568'!P98+'24.082568'!P98+'25.08.2568'!P98+'26.08.256'!P98+'27.08.2568'!P98+'28.08.2568'!P98+'29.08.2568'!P98+'30.08.2568'!P98+'31.08.2568'!P98</f>
        <v>0</v>
      </c>
      <c r="Q98" s="52">
        <f>+'19.08.2568'!Q98+'20.8.2568'!Q98+'21.08.2568'!Q98+'22.08.2568'!Q98+'23.08.2568'!Q98+'24.082568'!Q98+'25.08.2568'!Q98+'26.08.256'!Q98+'27.08.2568'!Q98+'28.08.2568'!Q98+'29.08.2568'!Q98+'30.08.2568'!Q98+'31.08.2568'!Q98</f>
        <v>0</v>
      </c>
      <c r="R98" s="69">
        <f t="shared" si="12"/>
        <v>0</v>
      </c>
      <c r="S98" s="52"/>
      <c r="T98" s="52"/>
      <c r="U98" s="69">
        <f t="shared" si="13"/>
        <v>0</v>
      </c>
      <c r="V98" s="52"/>
      <c r="W98" s="52"/>
      <c r="X98" s="69">
        <f t="shared" si="14"/>
        <v>0</v>
      </c>
      <c r="Y98" s="52">
        <f>+'19.08.2568'!Y98+'20.8.2568'!Y98+'21.08.2568'!Y98+'22.08.2568'!Y98+'23.08.2568'!Y98+'24.082568'!Y98+'25.08.2568'!Y98+'26.08.256'!Y98+'27.08.2568'!Y98+'28.08.2568'!Y98+'29.08.2568'!Y98+'30.08.2568'!Y98+'31.08.2568'!Y98</f>
        <v>0</v>
      </c>
      <c r="Z98" s="75">
        <f>+F98+I98+L98+O98+R98+U98+X98+Y98</f>
        <v>15</v>
      </c>
    </row>
    <row r="99" spans="1:26" hidden="1">
      <c r="B99" s="50">
        <v>1100045</v>
      </c>
      <c r="C99" s="54" t="s">
        <v>200</v>
      </c>
      <c r="D99" s="52">
        <f>+'19.08.2568'!D99+'20.8.2568'!D99+'21.08.2568'!D99+'22.08.2568'!D99+'23.08.2568'!D99+'24.082568'!D99+'25.08.2568'!D99+'26.08.256'!D99+'27.08.2568'!D99+'28.08.2568'!D99+'29.08.2568'!D99+'30.08.2568'!D99+'31.08.2568'!D99</f>
        <v>0</v>
      </c>
      <c r="E99" s="52">
        <f>+'19.08.2568'!E99+'20.8.2568'!E99+'21.08.2568'!E99+'22.08.2568'!E99+'23.08.2568'!E99+'24.082568'!E99+'25.08.2568'!E99+'26.08.256'!E99+'27.08.2568'!E99+'28.08.2568'!E99+'29.08.2568'!E99+'30.08.2568'!E99+'31.08.2568'!E99</f>
        <v>0</v>
      </c>
      <c r="F99" s="69">
        <f t="shared" si="8"/>
        <v>0</v>
      </c>
      <c r="G99" s="52">
        <f>+'19.08.2568'!G99+'20.8.2568'!G99+'21.08.2568'!G99+'22.08.2568'!G99+'23.08.2568'!G99+'24.082568'!G99+'25.08.2568'!G99+'26.08.256'!G99+'27.08.2568'!G99+'28.08.2568'!G99+'29.08.2568'!G99+'30.08.2568'!G99+'31.08.2568'!G99</f>
        <v>0</v>
      </c>
      <c r="H99" s="52">
        <f>+'19.08.2568'!H99+'20.8.2568'!H99+'21.08.2568'!H99+'22.08.2568'!H99+'23.08.2568'!H99+'24.082568'!H99+'25.08.2568'!H99+'26.08.256'!H99+'27.08.2568'!H99+'28.08.2568'!H99+'29.08.2568'!H99+'30.08.2568'!H99+'31.08.2568'!H99</f>
        <v>0</v>
      </c>
      <c r="I99" s="69">
        <f t="shared" si="9"/>
        <v>0</v>
      </c>
      <c r="J99" s="52">
        <f>+'19.08.2568'!J99+'20.8.2568'!J99+'21.08.2568'!J99+'22.08.2568'!J99+'23.08.2568'!J99+'24.082568'!J99+'25.08.2568'!J99+'26.08.256'!J99+'27.08.2568'!J99+'28.08.2568'!J99+'29.08.2568'!J99+'30.08.2568'!J99+'31.08.2568'!J99</f>
        <v>0</v>
      </c>
      <c r="K99" s="52">
        <f>+'19.08.2568'!K99+'20.8.2568'!K99+'21.08.2568'!K99+'22.08.2568'!K99+'23.08.2568'!K99+'24.082568'!K99+'25.08.2568'!K99+'26.08.256'!K99+'27.08.2568'!K99+'28.08.2568'!K99+'29.08.2568'!K99+'30.08.2568'!K99+'31.08.2568'!K99</f>
        <v>0</v>
      </c>
      <c r="L99" s="69">
        <f t="shared" si="10"/>
        <v>0</v>
      </c>
      <c r="M99" s="52">
        <f>+'19.08.2568'!M99+'20.8.2568'!M99+'21.08.2568'!M99+'22.08.2568'!M99+'23.08.2568'!M99+'24.082568'!M99+'25.08.2568'!M99+'26.08.256'!M99+'27.08.2568'!M99+'28.08.2568'!M99+'29.08.2568'!M99+'30.08.2568'!M99+'31.08.2568'!M99</f>
        <v>0</v>
      </c>
      <c r="N99" s="52">
        <f>+'19.08.2568'!N99+'20.8.2568'!N99+'21.08.2568'!N99+'22.08.2568'!N99+'23.08.2568'!N99+'24.082568'!N99+'25.08.2568'!N99+'26.08.256'!N99+'27.08.2568'!N99+'28.08.2568'!N99+'29.08.2568'!N99+'30.08.2568'!N99+'31.08.2568'!N99</f>
        <v>0</v>
      </c>
      <c r="O99" s="69">
        <f t="shared" si="11"/>
        <v>0</v>
      </c>
      <c r="P99" s="52">
        <f>+'19.08.2568'!P99+'20.8.2568'!P99+'21.08.2568'!P99+'22.08.2568'!P99+'23.08.2568'!P99+'24.082568'!P99+'25.08.2568'!P99+'26.08.256'!P99+'27.08.2568'!P99+'28.08.2568'!P99+'29.08.2568'!P99+'30.08.2568'!P99+'31.08.2568'!P99</f>
        <v>0</v>
      </c>
      <c r="Q99" s="52">
        <f>+'19.08.2568'!Q99+'20.8.2568'!Q99+'21.08.2568'!Q99+'22.08.2568'!Q99+'23.08.2568'!Q99+'24.082568'!Q99+'25.08.2568'!Q99+'26.08.256'!Q99+'27.08.2568'!Q99+'28.08.2568'!Q99+'29.08.2568'!Q99+'30.08.2568'!Q99+'31.08.2568'!Q99</f>
        <v>0</v>
      </c>
      <c r="R99" s="69">
        <f t="shared" si="12"/>
        <v>0</v>
      </c>
      <c r="S99" s="52"/>
      <c r="T99" s="52"/>
      <c r="U99" s="69">
        <f t="shared" si="13"/>
        <v>0</v>
      </c>
      <c r="V99" s="52"/>
      <c r="W99" s="52"/>
      <c r="X99" s="69">
        <f t="shared" si="14"/>
        <v>0</v>
      </c>
      <c r="Y99" s="52">
        <f>+'19.08.2568'!Y99+'20.8.2568'!Y99+'21.08.2568'!Y99+'22.08.2568'!Y99+'23.08.2568'!Y99+'24.082568'!Y99+'25.08.2568'!Y99+'26.08.256'!Y99+'27.08.2568'!Y99+'28.08.2568'!Y99+'29.08.2568'!Y99+'30.08.2568'!Y99+'31.08.2568'!Y99</f>
        <v>0</v>
      </c>
      <c r="Z99" s="64">
        <f t="shared" si="16"/>
        <v>0</v>
      </c>
    </row>
    <row r="100" spans="1:26" s="60" customFormat="1" ht="51.75">
      <c r="B100" s="104" t="s">
        <v>201</v>
      </c>
      <c r="C100" s="105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268</v>
      </c>
      <c r="E100" s="63">
        <f t="shared" ref="E100:W100" si="17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>SUBTOTAL(9,F4:F99)</f>
        <v>268</v>
      </c>
      <c r="G100" s="63">
        <f t="shared" si="17"/>
        <v>3360</v>
      </c>
      <c r="H100" s="63">
        <f t="shared" si="17"/>
        <v>0</v>
      </c>
      <c r="I100" s="71">
        <f>SUBTOTAL(9,I4:I99)</f>
        <v>3360</v>
      </c>
      <c r="J100" s="63">
        <f t="shared" si="17"/>
        <v>550</v>
      </c>
      <c r="K100" s="63">
        <f t="shared" si="17"/>
        <v>0</v>
      </c>
      <c r="L100" s="71">
        <f>SUBTOTAL(9,L4:L99)</f>
        <v>550</v>
      </c>
      <c r="M100" s="63">
        <f t="shared" si="17"/>
        <v>9530</v>
      </c>
      <c r="N100" s="63">
        <f t="shared" si="17"/>
        <v>9</v>
      </c>
      <c r="O100" s="71">
        <f>SUBTOTAL(9,O4:O99)</f>
        <v>9538</v>
      </c>
      <c r="P100" s="63" t="e">
        <f t="shared" si="17"/>
        <v>#VALUE!</v>
      </c>
      <c r="Q100" s="63">
        <f t="shared" si="17"/>
        <v>0</v>
      </c>
      <c r="R100" s="71" t="e">
        <f>SUBTOTAL(9,R4:R99)</f>
        <v>#VALUE!</v>
      </c>
      <c r="S100" s="63">
        <f t="shared" si="17"/>
        <v>0</v>
      </c>
      <c r="T100" s="63">
        <f t="shared" si="17"/>
        <v>0</v>
      </c>
      <c r="U100" s="71">
        <f>SUBTOTAL(9,U4:U99)</f>
        <v>0</v>
      </c>
      <c r="V100" s="63">
        <f t="shared" si="17"/>
        <v>0</v>
      </c>
      <c r="W100" s="63">
        <f t="shared" si="17"/>
        <v>0</v>
      </c>
      <c r="X100" s="71">
        <f>SUBTOTAL(9,X4:X99)</f>
        <v>0</v>
      </c>
      <c r="Y100" s="71">
        <f>SUBTOTAL(9,Y4:Y99)</f>
        <v>412</v>
      </c>
      <c r="Z100" s="71" t="e">
        <f>SUBTOTAL(9,Z4:Z99)</f>
        <v>#VALUE!</v>
      </c>
    </row>
    <row r="101" spans="1:26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26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26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26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26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26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26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26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26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26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26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</row>
  </sheetData>
  <autoFilter ref="A3:Z100" xr:uid="{E7EDB315-48AA-405D-807A-978FB15B15D4}">
    <filterColumn colId="25">
      <customFilters>
        <customFilter operator="notEqual" val=" "/>
      </customFilters>
    </filterColumn>
  </autoFilter>
  <mergeCells count="13">
    <mergeCell ref="B100:C100"/>
    <mergeCell ref="Y2:Y3"/>
    <mergeCell ref="Z2:Z3"/>
    <mergeCell ref="B1:Z1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บ่าย</vt:lpstr>
      <vt:lpstr>เย็น </vt:lpstr>
      <vt:lpstr>19.08.2568</vt:lpstr>
      <vt:lpstr>20.8.2568</vt:lpstr>
      <vt:lpstr>21.08.2568</vt:lpstr>
      <vt:lpstr>22.08.2568</vt:lpstr>
      <vt:lpstr>23.08.2568</vt:lpstr>
      <vt:lpstr>24.082568</vt:lpstr>
      <vt:lpstr>25.08.2568</vt:lpstr>
      <vt:lpstr>26.08.256</vt:lpstr>
      <vt:lpstr>27.08.2568</vt:lpstr>
      <vt:lpstr>28.08.2568</vt:lpstr>
      <vt:lpstr>29.08.2568</vt:lpstr>
      <vt:lpstr>30.08.2568</vt:lpstr>
      <vt:lpstr>31.08.2568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2025-08-31T00:31:33Z</cp:lastPrinted>
  <dcterms:created xsi:type="dcterms:W3CDTF">2024-04-30T05:21:27Z</dcterms:created>
  <dcterms:modified xsi:type="dcterms:W3CDTF">2025-08-31T01:35:00Z</dcterms:modified>
</cp:coreProperties>
</file>