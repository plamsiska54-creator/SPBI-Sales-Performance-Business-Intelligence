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งานต้นปาล์ม\2.รวมออนไลน์\จำนวนชิ้นขาย ออนไลน์\จำนวนชิ้น (ตั๋ง)\ปี 68\7. ก.ค\"/>
    </mc:Choice>
  </mc:AlternateContent>
  <xr:revisionPtr revIDLastSave="0" documentId="13_ncr:1_{4ADC7D76-1EE7-4284-B090-EECF879AEC81}" xr6:coauthVersionLast="47" xr6:coauthVersionMax="47" xr10:uidLastSave="{00000000-0000-0000-0000-000000000000}"/>
  <bookViews>
    <workbookView xWindow="-108" yWindow="-108" windowWidth="23256" windowHeight="12456" activeTab="3" xr2:uid="{55C9AAA3-F459-48EC-A639-AACFFC6390F5}"/>
  </bookViews>
  <sheets>
    <sheet name="เช้า " sheetId="3" r:id="rId1"/>
    <sheet name="บ่าย" sheetId="4" r:id="rId2"/>
    <sheet name="เย็น " sheetId="6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8" i="5" l="1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7" i="5"/>
  <c r="D103" i="5"/>
  <c r="E103" i="5"/>
  <c r="F103" i="5"/>
  <c r="G103" i="5"/>
  <c r="H103" i="5"/>
  <c r="I103" i="5"/>
  <c r="K103" i="5"/>
  <c r="L103" i="5"/>
  <c r="D104" i="5"/>
  <c r="E104" i="5"/>
  <c r="F104" i="5"/>
  <c r="G104" i="5"/>
  <c r="H104" i="5"/>
  <c r="I104" i="5"/>
  <c r="K104" i="5"/>
  <c r="L104" i="5"/>
  <c r="D105" i="5"/>
  <c r="E105" i="5"/>
  <c r="F105" i="5"/>
  <c r="G105" i="5"/>
  <c r="H105" i="5"/>
  <c r="I105" i="5"/>
  <c r="K105" i="5"/>
  <c r="L105" i="5"/>
  <c r="D106" i="5"/>
  <c r="E106" i="5"/>
  <c r="F106" i="5"/>
  <c r="G106" i="5"/>
  <c r="H106" i="5"/>
  <c r="I106" i="5"/>
  <c r="K106" i="5"/>
  <c r="L106" i="5"/>
  <c r="D107" i="5"/>
  <c r="E107" i="5"/>
  <c r="F107" i="5"/>
  <c r="G107" i="5"/>
  <c r="H107" i="5"/>
  <c r="I107" i="5"/>
  <c r="K107" i="5"/>
  <c r="L107" i="5"/>
  <c r="D108" i="5"/>
  <c r="E108" i="5"/>
  <c r="F108" i="5"/>
  <c r="G108" i="5"/>
  <c r="H108" i="5"/>
  <c r="I108" i="5"/>
  <c r="K108" i="5"/>
  <c r="L108" i="5"/>
  <c r="D109" i="5"/>
  <c r="E109" i="5"/>
  <c r="F109" i="5"/>
  <c r="G109" i="5"/>
  <c r="H109" i="5"/>
  <c r="I109" i="5"/>
  <c r="K109" i="5"/>
  <c r="L109" i="5"/>
  <c r="D110" i="5"/>
  <c r="E110" i="5"/>
  <c r="F110" i="5"/>
  <c r="G110" i="5"/>
  <c r="H110" i="5"/>
  <c r="I110" i="5"/>
  <c r="K110" i="5"/>
  <c r="L110" i="5"/>
  <c r="D111" i="5"/>
  <c r="E111" i="5"/>
  <c r="F111" i="5"/>
  <c r="G111" i="5"/>
  <c r="H111" i="5"/>
  <c r="I111" i="5"/>
  <c r="K111" i="5"/>
  <c r="L111" i="5"/>
  <c r="E102" i="5"/>
  <c r="F102" i="5"/>
  <c r="G102" i="5"/>
  <c r="H102" i="5"/>
  <c r="I102" i="5"/>
  <c r="K102" i="5"/>
  <c r="L102" i="5"/>
  <c r="D142" i="5"/>
  <c r="D115" i="5"/>
  <c r="E115" i="5"/>
  <c r="F115" i="5"/>
  <c r="G115" i="5"/>
  <c r="H115" i="5"/>
  <c r="I115" i="5"/>
  <c r="K115" i="5"/>
  <c r="L115" i="5"/>
  <c r="D116" i="5"/>
  <c r="E116" i="5"/>
  <c r="F116" i="5"/>
  <c r="G116" i="5"/>
  <c r="H116" i="5"/>
  <c r="I116" i="5"/>
  <c r="K116" i="5"/>
  <c r="L116" i="5"/>
  <c r="D117" i="5"/>
  <c r="E117" i="5"/>
  <c r="F117" i="5"/>
  <c r="G117" i="5"/>
  <c r="H117" i="5"/>
  <c r="I117" i="5"/>
  <c r="K117" i="5"/>
  <c r="L117" i="5"/>
  <c r="D118" i="5"/>
  <c r="E118" i="5"/>
  <c r="F118" i="5"/>
  <c r="G118" i="5"/>
  <c r="H118" i="5"/>
  <c r="I118" i="5"/>
  <c r="K118" i="5"/>
  <c r="L118" i="5"/>
  <c r="D119" i="5"/>
  <c r="E119" i="5"/>
  <c r="F119" i="5"/>
  <c r="G119" i="5"/>
  <c r="H119" i="5"/>
  <c r="I119" i="5"/>
  <c r="K119" i="5"/>
  <c r="L119" i="5"/>
  <c r="D120" i="5"/>
  <c r="E120" i="5"/>
  <c r="F120" i="5"/>
  <c r="G120" i="5"/>
  <c r="H120" i="5"/>
  <c r="I120" i="5"/>
  <c r="K120" i="5"/>
  <c r="L120" i="5"/>
  <c r="D121" i="5"/>
  <c r="E121" i="5"/>
  <c r="F121" i="5"/>
  <c r="G121" i="5"/>
  <c r="H121" i="5"/>
  <c r="I121" i="5"/>
  <c r="K121" i="5"/>
  <c r="L121" i="5"/>
  <c r="D122" i="5"/>
  <c r="E122" i="5"/>
  <c r="F122" i="5"/>
  <c r="G122" i="5"/>
  <c r="H122" i="5"/>
  <c r="I122" i="5"/>
  <c r="K122" i="5"/>
  <c r="L122" i="5"/>
  <c r="D123" i="5"/>
  <c r="E123" i="5"/>
  <c r="F123" i="5"/>
  <c r="G123" i="5"/>
  <c r="H123" i="5"/>
  <c r="I123" i="5"/>
  <c r="K123" i="5"/>
  <c r="L123" i="5"/>
  <c r="D124" i="5"/>
  <c r="E124" i="5"/>
  <c r="F124" i="5"/>
  <c r="G124" i="5"/>
  <c r="H124" i="5"/>
  <c r="I124" i="5"/>
  <c r="K124" i="5"/>
  <c r="L124" i="5"/>
  <c r="D125" i="5"/>
  <c r="E125" i="5"/>
  <c r="F125" i="5"/>
  <c r="G125" i="5"/>
  <c r="H125" i="5"/>
  <c r="I125" i="5"/>
  <c r="K125" i="5"/>
  <c r="L125" i="5"/>
  <c r="D126" i="5"/>
  <c r="E126" i="5"/>
  <c r="F126" i="5"/>
  <c r="G126" i="5"/>
  <c r="H126" i="5"/>
  <c r="I126" i="5"/>
  <c r="K126" i="5"/>
  <c r="L126" i="5"/>
  <c r="D127" i="5"/>
  <c r="E127" i="5"/>
  <c r="F127" i="5"/>
  <c r="G127" i="5"/>
  <c r="H127" i="5"/>
  <c r="I127" i="5"/>
  <c r="K127" i="5"/>
  <c r="L127" i="5"/>
  <c r="D128" i="5"/>
  <c r="E128" i="5"/>
  <c r="F128" i="5"/>
  <c r="G128" i="5"/>
  <c r="H128" i="5"/>
  <c r="I128" i="5"/>
  <c r="K128" i="5"/>
  <c r="L128" i="5"/>
  <c r="D129" i="5"/>
  <c r="E129" i="5"/>
  <c r="F129" i="5"/>
  <c r="G129" i="5"/>
  <c r="H129" i="5"/>
  <c r="I129" i="5"/>
  <c r="K129" i="5"/>
  <c r="L129" i="5"/>
  <c r="D130" i="5"/>
  <c r="E130" i="5"/>
  <c r="F130" i="5"/>
  <c r="G130" i="5"/>
  <c r="H130" i="5"/>
  <c r="I130" i="5"/>
  <c r="K130" i="5"/>
  <c r="L130" i="5"/>
  <c r="D131" i="5"/>
  <c r="E131" i="5"/>
  <c r="F131" i="5"/>
  <c r="G131" i="5"/>
  <c r="H131" i="5"/>
  <c r="I131" i="5"/>
  <c r="K131" i="5"/>
  <c r="L131" i="5"/>
  <c r="D132" i="5"/>
  <c r="E132" i="5"/>
  <c r="F132" i="5"/>
  <c r="G132" i="5"/>
  <c r="H132" i="5"/>
  <c r="I132" i="5"/>
  <c r="K132" i="5"/>
  <c r="L132" i="5"/>
  <c r="D133" i="5"/>
  <c r="E133" i="5"/>
  <c r="F133" i="5"/>
  <c r="G133" i="5"/>
  <c r="H133" i="5"/>
  <c r="I133" i="5"/>
  <c r="K133" i="5"/>
  <c r="L133" i="5"/>
  <c r="D134" i="5"/>
  <c r="E134" i="5"/>
  <c r="F134" i="5"/>
  <c r="G134" i="5"/>
  <c r="H134" i="5"/>
  <c r="I134" i="5"/>
  <c r="K134" i="5"/>
  <c r="L134" i="5"/>
  <c r="D135" i="5"/>
  <c r="E135" i="5"/>
  <c r="F135" i="5"/>
  <c r="G135" i="5"/>
  <c r="H135" i="5"/>
  <c r="I135" i="5"/>
  <c r="K135" i="5"/>
  <c r="L135" i="5"/>
  <c r="D136" i="5"/>
  <c r="E136" i="5"/>
  <c r="F136" i="5"/>
  <c r="G136" i="5"/>
  <c r="H136" i="5"/>
  <c r="I136" i="5"/>
  <c r="K136" i="5"/>
  <c r="L136" i="5"/>
  <c r="D137" i="5"/>
  <c r="E137" i="5"/>
  <c r="F137" i="5"/>
  <c r="G137" i="5"/>
  <c r="H137" i="5"/>
  <c r="I137" i="5"/>
  <c r="K137" i="5"/>
  <c r="L137" i="5"/>
  <c r="D138" i="5"/>
  <c r="E138" i="5"/>
  <c r="F138" i="5"/>
  <c r="G138" i="5"/>
  <c r="H138" i="5"/>
  <c r="I138" i="5"/>
  <c r="K138" i="5"/>
  <c r="L138" i="5"/>
  <c r="D139" i="5"/>
  <c r="E139" i="5"/>
  <c r="F139" i="5"/>
  <c r="G139" i="5"/>
  <c r="H139" i="5"/>
  <c r="I139" i="5"/>
  <c r="K139" i="5"/>
  <c r="L139" i="5"/>
  <c r="D140" i="5"/>
  <c r="E140" i="5"/>
  <c r="F140" i="5"/>
  <c r="G140" i="5"/>
  <c r="H140" i="5"/>
  <c r="I140" i="5"/>
  <c r="K140" i="5"/>
  <c r="L140" i="5"/>
  <c r="D141" i="5"/>
  <c r="E141" i="5"/>
  <c r="F141" i="5"/>
  <c r="G141" i="5"/>
  <c r="H141" i="5"/>
  <c r="I141" i="5"/>
  <c r="K141" i="5"/>
  <c r="L141" i="5"/>
  <c r="E142" i="5"/>
  <c r="F142" i="5"/>
  <c r="G142" i="5"/>
  <c r="H142" i="5"/>
  <c r="I142" i="5"/>
  <c r="K142" i="5"/>
  <c r="L142" i="5"/>
  <c r="D143" i="5"/>
  <c r="E143" i="5"/>
  <c r="F143" i="5"/>
  <c r="G143" i="5"/>
  <c r="H143" i="5"/>
  <c r="I143" i="5"/>
  <c r="K143" i="5"/>
  <c r="L143" i="5"/>
  <c r="D144" i="5"/>
  <c r="E144" i="5"/>
  <c r="F144" i="5"/>
  <c r="G144" i="5"/>
  <c r="H144" i="5"/>
  <c r="I144" i="5"/>
  <c r="K144" i="5"/>
  <c r="L144" i="5"/>
  <c r="D145" i="5"/>
  <c r="E145" i="5"/>
  <c r="F145" i="5"/>
  <c r="G145" i="5"/>
  <c r="H145" i="5"/>
  <c r="I145" i="5"/>
  <c r="K145" i="5"/>
  <c r="L145" i="5"/>
  <c r="D146" i="5"/>
  <c r="E146" i="5"/>
  <c r="F146" i="5"/>
  <c r="G146" i="5"/>
  <c r="H146" i="5"/>
  <c r="I146" i="5"/>
  <c r="K146" i="5"/>
  <c r="L146" i="5"/>
  <c r="D147" i="5"/>
  <c r="E147" i="5"/>
  <c r="F147" i="5"/>
  <c r="G147" i="5"/>
  <c r="H147" i="5"/>
  <c r="I147" i="5"/>
  <c r="K147" i="5"/>
  <c r="L147" i="5"/>
  <c r="D148" i="5"/>
  <c r="E148" i="5"/>
  <c r="F148" i="5"/>
  <c r="G148" i="5"/>
  <c r="H148" i="5"/>
  <c r="I148" i="5"/>
  <c r="K148" i="5"/>
  <c r="L148" i="5"/>
  <c r="D149" i="5"/>
  <c r="E149" i="5"/>
  <c r="F149" i="5"/>
  <c r="G149" i="5"/>
  <c r="H149" i="5"/>
  <c r="I149" i="5"/>
  <c r="K149" i="5"/>
  <c r="L149" i="5"/>
  <c r="D150" i="5"/>
  <c r="E150" i="5"/>
  <c r="F150" i="5"/>
  <c r="G150" i="5"/>
  <c r="H150" i="5"/>
  <c r="I150" i="5"/>
  <c r="K150" i="5"/>
  <c r="L150" i="5"/>
  <c r="D151" i="5"/>
  <c r="E151" i="5"/>
  <c r="F151" i="5"/>
  <c r="G151" i="5"/>
  <c r="H151" i="5"/>
  <c r="I151" i="5"/>
  <c r="K151" i="5"/>
  <c r="L151" i="5"/>
  <c r="E114" i="5"/>
  <c r="F114" i="5"/>
  <c r="G114" i="5"/>
  <c r="H114" i="5"/>
  <c r="I114" i="5"/>
  <c r="K114" i="5"/>
  <c r="L114" i="5"/>
  <c r="D114" i="5"/>
  <c r="N152" i="5"/>
  <c r="O152" i="5"/>
  <c r="P152" i="5"/>
  <c r="Q152" i="5"/>
  <c r="L151" i="6"/>
  <c r="L149" i="3"/>
  <c r="L150" i="3"/>
  <c r="L151" i="3"/>
  <c r="L142" i="4"/>
  <c r="L143" i="4"/>
  <c r="L144" i="4"/>
  <c r="L145" i="4"/>
  <c r="L146" i="4"/>
  <c r="L147" i="4"/>
  <c r="L148" i="4"/>
  <c r="L149" i="4"/>
  <c r="L150" i="4"/>
  <c r="L151" i="4"/>
  <c r="L142" i="6"/>
  <c r="L143" i="6"/>
  <c r="L144" i="6"/>
  <c r="L145" i="6"/>
  <c r="L146" i="6"/>
  <c r="L147" i="6"/>
  <c r="L148" i="6"/>
  <c r="L149" i="6"/>
  <c r="L150" i="6"/>
  <c r="L142" i="3"/>
  <c r="L143" i="3"/>
  <c r="L144" i="3"/>
  <c r="L145" i="3"/>
  <c r="L146" i="3"/>
  <c r="L147" i="3"/>
  <c r="L148" i="3"/>
  <c r="L141" i="4"/>
  <c r="L141" i="3"/>
  <c r="L141" i="6"/>
  <c r="Q100" i="5"/>
  <c r="P100" i="5"/>
  <c r="O100" i="5"/>
  <c r="N100" i="5"/>
  <c r="Q112" i="5"/>
  <c r="P112" i="5"/>
  <c r="O112" i="5"/>
  <c r="N112" i="5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R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91" i="5"/>
  <c r="E91" i="5"/>
  <c r="F91" i="5"/>
  <c r="G91" i="5"/>
  <c r="H91" i="5"/>
  <c r="I91" i="5"/>
  <c r="K91" i="5"/>
  <c r="L91" i="5"/>
  <c r="D92" i="5"/>
  <c r="E92" i="5"/>
  <c r="F92" i="5"/>
  <c r="G92" i="5"/>
  <c r="H92" i="5"/>
  <c r="I92" i="5"/>
  <c r="K92" i="5"/>
  <c r="L92" i="5"/>
  <c r="D93" i="5"/>
  <c r="E93" i="5"/>
  <c r="F93" i="5"/>
  <c r="G93" i="5"/>
  <c r="H93" i="5"/>
  <c r="I93" i="5"/>
  <c r="K93" i="5"/>
  <c r="L93" i="5"/>
  <c r="D94" i="5"/>
  <c r="E94" i="5"/>
  <c r="F94" i="5"/>
  <c r="G94" i="5"/>
  <c r="H94" i="5"/>
  <c r="I94" i="5"/>
  <c r="K94" i="5"/>
  <c r="L94" i="5"/>
  <c r="D95" i="5"/>
  <c r="E95" i="5"/>
  <c r="F95" i="5"/>
  <c r="G95" i="5"/>
  <c r="H95" i="5"/>
  <c r="I95" i="5"/>
  <c r="K95" i="5"/>
  <c r="L95" i="5"/>
  <c r="D96" i="5"/>
  <c r="E96" i="5"/>
  <c r="F96" i="5"/>
  <c r="G96" i="5"/>
  <c r="H96" i="5"/>
  <c r="I96" i="5"/>
  <c r="K96" i="5"/>
  <c r="L96" i="5"/>
  <c r="D97" i="5"/>
  <c r="E97" i="5"/>
  <c r="F97" i="5"/>
  <c r="G97" i="5"/>
  <c r="H97" i="5"/>
  <c r="I97" i="5"/>
  <c r="K97" i="5"/>
  <c r="L97" i="5"/>
  <c r="D98" i="5"/>
  <c r="E98" i="5"/>
  <c r="F98" i="5"/>
  <c r="G98" i="5"/>
  <c r="H98" i="5"/>
  <c r="I98" i="5"/>
  <c r="K98" i="5"/>
  <c r="L98" i="5"/>
  <c r="E90" i="5"/>
  <c r="F90" i="5"/>
  <c r="G90" i="5"/>
  <c r="H90" i="5"/>
  <c r="I90" i="5"/>
  <c r="K90" i="5"/>
  <c r="L90" i="5"/>
  <c r="D90" i="5"/>
  <c r="D80" i="5"/>
  <c r="E80" i="5"/>
  <c r="F80" i="5"/>
  <c r="G80" i="5"/>
  <c r="H80" i="5"/>
  <c r="I80" i="5"/>
  <c r="K80" i="5"/>
  <c r="L80" i="5"/>
  <c r="D81" i="5"/>
  <c r="E81" i="5"/>
  <c r="F81" i="5"/>
  <c r="G81" i="5"/>
  <c r="H81" i="5"/>
  <c r="I81" i="5"/>
  <c r="K81" i="5"/>
  <c r="L81" i="5"/>
  <c r="D82" i="5"/>
  <c r="E82" i="5"/>
  <c r="F82" i="5"/>
  <c r="G82" i="5"/>
  <c r="H82" i="5"/>
  <c r="I82" i="5"/>
  <c r="K82" i="5"/>
  <c r="L82" i="5"/>
  <c r="D83" i="5"/>
  <c r="E83" i="5"/>
  <c r="F83" i="5"/>
  <c r="G83" i="5"/>
  <c r="H83" i="5"/>
  <c r="I83" i="5"/>
  <c r="K83" i="5"/>
  <c r="L83" i="5"/>
  <c r="D84" i="5"/>
  <c r="E84" i="5"/>
  <c r="F84" i="5"/>
  <c r="G84" i="5"/>
  <c r="H84" i="5"/>
  <c r="I84" i="5"/>
  <c r="K84" i="5"/>
  <c r="L84" i="5"/>
  <c r="D85" i="5"/>
  <c r="E85" i="5"/>
  <c r="F85" i="5"/>
  <c r="G85" i="5"/>
  <c r="H85" i="5"/>
  <c r="I85" i="5"/>
  <c r="K85" i="5"/>
  <c r="L85" i="5"/>
  <c r="D86" i="5"/>
  <c r="E86" i="5"/>
  <c r="F86" i="5"/>
  <c r="G86" i="5"/>
  <c r="H86" i="5"/>
  <c r="I86" i="5"/>
  <c r="K86" i="5"/>
  <c r="L86" i="5"/>
  <c r="D87" i="5"/>
  <c r="E87" i="5"/>
  <c r="F87" i="5"/>
  <c r="G87" i="5"/>
  <c r="H87" i="5"/>
  <c r="I87" i="5"/>
  <c r="K87" i="5"/>
  <c r="L87" i="5"/>
  <c r="E79" i="5"/>
  <c r="F79" i="5"/>
  <c r="G79" i="5"/>
  <c r="H79" i="5"/>
  <c r="I79" i="5"/>
  <c r="K79" i="5"/>
  <c r="L79" i="5"/>
  <c r="D79" i="5"/>
  <c r="D70" i="5"/>
  <c r="E70" i="5"/>
  <c r="F70" i="5"/>
  <c r="G70" i="5"/>
  <c r="H70" i="5"/>
  <c r="I70" i="5"/>
  <c r="K70" i="5"/>
  <c r="L70" i="5"/>
  <c r="D71" i="5"/>
  <c r="E71" i="5"/>
  <c r="F71" i="5"/>
  <c r="G71" i="5"/>
  <c r="H71" i="5"/>
  <c r="I71" i="5"/>
  <c r="K71" i="5"/>
  <c r="L71" i="5"/>
  <c r="D72" i="5"/>
  <c r="E72" i="5"/>
  <c r="F72" i="5"/>
  <c r="G72" i="5"/>
  <c r="H72" i="5"/>
  <c r="I72" i="5"/>
  <c r="K72" i="5"/>
  <c r="L72" i="5"/>
  <c r="D73" i="5"/>
  <c r="E73" i="5"/>
  <c r="F73" i="5"/>
  <c r="G73" i="5"/>
  <c r="H73" i="5"/>
  <c r="I73" i="5"/>
  <c r="K73" i="5"/>
  <c r="L73" i="5"/>
  <c r="D74" i="5"/>
  <c r="E74" i="5"/>
  <c r="F74" i="5"/>
  <c r="G74" i="5"/>
  <c r="H74" i="5"/>
  <c r="I74" i="5"/>
  <c r="K74" i="5"/>
  <c r="L74" i="5"/>
  <c r="D75" i="5"/>
  <c r="E75" i="5"/>
  <c r="F75" i="5"/>
  <c r="G75" i="5"/>
  <c r="H75" i="5"/>
  <c r="I75" i="5"/>
  <c r="K75" i="5"/>
  <c r="L75" i="5"/>
  <c r="D76" i="5"/>
  <c r="E76" i="5"/>
  <c r="F76" i="5"/>
  <c r="G76" i="5"/>
  <c r="H76" i="5"/>
  <c r="I76" i="5"/>
  <c r="K76" i="5"/>
  <c r="L76" i="5"/>
  <c r="E69" i="5"/>
  <c r="F69" i="5"/>
  <c r="G69" i="5"/>
  <c r="H69" i="5"/>
  <c r="I69" i="5"/>
  <c r="K69" i="5"/>
  <c r="L69" i="5"/>
  <c r="D69" i="5"/>
  <c r="D8" i="5"/>
  <c r="E8" i="5"/>
  <c r="F8" i="5"/>
  <c r="G8" i="5"/>
  <c r="H8" i="5"/>
  <c r="I8" i="5"/>
  <c r="K8" i="5"/>
  <c r="L8" i="5"/>
  <c r="D9" i="5"/>
  <c r="E9" i="5"/>
  <c r="F9" i="5"/>
  <c r="G9" i="5"/>
  <c r="H9" i="5"/>
  <c r="I9" i="5"/>
  <c r="K9" i="5"/>
  <c r="L9" i="5"/>
  <c r="D10" i="5"/>
  <c r="E10" i="5"/>
  <c r="F10" i="5"/>
  <c r="G10" i="5"/>
  <c r="H10" i="5"/>
  <c r="I10" i="5"/>
  <c r="K10" i="5"/>
  <c r="L10" i="5"/>
  <c r="D11" i="5"/>
  <c r="E11" i="5"/>
  <c r="F11" i="5"/>
  <c r="G11" i="5"/>
  <c r="H11" i="5"/>
  <c r="I11" i="5"/>
  <c r="K11" i="5"/>
  <c r="L11" i="5"/>
  <c r="D12" i="5"/>
  <c r="E12" i="5"/>
  <c r="F12" i="5"/>
  <c r="G12" i="5"/>
  <c r="H12" i="5"/>
  <c r="I12" i="5"/>
  <c r="K12" i="5"/>
  <c r="L12" i="5"/>
  <c r="D13" i="5"/>
  <c r="E13" i="5"/>
  <c r="F13" i="5"/>
  <c r="G13" i="5"/>
  <c r="H13" i="5"/>
  <c r="I13" i="5"/>
  <c r="K13" i="5"/>
  <c r="L13" i="5"/>
  <c r="D14" i="5"/>
  <c r="E14" i="5"/>
  <c r="F14" i="5"/>
  <c r="G14" i="5"/>
  <c r="H14" i="5"/>
  <c r="I14" i="5"/>
  <c r="K14" i="5"/>
  <c r="L14" i="5"/>
  <c r="D15" i="5"/>
  <c r="E15" i="5"/>
  <c r="F15" i="5"/>
  <c r="G15" i="5"/>
  <c r="H15" i="5"/>
  <c r="I15" i="5"/>
  <c r="K15" i="5"/>
  <c r="L15" i="5"/>
  <c r="D16" i="5"/>
  <c r="E16" i="5"/>
  <c r="F16" i="5"/>
  <c r="G16" i="5"/>
  <c r="H16" i="5"/>
  <c r="I16" i="5"/>
  <c r="K16" i="5"/>
  <c r="L16" i="5"/>
  <c r="D17" i="5"/>
  <c r="E17" i="5"/>
  <c r="F17" i="5"/>
  <c r="G17" i="5"/>
  <c r="H17" i="5"/>
  <c r="I17" i="5"/>
  <c r="K17" i="5"/>
  <c r="L17" i="5"/>
  <c r="D18" i="5"/>
  <c r="E18" i="5"/>
  <c r="F18" i="5"/>
  <c r="G18" i="5"/>
  <c r="H18" i="5"/>
  <c r="I18" i="5"/>
  <c r="K18" i="5"/>
  <c r="L18" i="5"/>
  <c r="D19" i="5"/>
  <c r="E19" i="5"/>
  <c r="F19" i="5"/>
  <c r="G19" i="5"/>
  <c r="H19" i="5"/>
  <c r="I19" i="5"/>
  <c r="K19" i="5"/>
  <c r="L19" i="5"/>
  <c r="D20" i="5"/>
  <c r="E20" i="5"/>
  <c r="F20" i="5"/>
  <c r="G20" i="5"/>
  <c r="H20" i="5"/>
  <c r="I20" i="5"/>
  <c r="K20" i="5"/>
  <c r="L20" i="5"/>
  <c r="D21" i="5"/>
  <c r="E21" i="5"/>
  <c r="F21" i="5"/>
  <c r="G21" i="5"/>
  <c r="H21" i="5"/>
  <c r="I21" i="5"/>
  <c r="K21" i="5"/>
  <c r="L21" i="5"/>
  <c r="D22" i="5"/>
  <c r="E22" i="5"/>
  <c r="F22" i="5"/>
  <c r="G22" i="5"/>
  <c r="H22" i="5"/>
  <c r="I22" i="5"/>
  <c r="K22" i="5"/>
  <c r="L22" i="5"/>
  <c r="D23" i="5"/>
  <c r="E23" i="5"/>
  <c r="F23" i="5"/>
  <c r="G23" i="5"/>
  <c r="H23" i="5"/>
  <c r="I23" i="5"/>
  <c r="K23" i="5"/>
  <c r="L23" i="5"/>
  <c r="D24" i="5"/>
  <c r="E24" i="5"/>
  <c r="F24" i="5"/>
  <c r="G24" i="5"/>
  <c r="H24" i="5"/>
  <c r="I24" i="5"/>
  <c r="K24" i="5"/>
  <c r="L24" i="5"/>
  <c r="D25" i="5"/>
  <c r="E25" i="5"/>
  <c r="F25" i="5"/>
  <c r="G25" i="5"/>
  <c r="H25" i="5"/>
  <c r="I25" i="5"/>
  <c r="K25" i="5"/>
  <c r="L25" i="5"/>
  <c r="D26" i="5"/>
  <c r="E26" i="5"/>
  <c r="F26" i="5"/>
  <c r="G26" i="5"/>
  <c r="H26" i="5"/>
  <c r="I26" i="5"/>
  <c r="K26" i="5"/>
  <c r="L26" i="5"/>
  <c r="D27" i="5"/>
  <c r="E27" i="5"/>
  <c r="F27" i="5"/>
  <c r="G27" i="5"/>
  <c r="H27" i="5"/>
  <c r="I27" i="5"/>
  <c r="K27" i="5"/>
  <c r="L27" i="5"/>
  <c r="D28" i="5"/>
  <c r="E28" i="5"/>
  <c r="F28" i="5"/>
  <c r="G28" i="5"/>
  <c r="H28" i="5"/>
  <c r="I28" i="5"/>
  <c r="K28" i="5"/>
  <c r="L28" i="5"/>
  <c r="D29" i="5"/>
  <c r="E29" i="5"/>
  <c r="F29" i="5"/>
  <c r="G29" i="5"/>
  <c r="H29" i="5"/>
  <c r="I29" i="5"/>
  <c r="K29" i="5"/>
  <c r="L29" i="5"/>
  <c r="D30" i="5"/>
  <c r="E30" i="5"/>
  <c r="F30" i="5"/>
  <c r="G30" i="5"/>
  <c r="H30" i="5"/>
  <c r="I30" i="5"/>
  <c r="K30" i="5"/>
  <c r="L30" i="5"/>
  <c r="D31" i="5"/>
  <c r="E31" i="5"/>
  <c r="F31" i="5"/>
  <c r="G31" i="5"/>
  <c r="H31" i="5"/>
  <c r="I31" i="5"/>
  <c r="K31" i="5"/>
  <c r="L31" i="5"/>
  <c r="D32" i="5"/>
  <c r="E32" i="5"/>
  <c r="F32" i="5"/>
  <c r="G32" i="5"/>
  <c r="H32" i="5"/>
  <c r="I32" i="5"/>
  <c r="K32" i="5"/>
  <c r="L32" i="5"/>
  <c r="D33" i="5"/>
  <c r="E33" i="5"/>
  <c r="F33" i="5"/>
  <c r="G33" i="5"/>
  <c r="H33" i="5"/>
  <c r="I33" i="5"/>
  <c r="K33" i="5"/>
  <c r="L33" i="5"/>
  <c r="D34" i="5"/>
  <c r="E34" i="5"/>
  <c r="F34" i="5"/>
  <c r="G34" i="5"/>
  <c r="H34" i="5"/>
  <c r="I34" i="5"/>
  <c r="K34" i="5"/>
  <c r="L34" i="5"/>
  <c r="D35" i="5"/>
  <c r="E35" i="5"/>
  <c r="F35" i="5"/>
  <c r="G35" i="5"/>
  <c r="H35" i="5"/>
  <c r="I35" i="5"/>
  <c r="K35" i="5"/>
  <c r="L35" i="5"/>
  <c r="D36" i="5"/>
  <c r="E36" i="5"/>
  <c r="F36" i="5"/>
  <c r="G36" i="5"/>
  <c r="H36" i="5"/>
  <c r="I36" i="5"/>
  <c r="K36" i="5"/>
  <c r="L36" i="5"/>
  <c r="D37" i="5"/>
  <c r="E37" i="5"/>
  <c r="F37" i="5"/>
  <c r="G37" i="5"/>
  <c r="H37" i="5"/>
  <c r="I37" i="5"/>
  <c r="K37" i="5"/>
  <c r="L37" i="5"/>
  <c r="D38" i="5"/>
  <c r="E38" i="5"/>
  <c r="F38" i="5"/>
  <c r="G38" i="5"/>
  <c r="H38" i="5"/>
  <c r="I38" i="5"/>
  <c r="K38" i="5"/>
  <c r="L38" i="5"/>
  <c r="D39" i="5"/>
  <c r="E39" i="5"/>
  <c r="F39" i="5"/>
  <c r="G39" i="5"/>
  <c r="H39" i="5"/>
  <c r="I39" i="5"/>
  <c r="K39" i="5"/>
  <c r="L39" i="5"/>
  <c r="D40" i="5"/>
  <c r="E40" i="5"/>
  <c r="F40" i="5"/>
  <c r="G40" i="5"/>
  <c r="H40" i="5"/>
  <c r="I40" i="5"/>
  <c r="K40" i="5"/>
  <c r="L40" i="5"/>
  <c r="D41" i="5"/>
  <c r="E41" i="5"/>
  <c r="F41" i="5"/>
  <c r="G41" i="5"/>
  <c r="H41" i="5"/>
  <c r="I41" i="5"/>
  <c r="K41" i="5"/>
  <c r="L41" i="5"/>
  <c r="D42" i="5"/>
  <c r="E42" i="5"/>
  <c r="F42" i="5"/>
  <c r="G42" i="5"/>
  <c r="H42" i="5"/>
  <c r="I42" i="5"/>
  <c r="K42" i="5"/>
  <c r="L42" i="5"/>
  <c r="D43" i="5"/>
  <c r="E43" i="5"/>
  <c r="F43" i="5"/>
  <c r="G43" i="5"/>
  <c r="H43" i="5"/>
  <c r="I43" i="5"/>
  <c r="K43" i="5"/>
  <c r="L43" i="5"/>
  <c r="D44" i="5"/>
  <c r="E44" i="5"/>
  <c r="F44" i="5"/>
  <c r="G44" i="5"/>
  <c r="H44" i="5"/>
  <c r="I44" i="5"/>
  <c r="K44" i="5"/>
  <c r="L44" i="5"/>
  <c r="D45" i="5"/>
  <c r="E45" i="5"/>
  <c r="F45" i="5"/>
  <c r="G45" i="5"/>
  <c r="H45" i="5"/>
  <c r="I45" i="5"/>
  <c r="K45" i="5"/>
  <c r="L45" i="5"/>
  <c r="D46" i="5"/>
  <c r="E46" i="5"/>
  <c r="F46" i="5"/>
  <c r="G46" i="5"/>
  <c r="H46" i="5"/>
  <c r="I46" i="5"/>
  <c r="K46" i="5"/>
  <c r="L46" i="5"/>
  <c r="D47" i="5"/>
  <c r="E47" i="5"/>
  <c r="F47" i="5"/>
  <c r="G47" i="5"/>
  <c r="H47" i="5"/>
  <c r="I47" i="5"/>
  <c r="K47" i="5"/>
  <c r="L47" i="5"/>
  <c r="D48" i="5"/>
  <c r="E48" i="5"/>
  <c r="F48" i="5"/>
  <c r="G48" i="5"/>
  <c r="H48" i="5"/>
  <c r="I48" i="5"/>
  <c r="K48" i="5"/>
  <c r="L48" i="5"/>
  <c r="D49" i="5"/>
  <c r="E49" i="5"/>
  <c r="F49" i="5"/>
  <c r="G49" i="5"/>
  <c r="H49" i="5"/>
  <c r="I49" i="5"/>
  <c r="K49" i="5"/>
  <c r="L49" i="5"/>
  <c r="D50" i="5"/>
  <c r="E50" i="5"/>
  <c r="F50" i="5"/>
  <c r="G50" i="5"/>
  <c r="H50" i="5"/>
  <c r="I50" i="5"/>
  <c r="K50" i="5"/>
  <c r="L50" i="5"/>
  <c r="D51" i="5"/>
  <c r="E51" i="5"/>
  <c r="F51" i="5"/>
  <c r="G51" i="5"/>
  <c r="H51" i="5"/>
  <c r="I51" i="5"/>
  <c r="K51" i="5"/>
  <c r="L51" i="5"/>
  <c r="D52" i="5"/>
  <c r="E52" i="5"/>
  <c r="F52" i="5"/>
  <c r="G52" i="5"/>
  <c r="H52" i="5"/>
  <c r="I52" i="5"/>
  <c r="K52" i="5"/>
  <c r="L52" i="5"/>
  <c r="D53" i="5"/>
  <c r="E53" i="5"/>
  <c r="F53" i="5"/>
  <c r="G53" i="5"/>
  <c r="H53" i="5"/>
  <c r="I53" i="5"/>
  <c r="K53" i="5"/>
  <c r="L53" i="5"/>
  <c r="D54" i="5"/>
  <c r="E54" i="5"/>
  <c r="F54" i="5"/>
  <c r="G54" i="5"/>
  <c r="H54" i="5"/>
  <c r="I54" i="5"/>
  <c r="K54" i="5"/>
  <c r="L54" i="5"/>
  <c r="D55" i="5"/>
  <c r="E55" i="5"/>
  <c r="F55" i="5"/>
  <c r="G55" i="5"/>
  <c r="H55" i="5"/>
  <c r="I55" i="5"/>
  <c r="K55" i="5"/>
  <c r="L55" i="5"/>
  <c r="D56" i="5"/>
  <c r="E56" i="5"/>
  <c r="F56" i="5"/>
  <c r="G56" i="5"/>
  <c r="H56" i="5"/>
  <c r="I56" i="5"/>
  <c r="K56" i="5"/>
  <c r="L56" i="5"/>
  <c r="D57" i="5"/>
  <c r="E57" i="5"/>
  <c r="F57" i="5"/>
  <c r="G57" i="5"/>
  <c r="H57" i="5"/>
  <c r="I57" i="5"/>
  <c r="K57" i="5"/>
  <c r="L57" i="5"/>
  <c r="D58" i="5"/>
  <c r="E58" i="5"/>
  <c r="F58" i="5"/>
  <c r="G58" i="5"/>
  <c r="H58" i="5"/>
  <c r="I58" i="5"/>
  <c r="K58" i="5"/>
  <c r="L58" i="5"/>
  <c r="D59" i="5"/>
  <c r="E59" i="5"/>
  <c r="F59" i="5"/>
  <c r="G59" i="5"/>
  <c r="H59" i="5"/>
  <c r="I59" i="5"/>
  <c r="K59" i="5"/>
  <c r="L59" i="5"/>
  <c r="D60" i="5"/>
  <c r="E60" i="5"/>
  <c r="F60" i="5"/>
  <c r="G60" i="5"/>
  <c r="H60" i="5"/>
  <c r="I60" i="5"/>
  <c r="K60" i="5"/>
  <c r="L60" i="5"/>
  <c r="D61" i="5"/>
  <c r="E61" i="5"/>
  <c r="F61" i="5"/>
  <c r="G61" i="5"/>
  <c r="H61" i="5"/>
  <c r="I61" i="5"/>
  <c r="K61" i="5"/>
  <c r="L61" i="5"/>
  <c r="D62" i="5"/>
  <c r="E62" i="5"/>
  <c r="F62" i="5"/>
  <c r="G62" i="5"/>
  <c r="H62" i="5"/>
  <c r="I62" i="5"/>
  <c r="K62" i="5"/>
  <c r="L62" i="5"/>
  <c r="D63" i="5"/>
  <c r="E63" i="5"/>
  <c r="F63" i="5"/>
  <c r="G63" i="5"/>
  <c r="H63" i="5"/>
  <c r="I63" i="5"/>
  <c r="K63" i="5"/>
  <c r="L63" i="5"/>
  <c r="D64" i="5"/>
  <c r="E64" i="5"/>
  <c r="F64" i="5"/>
  <c r="G64" i="5"/>
  <c r="H64" i="5"/>
  <c r="I64" i="5"/>
  <c r="K64" i="5"/>
  <c r="L64" i="5"/>
  <c r="D65" i="5"/>
  <c r="E65" i="5"/>
  <c r="F65" i="5"/>
  <c r="G65" i="5"/>
  <c r="H65" i="5"/>
  <c r="I65" i="5"/>
  <c r="K65" i="5"/>
  <c r="L65" i="5"/>
  <c r="E7" i="5"/>
  <c r="F7" i="5"/>
  <c r="G7" i="5"/>
  <c r="H7" i="5"/>
  <c r="I7" i="5"/>
  <c r="K7" i="5"/>
  <c r="L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R151" i="5" l="1"/>
  <c r="L152" i="5"/>
  <c r="L100" i="4"/>
  <c r="L77" i="4"/>
  <c r="L88" i="4"/>
  <c r="L67" i="4"/>
  <c r="L112" i="4"/>
  <c r="L112" i="6"/>
  <c r="L77" i="6"/>
  <c r="L67" i="6"/>
  <c r="L100" i="6"/>
  <c r="L88" i="6"/>
  <c r="L100" i="3"/>
  <c r="L77" i="3"/>
  <c r="L88" i="3"/>
  <c r="L112" i="3"/>
  <c r="L67" i="3"/>
  <c r="R137" i="5"/>
  <c r="R135" i="5"/>
  <c r="R136" i="5"/>
  <c r="R131" i="5"/>
  <c r="R132" i="5"/>
  <c r="R133" i="5"/>
  <c r="R134" i="5"/>
  <c r="R138" i="5"/>
  <c r="R139" i="5"/>
  <c r="R130" i="5"/>
  <c r="R93" i="5"/>
  <c r="R95" i="5"/>
  <c r="R127" i="5"/>
  <c r="R118" i="5"/>
  <c r="R126" i="5"/>
  <c r="R119" i="5"/>
  <c r="R124" i="5"/>
  <c r="R117" i="5"/>
  <c r="R94" i="5"/>
  <c r="R128" i="5"/>
  <c r="R96" i="5"/>
  <c r="R125" i="5"/>
  <c r="R121" i="5"/>
  <c r="R120" i="5"/>
  <c r="R87" i="5"/>
  <c r="R115" i="5"/>
  <c r="R92" i="5"/>
  <c r="R98" i="5"/>
  <c r="R97" i="5"/>
  <c r="R91" i="5"/>
  <c r="R123" i="5"/>
  <c r="R122" i="5"/>
  <c r="R116" i="5"/>
  <c r="D102" i="5"/>
  <c r="D99" i="5"/>
  <c r="E99" i="5"/>
  <c r="F99" i="5"/>
  <c r="G99" i="5"/>
  <c r="G152" i="5" s="1"/>
  <c r="H99" i="5"/>
  <c r="H152" i="5" s="1"/>
  <c r="I99" i="5"/>
  <c r="I152" i="5" s="1"/>
  <c r="K99" i="5"/>
  <c r="K152" i="5" s="1"/>
  <c r="D66" i="5"/>
  <c r="E66" i="5"/>
  <c r="F66" i="5"/>
  <c r="G66" i="5"/>
  <c r="H66" i="5"/>
  <c r="I66" i="5"/>
  <c r="K66" i="5"/>
  <c r="D152" i="5" l="1"/>
  <c r="E152" i="5"/>
  <c r="F152" i="5"/>
  <c r="R129" i="5"/>
  <c r="R114" i="5"/>
  <c r="R90" i="5"/>
  <c r="R79" i="5"/>
  <c r="R70" i="5"/>
  <c r="R75" i="5"/>
  <c r="R73" i="5"/>
  <c r="R27" i="5"/>
  <c r="R109" i="5"/>
  <c r="R72" i="5"/>
  <c r="R11" i="5"/>
  <c r="R76" i="5"/>
  <c r="R59" i="5"/>
  <c r="R43" i="5"/>
  <c r="R7" i="5"/>
  <c r="R111" i="5"/>
  <c r="R54" i="5"/>
  <c r="R38" i="5"/>
  <c r="R71" i="5"/>
  <c r="R47" i="5"/>
  <c r="R15" i="5"/>
  <c r="R8" i="5"/>
  <c r="R49" i="5"/>
  <c r="R33" i="5"/>
  <c r="R17" i="5"/>
  <c r="R81" i="5"/>
  <c r="R58" i="5"/>
  <c r="R42" i="5"/>
  <c r="R26" i="5"/>
  <c r="R10" i="5"/>
  <c r="R69" i="5"/>
  <c r="R108" i="5"/>
  <c r="R20" i="5"/>
  <c r="R52" i="5"/>
  <c r="R61" i="5"/>
  <c r="R28" i="5"/>
  <c r="R12" i="5"/>
  <c r="R110" i="5"/>
  <c r="R53" i="5"/>
  <c r="R37" i="5"/>
  <c r="R21" i="5"/>
  <c r="R85" i="5"/>
  <c r="R103" i="5"/>
  <c r="R84" i="5"/>
  <c r="R29" i="5"/>
  <c r="R105" i="5"/>
  <c r="R31" i="5"/>
  <c r="R56" i="5"/>
  <c r="R106" i="5"/>
  <c r="R51" i="5"/>
  <c r="R19" i="5"/>
  <c r="R83" i="5"/>
  <c r="R46" i="5"/>
  <c r="R30" i="5"/>
  <c r="R55" i="5"/>
  <c r="R39" i="5"/>
  <c r="R64" i="5"/>
  <c r="R48" i="5"/>
  <c r="R32" i="5"/>
  <c r="R16" i="5"/>
  <c r="R74" i="5"/>
  <c r="R80" i="5"/>
  <c r="R13" i="5"/>
  <c r="R86" i="5"/>
  <c r="R40" i="5"/>
  <c r="R24" i="5"/>
  <c r="R65" i="5"/>
  <c r="R60" i="5"/>
  <c r="R14" i="5"/>
  <c r="R57" i="5"/>
  <c r="R41" i="5"/>
  <c r="R25" i="5"/>
  <c r="R9" i="5"/>
  <c r="R107" i="5"/>
  <c r="R36" i="5"/>
  <c r="R45" i="5"/>
  <c r="R22" i="5"/>
  <c r="R104" i="5"/>
  <c r="R63" i="5"/>
  <c r="R99" i="5"/>
  <c r="R35" i="5"/>
  <c r="R44" i="5"/>
  <c r="R62" i="5"/>
  <c r="R23" i="5"/>
  <c r="R66" i="5"/>
  <c r="R50" i="5"/>
  <c r="R34" i="5"/>
  <c r="R18" i="5"/>
  <c r="R82" i="5"/>
  <c r="M152" i="5" l="1"/>
  <c r="R100" i="5"/>
  <c r="R102" i="5"/>
  <c r="R152" i="5" s="1"/>
  <c r="R112" i="5"/>
  <c r="R88" i="5"/>
  <c r="R67" i="5"/>
</calcChain>
</file>

<file path=xl/sharedStrings.xml><?xml version="1.0" encoding="utf-8"?>
<sst xmlns="http://schemas.openxmlformats.org/spreadsheetml/2006/main" count="630" uniqueCount="151">
  <si>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</si>
  <si>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</si>
  <si>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</si>
  <si>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</si>
  <si>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</si>
  <si>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</si>
  <si>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</si>
  <si>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</si>
  <si>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</si>
  <si>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</si>
  <si>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</si>
  <si>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</si>
  <si>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</si>
  <si>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</si>
  <si>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</si>
  <si>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</si>
  <si>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</si>
  <si>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</si>
  <si>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</si>
  <si>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</si>
  <si>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</si>
  <si>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</si>
  <si>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</si>
  <si>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</si>
  <si>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</si>
  <si>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</si>
  <si>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</si>
  <si>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</si>
  <si>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</si>
  <si>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</si>
  <si>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</si>
  <si>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</si>
  <si>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</si>
  <si>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</si>
  <si>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</si>
  <si>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</si>
  <si>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</si>
  <si>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</si>
  <si>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</si>
  <si>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</si>
  <si>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</si>
  <si>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</si>
  <si>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</si>
  <si>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</si>
  <si>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</si>
  <si>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</si>
  <si>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</si>
  <si>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</si>
  <si>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</si>
  <si>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</si>
  <si>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</si>
  <si>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</si>
  <si>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</si>
  <si>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</si>
  <si>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</si>
  <si>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</si>
  <si>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</si>
  <si>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</si>
  <si>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</si>
  <si>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</si>
  <si>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</si>
  <si>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</si>
  <si>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</si>
  <si>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</si>
  <si>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</si>
  <si>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</si>
  <si>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</si>
  <si>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</si>
  <si>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</si>
  <si>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</si>
  <si>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</si>
  <si>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</si>
  <si>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</si>
  <si>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</si>
  <si>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</si>
  <si>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</si>
  <si>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</si>
  <si>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</si>
  <si>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</si>
  <si>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</si>
  <si>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</si>
  <si>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</si>
  <si>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</si>
  <si>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</si>
  <si>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</si>
  <si>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</si>
  <si>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</si>
  <si>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</si>
  <si>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</si>
  <si>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</si>
  <si>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</si>
  <si>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</si>
  <si>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</si>
  <si>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</si>
  <si>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</si>
  <si>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</si>
  <si>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</si>
  <si>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</si>
  <si>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</si>
  <si>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</si>
  <si>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</si>
  <si>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</si>
  <si>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</si>
  <si>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</si>
  <si>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</si>
  <si>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</si>
  <si>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</si>
  <si>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</si>
  <si>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</si>
  <si>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</si>
  <si>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</si>
  <si>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</si>
  <si>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</si>
  <si>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</si>
  <si>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</si>
  <si>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</si>
  <si>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</si>
  <si>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</si>
  <si>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</si>
  <si>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</si>
  <si>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</si>
  <si>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</si>
  <si>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</si>
  <si>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</si>
  <si>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</si>
  <si>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</si>
  <si>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</si>
  <si>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</si>
  <si>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</si>
  <si>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</si>
  <si>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</si>
  <si>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</si>
  <si>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</si>
  <si>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</si>
  <si>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</si>
  <si>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</si>
  <si>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</si>
  <si>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</si>
  <si>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</si>
  <si>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</si>
  <si>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</si>
  <si>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</si>
  <si>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</si>
  <si>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</si>
  <si>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มินิบันไก่หยองน้ำสลัด 110 กรัม</t>
  </si>
  <si>
    <t>ปังพิซซ่า</t>
  </si>
  <si>
    <t>หมีกรอบโบราณ</t>
  </si>
  <si>
    <t>หมี่กรอบโบราณ</t>
  </si>
  <si>
    <t>ยอดจริง ออนไลน์ วันที่ 7/7/68  รวม</t>
  </si>
  <si>
    <t>ยอดจริง ออนไลน์ วันที่  7/7/68 เช้า</t>
  </si>
  <si>
    <t>รวม 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</si>
</sst>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2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87" fontId="5" fillId="5" borderId="3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vertical="center"/>
    </xf>
    <xf numFmtId="187" fontId="6" fillId="5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vertical="center"/>
    </xf>
    <xf numFmtId="0" fontId="2" fillId="7" borderId="11" xfId="0" applyFont="1" applyFill="1" applyBorder="1" applyAlignment="1">
      <alignment vertical="center"/>
    </xf>
    <xf numFmtId="0" fontId="2" fillId="7" borderId="12" xfId="0" applyFont="1" applyFill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14" fontId="1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8" fillId="9" borderId="6" xfId="0" applyFont="1" applyFill="1" applyBorder="1" applyAlignment="1">
      <alignment vertical="center"/>
    </xf>
    <xf numFmtId="0" fontId="8" fillId="9" borderId="8" xfId="0" applyFont="1" applyFill="1" applyBorder="1" applyAlignment="1">
      <alignment vertical="center"/>
    </xf>
    <xf numFmtId="0" fontId="8" fillId="9" borderId="10" xfId="0" applyFont="1" applyFill="1" applyBorder="1" applyAlignment="1">
      <alignment vertical="center"/>
    </xf>
    <xf numFmtId="0" fontId="3" fillId="4" borderId="0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71"/>
  <sheetViews>
    <sheetView topLeftCell="A97" zoomScale="60" zoomScaleNormal="60" workbookViewId="0">
      <selection activeCell="I121" sqref="I121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63" t="s">
        <v>149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 x14ac:dyDescent="0.25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 x14ac:dyDescent="0.25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 x14ac:dyDescent="0.25">
      <c r="B7" s="11">
        <v>1111002</v>
      </c>
      <c r="C7" s="15" t="s">
        <v>107</v>
      </c>
      <c r="D7" s="30"/>
      <c r="E7" s="30">
        <v>26</v>
      </c>
      <c r="F7" s="30">
        <v>48</v>
      </c>
      <c r="G7" s="30">
        <v>4</v>
      </c>
      <c r="H7" s="30">
        <v>12</v>
      </c>
      <c r="I7" s="30"/>
      <c r="J7" s="43"/>
      <c r="K7" s="43"/>
      <c r="L7" s="36">
        <f>SUM(D7:K7)</f>
        <v>90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>
        <v>5</v>
      </c>
      <c r="F25" s="30"/>
      <c r="G25" s="30">
        <v>1</v>
      </c>
      <c r="H25" s="30"/>
      <c r="I25" s="30"/>
      <c r="J25" s="43"/>
      <c r="K25" s="43"/>
      <c r="L25" s="36">
        <f t="shared" si="0"/>
        <v>6</v>
      </c>
    </row>
    <row r="26" spans="2:12" x14ac:dyDescent="0.25">
      <c r="B26" s="11">
        <v>1004055</v>
      </c>
      <c r="C26" s="15" t="s">
        <v>108</v>
      </c>
      <c r="D26" s="30">
        <v>4</v>
      </c>
      <c r="E26" s="30">
        <v>13</v>
      </c>
      <c r="F26" s="30"/>
      <c r="G26" s="30">
        <v>81</v>
      </c>
      <c r="H26" s="30">
        <v>33</v>
      </c>
      <c r="I26" s="30"/>
      <c r="J26" s="43"/>
      <c r="K26" s="43"/>
      <c r="L26" s="36">
        <f t="shared" si="0"/>
        <v>131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>
        <v>2</v>
      </c>
      <c r="F40" s="30"/>
      <c r="G40" s="30"/>
      <c r="H40" s="30"/>
      <c r="I40" s="30"/>
      <c r="J40" s="43"/>
      <c r="K40" s="43"/>
      <c r="L40" s="36">
        <f t="shared" si="0"/>
        <v>2</v>
      </c>
    </row>
    <row r="41" spans="2:12" x14ac:dyDescent="0.25">
      <c r="B41" s="11">
        <v>1111058</v>
      </c>
      <c r="C41" s="15" t="s">
        <v>31</v>
      </c>
      <c r="D41" s="30"/>
      <c r="E41" s="30">
        <v>2</v>
      </c>
      <c r="F41" s="30"/>
      <c r="G41" s="30"/>
      <c r="H41" s="30"/>
      <c r="I41" s="30"/>
      <c r="J41" s="43"/>
      <c r="K41" s="43"/>
      <c r="L41" s="36">
        <f t="shared" si="0"/>
        <v>2</v>
      </c>
    </row>
    <row r="42" spans="2:12" x14ac:dyDescent="0.25">
      <c r="B42" s="11">
        <v>1111059</v>
      </c>
      <c r="C42" s="15" t="s">
        <v>32</v>
      </c>
      <c r="D42" s="30"/>
      <c r="E42" s="30">
        <v>2</v>
      </c>
      <c r="F42" s="30"/>
      <c r="G42" s="30"/>
      <c r="H42" s="30"/>
      <c r="I42" s="30"/>
      <c r="J42" s="43"/>
      <c r="K42" s="43"/>
      <c r="L42" s="36">
        <f t="shared" si="0"/>
        <v>2</v>
      </c>
    </row>
    <row r="43" spans="2:12" x14ac:dyDescent="0.25">
      <c r="B43" s="11">
        <v>1111060</v>
      </c>
      <c r="C43" s="15" t="s">
        <v>33</v>
      </c>
      <c r="D43" s="30"/>
      <c r="E43" s="30">
        <v>2</v>
      </c>
      <c r="F43" s="30"/>
      <c r="G43" s="30"/>
      <c r="H43" s="30"/>
      <c r="I43" s="30"/>
      <c r="J43" s="43"/>
      <c r="K43" s="43"/>
      <c r="L43" s="36">
        <f t="shared" si="0"/>
        <v>2</v>
      </c>
    </row>
    <row r="44" spans="2:12" x14ac:dyDescent="0.25">
      <c r="B44" s="11">
        <v>1111061</v>
      </c>
      <c r="C44" s="15" t="s">
        <v>34</v>
      </c>
      <c r="D44" s="30"/>
      <c r="E44" s="30">
        <v>2</v>
      </c>
      <c r="F44" s="30"/>
      <c r="G44" s="30"/>
      <c r="H44" s="30"/>
      <c r="I44" s="30"/>
      <c r="J44" s="43"/>
      <c r="K44" s="43"/>
      <c r="L44" s="36">
        <f t="shared" si="0"/>
        <v>2</v>
      </c>
    </row>
    <row r="45" spans="2:12" x14ac:dyDescent="0.25">
      <c r="B45" s="11">
        <v>1111062</v>
      </c>
      <c r="C45" s="15" t="s">
        <v>35</v>
      </c>
      <c r="D45" s="30"/>
      <c r="E45" s="30">
        <v>2</v>
      </c>
      <c r="F45" s="30"/>
      <c r="G45" s="30"/>
      <c r="H45" s="30"/>
      <c r="I45" s="30"/>
      <c r="J45" s="43"/>
      <c r="K45" s="43"/>
      <c r="L45" s="36">
        <f t="shared" si="0"/>
        <v>2</v>
      </c>
    </row>
    <row r="46" spans="2:12" x14ac:dyDescent="0.25">
      <c r="B46" s="11">
        <v>1111063</v>
      </c>
      <c r="C46" s="15" t="s">
        <v>36</v>
      </c>
      <c r="D46" s="30"/>
      <c r="E46" s="30">
        <v>2</v>
      </c>
      <c r="F46" s="30"/>
      <c r="G46" s="30"/>
      <c r="H46" s="30"/>
      <c r="I46" s="30"/>
      <c r="J46" s="43"/>
      <c r="K46" s="43"/>
      <c r="L46" s="36">
        <f t="shared" si="0"/>
        <v>2</v>
      </c>
    </row>
    <row r="47" spans="2:12" x14ac:dyDescent="0.25">
      <c r="B47" s="11">
        <v>1111064</v>
      </c>
      <c r="C47" s="15" t="s">
        <v>37</v>
      </c>
      <c r="D47" s="30"/>
      <c r="E47" s="30">
        <v>1</v>
      </c>
      <c r="F47" s="30"/>
      <c r="G47" s="30"/>
      <c r="H47" s="30"/>
      <c r="I47" s="30"/>
      <c r="J47" s="43"/>
      <c r="K47" s="43"/>
      <c r="L47" s="36">
        <f t="shared" si="0"/>
        <v>1</v>
      </c>
    </row>
    <row r="48" spans="2:12" x14ac:dyDescent="0.25">
      <c r="B48" s="11">
        <v>1111065</v>
      </c>
      <c r="C48" s="15" t="s">
        <v>38</v>
      </c>
      <c r="D48" s="30"/>
      <c r="E48" s="30">
        <v>1</v>
      </c>
      <c r="F48" s="30"/>
      <c r="G48" s="30"/>
      <c r="H48" s="30"/>
      <c r="I48" s="30"/>
      <c r="J48" s="43"/>
      <c r="K48" s="43"/>
      <c r="L48" s="36">
        <f t="shared" si="0"/>
        <v>1</v>
      </c>
    </row>
    <row r="49" spans="2:12" x14ac:dyDescent="0.25">
      <c r="B49" s="11">
        <v>1111066</v>
      </c>
      <c r="C49" s="15" t="s">
        <v>39</v>
      </c>
      <c r="D49" s="30"/>
      <c r="E49" s="30">
        <v>1</v>
      </c>
      <c r="F49" s="30"/>
      <c r="G49" s="30"/>
      <c r="H49" s="30"/>
      <c r="I49" s="30"/>
      <c r="J49" s="43"/>
      <c r="K49" s="43"/>
      <c r="L49" s="36">
        <f t="shared" si="0"/>
        <v>1</v>
      </c>
    </row>
    <row r="50" spans="2:12" x14ac:dyDescent="0.25">
      <c r="B50" s="11">
        <v>1111067</v>
      </c>
      <c r="C50" s="15" t="s">
        <v>40</v>
      </c>
      <c r="D50" s="30"/>
      <c r="E50" s="30">
        <v>1</v>
      </c>
      <c r="F50" s="30"/>
      <c r="G50" s="30"/>
      <c r="H50" s="30"/>
      <c r="I50" s="30"/>
      <c r="J50" s="43"/>
      <c r="K50" s="43"/>
      <c r="L50" s="36">
        <f t="shared" si="0"/>
        <v>1</v>
      </c>
    </row>
    <row r="51" spans="2:12" x14ac:dyDescent="0.25">
      <c r="B51" s="11">
        <v>1111068</v>
      </c>
      <c r="C51" s="15" t="s">
        <v>41</v>
      </c>
      <c r="D51" s="30"/>
      <c r="E51" s="30">
        <v>1</v>
      </c>
      <c r="F51" s="30"/>
      <c r="G51" s="30"/>
      <c r="H51" s="30"/>
      <c r="I51" s="30"/>
      <c r="J51" s="43"/>
      <c r="K51" s="43"/>
      <c r="L51" s="36">
        <f t="shared" si="0"/>
        <v>1</v>
      </c>
    </row>
    <row r="52" spans="2:12" x14ac:dyDescent="0.25">
      <c r="B52" s="11">
        <v>1111069</v>
      </c>
      <c r="C52" s="15" t="s">
        <v>42</v>
      </c>
      <c r="D52" s="30"/>
      <c r="E52" s="30">
        <v>1</v>
      </c>
      <c r="F52" s="30"/>
      <c r="G52" s="30"/>
      <c r="H52" s="30"/>
      <c r="I52" s="30"/>
      <c r="J52" s="43"/>
      <c r="K52" s="43"/>
      <c r="L52" s="36">
        <f t="shared" si="0"/>
        <v>1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247</v>
      </c>
    </row>
    <row r="68" spans="2:12" ht="20.399999999999999" x14ac:dyDescent="0.25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 x14ac:dyDescent="0.25">
      <c r="B69" s="11">
        <v>1111009</v>
      </c>
      <c r="C69" s="19" t="s">
        <v>56</v>
      </c>
      <c r="D69" s="30"/>
      <c r="E69" s="30">
        <v>6</v>
      </c>
      <c r="F69" s="30">
        <v>5</v>
      </c>
      <c r="G69" s="30"/>
      <c r="H69" s="30">
        <v>3</v>
      </c>
      <c r="I69" s="30"/>
      <c r="J69" s="43"/>
      <c r="K69" s="43"/>
      <c r="L69" s="36">
        <f t="shared" ref="L69:L76" si="1">SUM(D69:K69)</f>
        <v>14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14</v>
      </c>
    </row>
    <row r="78" spans="2:12" ht="20.399999999999999" x14ac:dyDescent="0.25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>
        <v>24</v>
      </c>
      <c r="F87" s="30"/>
      <c r="G87" s="30">
        <v>48</v>
      </c>
      <c r="H87" s="30">
        <v>18</v>
      </c>
      <c r="I87" s="30"/>
      <c r="J87" s="43"/>
      <c r="K87" s="43"/>
      <c r="L87" s="36">
        <f t="shared" si="2"/>
        <v>90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90</v>
      </c>
    </row>
    <row r="89" spans="2:12" ht="20.399999999999999" x14ac:dyDescent="0.25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 x14ac:dyDescent="0.25">
      <c r="B90" s="11">
        <v>1112009</v>
      </c>
      <c r="C90" s="19" t="s">
        <v>75</v>
      </c>
      <c r="D90" s="30">
        <v>4</v>
      </c>
      <c r="E90" s="30">
        <v>2</v>
      </c>
      <c r="F90" s="30">
        <v>5</v>
      </c>
      <c r="G90" s="30">
        <v>21</v>
      </c>
      <c r="H90" s="30">
        <v>7</v>
      </c>
      <c r="I90" s="30"/>
      <c r="J90" s="43"/>
      <c r="K90" s="43"/>
      <c r="L90" s="36">
        <f t="shared" ref="L90:L99" si="3">SUM(D90:K90)</f>
        <v>39</v>
      </c>
    </row>
    <row r="91" spans="2:12" x14ac:dyDescent="0.25">
      <c r="B91" s="11">
        <v>1112011</v>
      </c>
      <c r="C91" s="19" t="s">
        <v>76</v>
      </c>
      <c r="D91" s="30">
        <v>3</v>
      </c>
      <c r="E91" s="30">
        <v>2</v>
      </c>
      <c r="F91" s="30">
        <v>7</v>
      </c>
      <c r="G91" s="30">
        <v>21</v>
      </c>
      <c r="H91" s="30">
        <v>7</v>
      </c>
      <c r="I91" s="30"/>
      <c r="J91" s="43"/>
      <c r="K91" s="43"/>
      <c r="L91" s="36">
        <f t="shared" si="3"/>
        <v>40</v>
      </c>
    </row>
    <row r="92" spans="2:12" x14ac:dyDescent="0.25">
      <c r="B92" s="11">
        <v>1112003</v>
      </c>
      <c r="C92" s="19" t="s">
        <v>77</v>
      </c>
      <c r="D92" s="30">
        <v>7</v>
      </c>
      <c r="E92" s="30">
        <v>2</v>
      </c>
      <c r="F92" s="30">
        <v>1</v>
      </c>
      <c r="G92" s="30">
        <v>21</v>
      </c>
      <c r="H92" s="30">
        <v>7</v>
      </c>
      <c r="I92" s="30"/>
      <c r="J92" s="43"/>
      <c r="K92" s="43"/>
      <c r="L92" s="36">
        <f t="shared" si="3"/>
        <v>38</v>
      </c>
    </row>
    <row r="93" spans="2:12" x14ac:dyDescent="0.25">
      <c r="B93" s="11">
        <v>1112005</v>
      </c>
      <c r="C93" s="19" t="s">
        <v>78</v>
      </c>
      <c r="D93" s="30">
        <v>4</v>
      </c>
      <c r="E93" s="30">
        <v>2</v>
      </c>
      <c r="F93" s="30">
        <v>1</v>
      </c>
      <c r="G93" s="30">
        <v>21</v>
      </c>
      <c r="H93" s="30">
        <v>7</v>
      </c>
      <c r="I93" s="30"/>
      <c r="J93" s="43"/>
      <c r="K93" s="43"/>
      <c r="L93" s="36">
        <f t="shared" si="3"/>
        <v>35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>
        <v>3</v>
      </c>
      <c r="E97" s="30">
        <v>2</v>
      </c>
      <c r="F97" s="30">
        <v>1</v>
      </c>
      <c r="G97" s="30">
        <v>23</v>
      </c>
      <c r="H97" s="30">
        <v>9</v>
      </c>
      <c r="I97" s="30"/>
      <c r="J97" s="43"/>
      <c r="K97" s="43"/>
      <c r="L97" s="36">
        <f t="shared" si="3"/>
        <v>38</v>
      </c>
    </row>
    <row r="98" spans="2:12" x14ac:dyDescent="0.25">
      <c r="B98" s="11">
        <v>1112013</v>
      </c>
      <c r="C98" s="19" t="s">
        <v>83</v>
      </c>
      <c r="D98" s="30">
        <v>3</v>
      </c>
      <c r="E98" s="30">
        <v>2</v>
      </c>
      <c r="F98" s="30">
        <v>1</v>
      </c>
      <c r="G98" s="30">
        <v>22</v>
      </c>
      <c r="H98" s="30">
        <v>9</v>
      </c>
      <c r="I98" s="30"/>
      <c r="J98" s="43"/>
      <c r="K98" s="43"/>
      <c r="L98" s="36">
        <f t="shared" si="3"/>
        <v>37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227</v>
      </c>
    </row>
    <row r="101" spans="2:12" ht="20.399999999999999" x14ac:dyDescent="0.25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 x14ac:dyDescent="0.25">
      <c r="B114" s="11">
        <v>1113170</v>
      </c>
      <c r="C114" s="21" t="s">
        <v>87</v>
      </c>
      <c r="D114" s="30">
        <v>8</v>
      </c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8</v>
      </c>
    </row>
    <row r="115" spans="2:12" x14ac:dyDescent="0.25">
      <c r="B115" s="11">
        <v>1113171</v>
      </c>
      <c r="C115" s="21" t="s">
        <v>88</v>
      </c>
      <c r="D115" s="30">
        <v>10</v>
      </c>
      <c r="E115" s="30"/>
      <c r="F115" s="30"/>
      <c r="G115" s="30">
        <v>1</v>
      </c>
      <c r="H115" s="30"/>
      <c r="I115" s="30"/>
      <c r="J115" s="43"/>
      <c r="K115" s="43"/>
      <c r="L115" s="36">
        <f t="shared" si="5"/>
        <v>11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>
        <v>1</v>
      </c>
      <c r="F120" s="30"/>
      <c r="G120" s="30"/>
      <c r="H120" s="30"/>
      <c r="I120" s="30"/>
      <c r="J120" s="43"/>
      <c r="K120" s="43"/>
      <c r="L120" s="36">
        <f t="shared" si="5"/>
        <v>1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/>
      <c r="E123" s="30">
        <v>19</v>
      </c>
      <c r="F123" s="30">
        <v>3</v>
      </c>
      <c r="G123" s="30">
        <v>228</v>
      </c>
      <c r="H123" s="30">
        <v>57</v>
      </c>
      <c r="I123" s="30"/>
      <c r="J123" s="43"/>
      <c r="K123" s="43"/>
      <c r="L123" s="36">
        <f t="shared" si="5"/>
        <v>307</v>
      </c>
    </row>
    <row r="124" spans="2:12" x14ac:dyDescent="0.25">
      <c r="B124" s="11">
        <v>1114502</v>
      </c>
      <c r="C124" s="21" t="s">
        <v>96</v>
      </c>
      <c r="D124" s="30"/>
      <c r="E124" s="30">
        <v>7</v>
      </c>
      <c r="F124" s="30"/>
      <c r="G124" s="30">
        <v>210</v>
      </c>
      <c r="H124" s="30">
        <v>54</v>
      </c>
      <c r="I124" s="30"/>
      <c r="J124" s="43"/>
      <c r="K124" s="43"/>
      <c r="L124" s="36">
        <f t="shared" si="5"/>
        <v>271</v>
      </c>
    </row>
    <row r="125" spans="2:12" x14ac:dyDescent="0.25">
      <c r="B125" s="11">
        <v>1114503</v>
      </c>
      <c r="C125" s="21" t="s">
        <v>97</v>
      </c>
      <c r="D125" s="30"/>
      <c r="E125" s="30">
        <v>9</v>
      </c>
      <c r="F125" s="30"/>
      <c r="G125" s="30">
        <v>204</v>
      </c>
      <c r="H125" s="30">
        <v>54</v>
      </c>
      <c r="I125" s="30"/>
      <c r="J125" s="43"/>
      <c r="K125" s="43"/>
      <c r="L125" s="36">
        <f t="shared" si="5"/>
        <v>267</v>
      </c>
    </row>
    <row r="126" spans="2:12" x14ac:dyDescent="0.25">
      <c r="B126" s="11">
        <v>1124021</v>
      </c>
      <c r="C126" s="21" t="s">
        <v>98</v>
      </c>
      <c r="D126" s="30"/>
      <c r="E126" s="30">
        <v>18</v>
      </c>
      <c r="F126" s="30">
        <v>32</v>
      </c>
      <c r="G126" s="30">
        <v>6</v>
      </c>
      <c r="H126" s="30">
        <v>4</v>
      </c>
      <c r="I126" s="30"/>
      <c r="J126" s="43"/>
      <c r="K126" s="43"/>
      <c r="L126" s="36">
        <f t="shared" si="5"/>
        <v>60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>
        <v>2</v>
      </c>
      <c r="F136" s="30"/>
      <c r="G136" s="30"/>
      <c r="H136" s="30"/>
      <c r="I136" s="30"/>
      <c r="J136" s="43"/>
      <c r="K136" s="43"/>
      <c r="L136" s="36">
        <f t="shared" si="5"/>
        <v>2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8"/>
      <c r="C140" s="59" t="s">
        <v>139</v>
      </c>
      <c r="D140" s="48"/>
      <c r="E140" s="48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0">
        <v>20059548</v>
      </c>
      <c r="C141" s="49" t="s">
        <v>144</v>
      </c>
      <c r="D141" s="48"/>
      <c r="E141" s="48"/>
      <c r="F141" s="51"/>
      <c r="G141" s="52"/>
      <c r="H141" s="9"/>
      <c r="I141" s="9"/>
      <c r="J141" s="9"/>
      <c r="K141" s="9"/>
      <c r="L141" s="36">
        <f t="shared" ref="L141:L148" si="6">SUM(D141:K141)</f>
        <v>0</v>
      </c>
    </row>
    <row r="142" spans="2:12" x14ac:dyDescent="0.25">
      <c r="B142" s="50">
        <v>20054646</v>
      </c>
      <c r="C142" s="49" t="s">
        <v>145</v>
      </c>
      <c r="D142" s="21"/>
      <c r="E142" s="48"/>
      <c r="F142" s="51"/>
      <c r="G142" s="52"/>
      <c r="H142" s="9"/>
      <c r="I142" s="9"/>
      <c r="J142" s="9"/>
      <c r="K142" s="9"/>
      <c r="L142" s="36">
        <f t="shared" si="6"/>
        <v>0</v>
      </c>
    </row>
    <row r="143" spans="2:12" x14ac:dyDescent="0.25">
      <c r="B143" s="50">
        <v>1100044</v>
      </c>
      <c r="C143" s="49" t="s">
        <v>146</v>
      </c>
      <c r="D143" s="51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 x14ac:dyDescent="0.25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 x14ac:dyDescent="0.25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 x14ac:dyDescent="0.25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 x14ac:dyDescent="0.25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 x14ac:dyDescent="0.25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 x14ac:dyDescent="0.25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ref="L149:L151" si="7">SUM(D149:K149)</f>
        <v>0</v>
      </c>
    </row>
    <row r="150" spans="2:12" x14ac:dyDescent="0.25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 x14ac:dyDescent="0.25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 x14ac:dyDescent="0.25">
      <c r="B152" s="53"/>
      <c r="C152" s="54"/>
      <c r="D152" s="31"/>
      <c r="E152" s="31"/>
      <c r="F152" s="31"/>
      <c r="G152" s="26"/>
      <c r="L152" s="39"/>
    </row>
    <row r="153" spans="2:12" x14ac:dyDescent="0.25">
      <c r="B153" s="66" t="s">
        <v>104</v>
      </c>
      <c r="C153" s="66"/>
      <c r="D153" s="32"/>
      <c r="E153" s="62"/>
      <c r="F153" s="62"/>
      <c r="G153" s="27"/>
      <c r="H153" s="26"/>
      <c r="I153" s="66" t="s">
        <v>104</v>
      </c>
      <c r="J153" s="66"/>
      <c r="K153" s="66"/>
      <c r="L153" s="66"/>
    </row>
    <row r="154" spans="2:12" x14ac:dyDescent="0.25">
      <c r="B154" s="62" t="s">
        <v>105</v>
      </c>
      <c r="C154" s="62"/>
      <c r="D154" s="33"/>
      <c r="E154" s="33"/>
      <c r="F154" s="33"/>
      <c r="G154" s="33"/>
      <c r="H154" s="33"/>
      <c r="I154" s="62" t="s">
        <v>106</v>
      </c>
      <c r="J154" s="62"/>
      <c r="K154" s="62"/>
      <c r="L154" s="62"/>
    </row>
    <row r="155" spans="2:12" x14ac:dyDescent="0.25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3.8" x14ac:dyDescent="0.2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3.8" x14ac:dyDescent="0.2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3.8" x14ac:dyDescent="0.2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3.8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3.8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 x14ac:dyDescent="0.25">
      <c r="D161" s="31"/>
      <c r="E161" s="31"/>
      <c r="F161" s="31"/>
      <c r="G161" s="31"/>
      <c r="H161" s="31"/>
    </row>
    <row r="162" spans="4:8" x14ac:dyDescent="0.25">
      <c r="D162" s="31"/>
      <c r="E162" s="31"/>
      <c r="F162" s="31"/>
      <c r="G162" s="31"/>
      <c r="H162" s="31"/>
    </row>
    <row r="163" spans="4:8" x14ac:dyDescent="0.25">
      <c r="D163" s="31"/>
      <c r="E163" s="31"/>
      <c r="F163" s="31"/>
      <c r="G163" s="31"/>
      <c r="H163" s="31"/>
    </row>
    <row r="164" spans="4:8" x14ac:dyDescent="0.25">
      <c r="D164" s="31"/>
      <c r="E164" s="31"/>
      <c r="F164" s="31"/>
      <c r="G164" s="31"/>
      <c r="H164" s="31"/>
    </row>
    <row r="165" spans="4:8" x14ac:dyDescent="0.25">
      <c r="D165" s="31"/>
      <c r="E165" s="31"/>
      <c r="F165" s="31"/>
      <c r="G165" s="31"/>
      <c r="H165" s="31"/>
    </row>
    <row r="166" spans="4:8" x14ac:dyDescent="0.25">
      <c r="D166" s="31"/>
      <c r="E166" s="31"/>
      <c r="F166" s="31"/>
      <c r="G166" s="31"/>
      <c r="H166" s="31"/>
    </row>
    <row r="167" spans="4:8" x14ac:dyDescent="0.25">
      <c r="D167" s="31"/>
      <c r="E167" s="31"/>
      <c r="F167" s="31"/>
      <c r="G167" s="31"/>
      <c r="H167" s="31"/>
    </row>
    <row r="168" spans="4:8" x14ac:dyDescent="0.25">
      <c r="D168" s="31"/>
      <c r="E168" s="31"/>
      <c r="F168" s="31"/>
      <c r="G168" s="31"/>
      <c r="H168" s="31"/>
    </row>
    <row r="169" spans="4:8" x14ac:dyDescent="0.25">
      <c r="D169" s="31"/>
      <c r="E169" s="31"/>
      <c r="F169" s="31"/>
      <c r="G169" s="31"/>
      <c r="H169" s="31"/>
    </row>
    <row r="170" spans="4:8" x14ac:dyDescent="0.25">
      <c r="D170" s="31"/>
      <c r="E170" s="31"/>
      <c r="F170" s="31"/>
      <c r="G170" s="31"/>
      <c r="H170" s="31"/>
    </row>
    <row r="171" spans="4:8" x14ac:dyDescent="0.25">
      <c r="D171" s="31"/>
      <c r="E171" s="31"/>
      <c r="F171" s="31"/>
      <c r="G171" s="31"/>
      <c r="H171" s="31"/>
    </row>
  </sheetData>
  <mergeCells count="14">
    <mergeCell ref="B154:C154"/>
    <mergeCell ref="I154:L154"/>
    <mergeCell ref="B1:L1"/>
    <mergeCell ref="B6:L6"/>
    <mergeCell ref="B68:L68"/>
    <mergeCell ref="B153:C153"/>
    <mergeCell ref="E153:F153"/>
    <mergeCell ref="I153:L15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71"/>
  <sheetViews>
    <sheetView topLeftCell="A113" zoomScale="60" zoomScaleNormal="60" workbookViewId="0">
      <selection activeCell="C143" sqref="C143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63" t="s">
        <v>135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 x14ac:dyDescent="0.25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 x14ac:dyDescent="0.25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 x14ac:dyDescent="0.25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5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0.399999999999999" x14ac:dyDescent="0.25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 x14ac:dyDescent="0.25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0.399999999999999" x14ac:dyDescent="0.25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0.399999999999999" x14ac:dyDescent="0.25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 x14ac:dyDescent="0.25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5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5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5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5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0.399999999999999" x14ac:dyDescent="0.25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5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5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5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ref="L141" si="6">SUM(D141:K141)</f>
        <v>0</v>
      </c>
    </row>
    <row r="142" spans="2:12" x14ac:dyDescent="0.25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1" si="7">SUM(D142:K142)</f>
        <v>0</v>
      </c>
    </row>
    <row r="143" spans="2:12" x14ac:dyDescent="0.25">
      <c r="B143" s="50">
        <v>1100044</v>
      </c>
      <c r="C143" s="49" t="s">
        <v>147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7"/>
        <v>0</v>
      </c>
    </row>
    <row r="144" spans="2:12" x14ac:dyDescent="0.25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7"/>
        <v>0</v>
      </c>
    </row>
    <row r="145" spans="2:12" x14ac:dyDescent="0.25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7"/>
        <v>0</v>
      </c>
    </row>
    <row r="146" spans="2:12" x14ac:dyDescent="0.25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7"/>
        <v>0</v>
      </c>
    </row>
    <row r="147" spans="2:12" x14ac:dyDescent="0.25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7"/>
        <v>0</v>
      </c>
    </row>
    <row r="148" spans="2:12" x14ac:dyDescent="0.25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7"/>
        <v>0</v>
      </c>
    </row>
    <row r="149" spans="2:12" x14ac:dyDescent="0.25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7"/>
        <v>0</v>
      </c>
    </row>
    <row r="150" spans="2:12" x14ac:dyDescent="0.25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 x14ac:dyDescent="0.25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 x14ac:dyDescent="0.25">
      <c r="B152" s="53"/>
      <c r="C152" s="54"/>
      <c r="D152" s="31"/>
      <c r="E152" s="31"/>
      <c r="F152" s="31"/>
      <c r="G152" s="26"/>
      <c r="L152" s="55"/>
    </row>
    <row r="153" spans="2:12" x14ac:dyDescent="0.25">
      <c r="B153" s="66" t="s">
        <v>104</v>
      </c>
      <c r="C153" s="66"/>
      <c r="D153" s="32"/>
      <c r="E153" s="62"/>
      <c r="F153" s="62"/>
      <c r="G153" s="27"/>
      <c r="H153" s="26"/>
      <c r="I153" s="66" t="s">
        <v>104</v>
      </c>
      <c r="J153" s="66"/>
      <c r="K153" s="66"/>
      <c r="L153" s="66"/>
    </row>
    <row r="154" spans="2:12" x14ac:dyDescent="0.25">
      <c r="B154" s="62" t="s">
        <v>105</v>
      </c>
      <c r="C154" s="62"/>
      <c r="D154" s="33"/>
      <c r="E154" s="33"/>
      <c r="F154" s="33"/>
      <c r="G154" s="33"/>
      <c r="H154" s="33"/>
      <c r="I154" s="62" t="s">
        <v>106</v>
      </c>
      <c r="J154" s="62"/>
      <c r="K154" s="62"/>
      <c r="L154" s="62"/>
    </row>
    <row r="155" spans="2:12" x14ac:dyDescent="0.25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3.8" x14ac:dyDescent="0.2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3.8" x14ac:dyDescent="0.2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3.8" x14ac:dyDescent="0.2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3.8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3.8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 x14ac:dyDescent="0.25">
      <c r="D161" s="31"/>
      <c r="E161" s="31"/>
      <c r="F161" s="31"/>
      <c r="G161" s="31"/>
      <c r="H161" s="31"/>
    </row>
    <row r="162" spans="4:8" x14ac:dyDescent="0.25">
      <c r="D162" s="31"/>
      <c r="E162" s="31"/>
      <c r="F162" s="31"/>
      <c r="G162" s="31"/>
      <c r="H162" s="31"/>
    </row>
    <row r="163" spans="4:8" x14ac:dyDescent="0.25">
      <c r="D163" s="31"/>
      <c r="E163" s="31"/>
      <c r="F163" s="31"/>
      <c r="G163" s="31"/>
      <c r="H163" s="31"/>
    </row>
    <row r="164" spans="4:8" x14ac:dyDescent="0.25">
      <c r="D164" s="31"/>
      <c r="E164" s="31"/>
      <c r="F164" s="31"/>
      <c r="G164" s="31"/>
      <c r="H164" s="31"/>
    </row>
    <row r="165" spans="4:8" x14ac:dyDescent="0.25">
      <c r="D165" s="31"/>
      <c r="E165" s="31"/>
      <c r="F165" s="31"/>
      <c r="G165" s="31"/>
      <c r="H165" s="31"/>
    </row>
    <row r="166" spans="4:8" x14ac:dyDescent="0.25">
      <c r="D166" s="31"/>
      <c r="E166" s="31"/>
      <c r="F166" s="31"/>
      <c r="G166" s="31"/>
      <c r="H166" s="31"/>
    </row>
    <row r="167" spans="4:8" x14ac:dyDescent="0.25">
      <c r="D167" s="31"/>
      <c r="E167" s="31"/>
      <c r="F167" s="31"/>
      <c r="G167" s="31"/>
      <c r="H167" s="31"/>
    </row>
    <row r="168" spans="4:8" x14ac:dyDescent="0.25">
      <c r="D168" s="31"/>
      <c r="E168" s="31"/>
      <c r="F168" s="31"/>
      <c r="G168" s="31"/>
      <c r="H168" s="31"/>
    </row>
    <row r="169" spans="4:8" x14ac:dyDescent="0.25">
      <c r="D169" s="31"/>
      <c r="E169" s="31"/>
      <c r="F169" s="31"/>
      <c r="G169" s="31"/>
      <c r="H169" s="31"/>
    </row>
    <row r="170" spans="4:8" x14ac:dyDescent="0.25">
      <c r="D170" s="31"/>
      <c r="E170" s="31"/>
      <c r="F170" s="31"/>
      <c r="G170" s="31"/>
      <c r="H170" s="31"/>
    </row>
    <row r="171" spans="4:8" x14ac:dyDescent="0.25">
      <c r="D171" s="31"/>
      <c r="E171" s="31"/>
      <c r="F171" s="31"/>
      <c r="G171" s="31"/>
      <c r="H171" s="31"/>
    </row>
  </sheetData>
  <mergeCells count="14">
    <mergeCell ref="B78:L78"/>
    <mergeCell ref="B89:L89"/>
    <mergeCell ref="B101:L101"/>
    <mergeCell ref="B113:L113"/>
    <mergeCell ref="B154:C154"/>
    <mergeCell ref="I154:L154"/>
    <mergeCell ref="B153:C153"/>
    <mergeCell ref="E153:F153"/>
    <mergeCell ref="I153:L15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74"/>
  <sheetViews>
    <sheetView zoomScale="60" zoomScaleNormal="60" workbookViewId="0">
      <selection activeCell="C143" sqref="C143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63" t="s">
        <v>137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 x14ac:dyDescent="0.25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 x14ac:dyDescent="0.25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 x14ac:dyDescent="0.25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5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0.399999999999999" x14ac:dyDescent="0.25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 x14ac:dyDescent="0.25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0.399999999999999" x14ac:dyDescent="0.25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0.399999999999999" x14ac:dyDescent="0.25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 x14ac:dyDescent="0.25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5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5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5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5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0.399999999999999" x14ac:dyDescent="0.25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1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5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5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5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si="5"/>
        <v>0</v>
      </c>
    </row>
    <row r="142" spans="2:12" x14ac:dyDescent="0.25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0" si="6">SUM(D142:K142)</f>
        <v>0</v>
      </c>
    </row>
    <row r="143" spans="2:12" x14ac:dyDescent="0.25">
      <c r="B143" s="50">
        <v>1100044</v>
      </c>
      <c r="C143" s="49" t="s">
        <v>147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 x14ac:dyDescent="0.25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 x14ac:dyDescent="0.25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 x14ac:dyDescent="0.25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 x14ac:dyDescent="0.25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 x14ac:dyDescent="0.25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 x14ac:dyDescent="0.25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6"/>
        <v>0</v>
      </c>
    </row>
    <row r="150" spans="2:12" x14ac:dyDescent="0.25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6"/>
        <v>0</v>
      </c>
    </row>
    <row r="151" spans="2:12" x14ac:dyDescent="0.25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ref="L151" si="7">SUM(D151:K151)</f>
        <v>0</v>
      </c>
    </row>
    <row r="152" spans="2:12" x14ac:dyDescent="0.25">
      <c r="B152" s="53"/>
      <c r="C152" s="54"/>
      <c r="D152" s="31"/>
      <c r="E152" s="31"/>
      <c r="F152" s="31"/>
      <c r="G152" s="26"/>
      <c r="L152" s="39"/>
    </row>
    <row r="153" spans="2:12" x14ac:dyDescent="0.25">
      <c r="B153" s="53"/>
      <c r="C153" s="54"/>
      <c r="D153" s="31"/>
      <c r="E153" s="31"/>
      <c r="F153" s="31"/>
      <c r="G153" s="26"/>
      <c r="L153" s="39"/>
    </row>
    <row r="154" spans="2:12" x14ac:dyDescent="0.25">
      <c r="B154" s="53"/>
      <c r="C154" s="54"/>
      <c r="D154" s="31"/>
      <c r="E154" s="31"/>
      <c r="F154" s="31"/>
      <c r="G154" s="26"/>
      <c r="L154" s="39"/>
    </row>
    <row r="155" spans="2:12" x14ac:dyDescent="0.25">
      <c r="B155" s="53"/>
      <c r="C155" s="54"/>
      <c r="D155" s="31"/>
      <c r="E155" s="31"/>
      <c r="F155" s="31"/>
      <c r="G155" s="26"/>
      <c r="L155" s="55"/>
    </row>
    <row r="156" spans="2:12" x14ac:dyDescent="0.25">
      <c r="B156" s="66" t="s">
        <v>104</v>
      </c>
      <c r="C156" s="66"/>
      <c r="D156" s="32"/>
      <c r="E156" s="62"/>
      <c r="F156" s="62"/>
      <c r="G156" s="27"/>
      <c r="H156" s="26"/>
      <c r="I156" s="66" t="s">
        <v>104</v>
      </c>
      <c r="J156" s="66"/>
      <c r="K156" s="66"/>
      <c r="L156" s="66"/>
    </row>
    <row r="157" spans="2:12" x14ac:dyDescent="0.25">
      <c r="B157" s="62" t="s">
        <v>105</v>
      </c>
      <c r="C157" s="62"/>
      <c r="D157" s="33"/>
      <c r="E157" s="33"/>
      <c r="F157" s="33"/>
      <c r="G157" s="33"/>
      <c r="H157" s="33"/>
      <c r="I157" s="62" t="s">
        <v>106</v>
      </c>
      <c r="J157" s="62"/>
      <c r="K157" s="62"/>
      <c r="L157" s="62"/>
    </row>
    <row r="158" spans="2:12" x14ac:dyDescent="0.25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2" ht="13.8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3.8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13.8" x14ac:dyDescent="0.2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13.8" x14ac:dyDescent="0.25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13.8" x14ac:dyDescent="0.25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 x14ac:dyDescent="0.25">
      <c r="D164" s="31"/>
      <c r="E164" s="31"/>
      <c r="F164" s="31"/>
      <c r="G164" s="31"/>
      <c r="H164" s="31"/>
    </row>
    <row r="165" spans="2:12" x14ac:dyDescent="0.25">
      <c r="D165" s="31"/>
      <c r="E165" s="31"/>
      <c r="F165" s="31"/>
      <c r="G165" s="31"/>
      <c r="H165" s="31"/>
    </row>
    <row r="166" spans="2:12" x14ac:dyDescent="0.25">
      <c r="D166" s="31"/>
      <c r="E166" s="31"/>
      <c r="F166" s="31"/>
      <c r="G166" s="31"/>
      <c r="H166" s="31"/>
    </row>
    <row r="167" spans="2:12" x14ac:dyDescent="0.25">
      <c r="D167" s="31"/>
      <c r="E167" s="31"/>
      <c r="F167" s="31"/>
      <c r="G167" s="31"/>
      <c r="H167" s="31"/>
    </row>
    <row r="168" spans="2:12" x14ac:dyDescent="0.25">
      <c r="D168" s="31"/>
      <c r="E168" s="31"/>
      <c r="F168" s="31"/>
      <c r="G168" s="31"/>
      <c r="H168" s="31"/>
    </row>
    <row r="169" spans="2:12" x14ac:dyDescent="0.25">
      <c r="D169" s="31"/>
      <c r="E169" s="31"/>
      <c r="F169" s="31"/>
      <c r="G169" s="31"/>
      <c r="H169" s="31"/>
    </row>
    <row r="170" spans="2:12" x14ac:dyDescent="0.25">
      <c r="D170" s="31"/>
      <c r="E170" s="31"/>
      <c r="F170" s="31"/>
      <c r="G170" s="31"/>
      <c r="H170" s="31"/>
    </row>
    <row r="171" spans="2:12" x14ac:dyDescent="0.25">
      <c r="D171" s="31"/>
      <c r="E171" s="31"/>
      <c r="F171" s="31"/>
      <c r="G171" s="31"/>
      <c r="H171" s="31"/>
    </row>
    <row r="172" spans="2:12" x14ac:dyDescent="0.25">
      <c r="D172" s="31"/>
      <c r="E172" s="31"/>
      <c r="F172" s="31"/>
      <c r="G172" s="31"/>
      <c r="H172" s="31"/>
    </row>
    <row r="173" spans="2:12" x14ac:dyDescent="0.25">
      <c r="D173" s="31"/>
      <c r="E173" s="31"/>
      <c r="F173" s="31"/>
      <c r="G173" s="31"/>
      <c r="H173" s="31"/>
    </row>
    <row r="174" spans="2:12" x14ac:dyDescent="0.25">
      <c r="D174" s="31"/>
      <c r="E174" s="31"/>
      <c r="F174" s="31"/>
      <c r="G174" s="31"/>
      <c r="H174" s="31"/>
    </row>
  </sheetData>
  <mergeCells count="14">
    <mergeCell ref="B157:C157"/>
    <mergeCell ref="I157:L157"/>
    <mergeCell ref="B1:L1"/>
    <mergeCell ref="B6:L6"/>
    <mergeCell ref="B68:L68"/>
    <mergeCell ref="B156:C156"/>
    <mergeCell ref="E156:F156"/>
    <mergeCell ref="I156:L156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U174"/>
  <sheetViews>
    <sheetView tabSelected="1" topLeftCell="B83" zoomScale="50" zoomScaleNormal="50" workbookViewId="0">
      <selection activeCell="B83" sqref="A1:XFD1048576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2" width="14.3984375" style="16" customWidth="1"/>
    <col min="13" max="13" width="17.59765625" style="25" customWidth="1"/>
    <col min="14" max="14" width="16.09765625" style="23" customWidth="1"/>
    <col min="15" max="16" width="15.3984375" style="23" customWidth="1"/>
    <col min="17" max="17" width="25.3984375" style="23" customWidth="1"/>
    <col min="18" max="18" width="14.3984375" style="2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77" t="s">
        <v>148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</row>
    <row r="2" spans="2:18" x14ac:dyDescent="0.25">
      <c r="B2" s="78"/>
      <c r="C2" s="79"/>
      <c r="D2" s="1"/>
      <c r="E2" s="80"/>
      <c r="F2" s="80"/>
      <c r="G2" s="2"/>
      <c r="H2" s="2"/>
      <c r="I2" s="2"/>
      <c r="J2" s="2"/>
      <c r="K2" s="2"/>
      <c r="L2" s="2"/>
      <c r="M2" s="3" t="s">
        <v>0</v>
      </c>
      <c r="N2" s="74" t="s">
        <v>127</v>
      </c>
      <c r="O2" s="74" t="s">
        <v>130</v>
      </c>
      <c r="P2" s="74" t="s">
        <v>140</v>
      </c>
      <c r="Q2" s="74" t="s">
        <v>141</v>
      </c>
      <c r="R2" s="82" t="s">
        <v>1</v>
      </c>
    </row>
    <row r="3" spans="2:18" x14ac:dyDescent="0.25">
      <c r="B3" s="78"/>
      <c r="C3" s="79"/>
      <c r="D3" s="4"/>
      <c r="E3" s="81"/>
      <c r="F3" s="81"/>
      <c r="G3" s="5"/>
      <c r="H3" s="5"/>
      <c r="I3" s="5"/>
      <c r="J3" s="85"/>
      <c r="K3" s="41"/>
      <c r="L3" s="41"/>
      <c r="M3" s="6" t="s">
        <v>2</v>
      </c>
      <c r="N3" s="75"/>
      <c r="O3" s="75"/>
      <c r="P3" s="75"/>
      <c r="Q3" s="75"/>
      <c r="R3" s="83"/>
    </row>
    <row r="4" spans="2:18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150</v>
      </c>
      <c r="K4" s="42" t="s">
        <v>133</v>
      </c>
      <c r="L4" s="42" t="s">
        <v>136</v>
      </c>
      <c r="M4" s="10" t="s">
        <v>10</v>
      </c>
      <c r="N4" s="76"/>
      <c r="O4" s="76"/>
      <c r="P4" s="76"/>
      <c r="Q4" s="76"/>
      <c r="R4" s="84"/>
    </row>
    <row r="5" spans="2:18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42"/>
      <c r="M5" s="14"/>
      <c r="N5" s="11"/>
      <c r="O5" s="11"/>
      <c r="P5" s="11"/>
      <c r="Q5" s="11"/>
      <c r="R5" s="29"/>
    </row>
    <row r="6" spans="2:18" ht="20.399999999999999" x14ac:dyDescent="0.25">
      <c r="B6" s="71" t="s">
        <v>11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3"/>
    </row>
    <row r="7" spans="2:18" x14ac:dyDescent="0.25">
      <c r="B7" s="11">
        <v>1111002</v>
      </c>
      <c r="C7" s="15" t="s">
        <v>107</v>
      </c>
      <c r="D7" s="30">
        <f>'เย็น '!D7+'เช้า '!D7+บ่าย!D7</f>
        <v>0</v>
      </c>
      <c r="E7" s="30">
        <f>'เย็น '!E7+'เช้า '!E7+บ่าย!E7</f>
        <v>26</v>
      </c>
      <c r="F7" s="30">
        <f>'เย็น '!F7+'เช้า '!F7+บ่าย!F7</f>
        <v>48</v>
      </c>
      <c r="G7" s="30">
        <f>'เย็น '!G7+'เช้า '!G7+บ่าย!G7</f>
        <v>4</v>
      </c>
      <c r="H7" s="30">
        <f>'เย็น '!H7+'เช้า '!H7+บ่าย!H7</f>
        <v>12</v>
      </c>
      <c r="I7" s="30">
        <f>'เย็น '!I7+'เช้า '!I7+บ่าย!I7</f>
        <v>0</v>
      </c>
      <c r="J7" s="30">
        <f>+G7+H7+I7</f>
        <v>16</v>
      </c>
      <c r="K7" s="30">
        <f>'เย็น '!J7+'เช้า '!J7+บ่าย!J7</f>
        <v>0</v>
      </c>
      <c r="L7" s="30">
        <f>'เย็น '!K7+'เช้า '!K7+บ่าย!K7</f>
        <v>0</v>
      </c>
      <c r="M7" s="36">
        <f>+D7+E7+F7+J7+K7+L7</f>
        <v>90</v>
      </c>
      <c r="N7" s="11">
        <v>80</v>
      </c>
      <c r="O7" s="11">
        <v>11</v>
      </c>
      <c r="P7" s="11"/>
      <c r="Q7" s="11">
        <v>90</v>
      </c>
      <c r="R7" s="44">
        <f>(N7+O7+P7+Q7)-M7</f>
        <v>91</v>
      </c>
    </row>
    <row r="8" spans="2:18" ht="22.2" hidden="1" customHeight="1" x14ac:dyDescent="0.25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 t="shared" ref="J8:J71" si="0">+G8+H8+I8</f>
        <v>0</v>
      </c>
      <c r="K8" s="30">
        <f>'เย็น '!J8+'เช้า '!J8+บ่าย!J8</f>
        <v>0</v>
      </c>
      <c r="L8" s="30">
        <f>'เย็น '!K8+'เช้า '!K8+บ่าย!K8</f>
        <v>0</v>
      </c>
      <c r="M8" s="36">
        <f t="shared" ref="M8:M71" si="1">+D8+E8+F8+J8+K8+L8</f>
        <v>0</v>
      </c>
      <c r="N8" s="11"/>
      <c r="O8" s="11"/>
      <c r="P8" s="11"/>
      <c r="Q8" s="11"/>
      <c r="R8" s="44">
        <f t="shared" ref="R8:R66" si="2">(N8+O8+P8+Q8)-M8</f>
        <v>0</v>
      </c>
    </row>
    <row r="9" spans="2:18" ht="22.2" hidden="1" customHeight="1" x14ac:dyDescent="0.25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 t="shared" si="0"/>
        <v>0</v>
      </c>
      <c r="K9" s="30">
        <f>'เย็น '!J9+'เช้า '!J9+บ่าย!J9</f>
        <v>0</v>
      </c>
      <c r="L9" s="30">
        <f>'เย็น '!K9+'เช้า '!K9+บ่าย!K9</f>
        <v>0</v>
      </c>
      <c r="M9" s="36">
        <f t="shared" si="1"/>
        <v>0</v>
      </c>
      <c r="N9" s="11"/>
      <c r="O9" s="11"/>
      <c r="P9" s="11"/>
      <c r="Q9" s="11"/>
      <c r="R9" s="44">
        <f t="shared" si="2"/>
        <v>0</v>
      </c>
    </row>
    <row r="10" spans="2:18" ht="22.2" hidden="1" customHeight="1" x14ac:dyDescent="0.25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 t="shared" si="0"/>
        <v>0</v>
      </c>
      <c r="K10" s="30">
        <f>'เย็น '!J10+'เช้า '!J10+บ่าย!J10</f>
        <v>0</v>
      </c>
      <c r="L10" s="30">
        <f>'เย็น '!K10+'เช้า '!K10+บ่าย!K10</f>
        <v>0</v>
      </c>
      <c r="M10" s="36">
        <f t="shared" si="1"/>
        <v>0</v>
      </c>
      <c r="N10" s="11"/>
      <c r="O10" s="11"/>
      <c r="P10" s="11"/>
      <c r="Q10" s="11"/>
      <c r="R10" s="44">
        <f t="shared" si="2"/>
        <v>0</v>
      </c>
    </row>
    <row r="11" spans="2:18" ht="22.2" hidden="1" customHeight="1" x14ac:dyDescent="0.25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 t="shared" si="0"/>
        <v>0</v>
      </c>
      <c r="K11" s="30">
        <f>'เย็น '!J11+'เช้า '!J11+บ่าย!J11</f>
        <v>0</v>
      </c>
      <c r="L11" s="30">
        <f>'เย็น '!K11+'เช้า '!K11+บ่าย!K11</f>
        <v>0</v>
      </c>
      <c r="M11" s="36">
        <f t="shared" si="1"/>
        <v>0</v>
      </c>
      <c r="N11" s="11"/>
      <c r="O11" s="11"/>
      <c r="P11" s="11"/>
      <c r="Q11" s="11"/>
      <c r="R11" s="44">
        <f t="shared" si="2"/>
        <v>0</v>
      </c>
    </row>
    <row r="12" spans="2:18" ht="22.2" hidden="1" customHeight="1" x14ac:dyDescent="0.25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 t="shared" si="0"/>
        <v>0</v>
      </c>
      <c r="K12" s="30">
        <f>'เย็น '!J12+'เช้า '!J12+บ่าย!J12</f>
        <v>0</v>
      </c>
      <c r="L12" s="30">
        <f>'เย็น '!K12+'เช้า '!K12+บ่าย!K12</f>
        <v>0</v>
      </c>
      <c r="M12" s="36">
        <f t="shared" si="1"/>
        <v>0</v>
      </c>
      <c r="N12" s="11"/>
      <c r="O12" s="11"/>
      <c r="P12" s="11"/>
      <c r="Q12" s="11"/>
      <c r="R12" s="44">
        <f t="shared" si="2"/>
        <v>0</v>
      </c>
    </row>
    <row r="13" spans="2:18" ht="22.2" hidden="1" customHeight="1" x14ac:dyDescent="0.25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 t="shared" si="0"/>
        <v>0</v>
      </c>
      <c r="K13" s="30">
        <f>'เย็น '!J13+'เช้า '!J13+บ่าย!J13</f>
        <v>0</v>
      </c>
      <c r="L13" s="30">
        <f>'เย็น '!K13+'เช้า '!K13+บ่าย!K13</f>
        <v>0</v>
      </c>
      <c r="M13" s="36">
        <f t="shared" si="1"/>
        <v>0</v>
      </c>
      <c r="N13" s="11"/>
      <c r="O13" s="11"/>
      <c r="P13" s="11"/>
      <c r="Q13" s="11"/>
      <c r="R13" s="44">
        <f t="shared" si="2"/>
        <v>0</v>
      </c>
    </row>
    <row r="14" spans="2:18" ht="22.2" hidden="1" customHeight="1" x14ac:dyDescent="0.25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 t="shared" si="0"/>
        <v>0</v>
      </c>
      <c r="K14" s="30">
        <f>'เย็น '!J14+'เช้า '!J14+บ่าย!J14</f>
        <v>0</v>
      </c>
      <c r="L14" s="30">
        <f>'เย็น '!K14+'เช้า '!K14+บ่าย!K14</f>
        <v>0</v>
      </c>
      <c r="M14" s="36">
        <f t="shared" si="1"/>
        <v>0</v>
      </c>
      <c r="N14" s="11"/>
      <c r="O14" s="11"/>
      <c r="P14" s="11"/>
      <c r="Q14" s="11"/>
      <c r="R14" s="44">
        <f t="shared" si="2"/>
        <v>0</v>
      </c>
    </row>
    <row r="15" spans="2:18" ht="22.2" hidden="1" customHeight="1" x14ac:dyDescent="0.25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 t="shared" si="0"/>
        <v>0</v>
      </c>
      <c r="K15" s="30">
        <f>'เย็น '!J15+'เช้า '!J15+บ่าย!J15</f>
        <v>0</v>
      </c>
      <c r="L15" s="30">
        <f>'เย็น '!K15+'เช้า '!K15+บ่าย!K15</f>
        <v>0</v>
      </c>
      <c r="M15" s="36">
        <f t="shared" si="1"/>
        <v>0</v>
      </c>
      <c r="N15" s="11"/>
      <c r="O15" s="11"/>
      <c r="P15" s="11"/>
      <c r="Q15" s="11"/>
      <c r="R15" s="44">
        <f t="shared" si="2"/>
        <v>0</v>
      </c>
    </row>
    <row r="16" spans="2:18" ht="22.2" hidden="1" customHeight="1" x14ac:dyDescent="0.25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 t="shared" si="0"/>
        <v>0</v>
      </c>
      <c r="K16" s="30">
        <f>'เย็น '!J16+'เช้า '!J16+บ่าย!J16</f>
        <v>0</v>
      </c>
      <c r="L16" s="30">
        <f>'เย็น '!K16+'เช้า '!K16+บ่าย!K16</f>
        <v>0</v>
      </c>
      <c r="M16" s="36">
        <f t="shared" si="1"/>
        <v>0</v>
      </c>
      <c r="N16" s="11"/>
      <c r="O16" s="11"/>
      <c r="P16" s="11"/>
      <c r="Q16" s="11"/>
      <c r="R16" s="44">
        <f t="shared" si="2"/>
        <v>0</v>
      </c>
    </row>
    <row r="17" spans="2:18" ht="22.2" hidden="1" customHeight="1" x14ac:dyDescent="0.25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 t="shared" si="0"/>
        <v>0</v>
      </c>
      <c r="K17" s="30">
        <f>'เย็น '!J17+'เช้า '!J17+บ่าย!J17</f>
        <v>0</v>
      </c>
      <c r="L17" s="30">
        <f>'เย็น '!K17+'เช้า '!K17+บ่าย!K17</f>
        <v>0</v>
      </c>
      <c r="M17" s="36">
        <f t="shared" si="1"/>
        <v>0</v>
      </c>
      <c r="N17" s="11"/>
      <c r="O17" s="11"/>
      <c r="P17" s="11"/>
      <c r="Q17" s="11"/>
      <c r="R17" s="44">
        <f t="shared" si="2"/>
        <v>0</v>
      </c>
    </row>
    <row r="18" spans="2:18" ht="22.2" hidden="1" customHeight="1" x14ac:dyDescent="0.25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 t="shared" si="0"/>
        <v>0</v>
      </c>
      <c r="K18" s="30">
        <f>'เย็น '!J18+'เช้า '!J18+บ่าย!J18</f>
        <v>0</v>
      </c>
      <c r="L18" s="30">
        <f>'เย็น '!K18+'เช้า '!K18+บ่าย!K18</f>
        <v>0</v>
      </c>
      <c r="M18" s="36">
        <f t="shared" si="1"/>
        <v>0</v>
      </c>
      <c r="N18" s="11"/>
      <c r="O18" s="11"/>
      <c r="P18" s="11"/>
      <c r="Q18" s="11"/>
      <c r="R18" s="44">
        <f t="shared" si="2"/>
        <v>0</v>
      </c>
    </row>
    <row r="19" spans="2:18" ht="22.2" hidden="1" customHeight="1" x14ac:dyDescent="0.25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 t="shared" si="0"/>
        <v>0</v>
      </c>
      <c r="K19" s="30">
        <f>'เย็น '!J19+'เช้า '!J19+บ่าย!J19</f>
        <v>0</v>
      </c>
      <c r="L19" s="30">
        <f>'เย็น '!K19+'เช้า '!K19+บ่าย!K19</f>
        <v>0</v>
      </c>
      <c r="M19" s="36">
        <f t="shared" si="1"/>
        <v>0</v>
      </c>
      <c r="N19" s="11"/>
      <c r="O19" s="11"/>
      <c r="P19" s="11"/>
      <c r="Q19" s="11"/>
      <c r="R19" s="44">
        <f t="shared" si="2"/>
        <v>0</v>
      </c>
    </row>
    <row r="20" spans="2:18" ht="22.2" hidden="1" customHeight="1" x14ac:dyDescent="0.25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 t="shared" si="0"/>
        <v>0</v>
      </c>
      <c r="K20" s="30">
        <f>'เย็น '!J20+'เช้า '!J20+บ่าย!J20</f>
        <v>0</v>
      </c>
      <c r="L20" s="30">
        <f>'เย็น '!K20+'เช้า '!K20+บ่าย!K20</f>
        <v>0</v>
      </c>
      <c r="M20" s="36">
        <f t="shared" si="1"/>
        <v>0</v>
      </c>
      <c r="N20" s="11"/>
      <c r="O20" s="11"/>
      <c r="P20" s="11"/>
      <c r="Q20" s="11"/>
      <c r="R20" s="44">
        <f t="shared" si="2"/>
        <v>0</v>
      </c>
    </row>
    <row r="21" spans="2:18" ht="22.2" hidden="1" customHeight="1" x14ac:dyDescent="0.25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 t="shared" si="0"/>
        <v>0</v>
      </c>
      <c r="K21" s="30">
        <f>'เย็น '!J21+'เช้า '!J21+บ่าย!J21</f>
        <v>0</v>
      </c>
      <c r="L21" s="30">
        <f>'เย็น '!K21+'เช้า '!K21+บ่าย!K21</f>
        <v>0</v>
      </c>
      <c r="M21" s="36">
        <f t="shared" si="1"/>
        <v>0</v>
      </c>
      <c r="N21" s="11"/>
      <c r="O21" s="11"/>
      <c r="P21" s="11"/>
      <c r="Q21" s="11"/>
      <c r="R21" s="44">
        <f t="shared" si="2"/>
        <v>0</v>
      </c>
    </row>
    <row r="22" spans="2:18" ht="22.2" hidden="1" customHeight="1" x14ac:dyDescent="0.25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 t="shared" si="0"/>
        <v>0</v>
      </c>
      <c r="K22" s="30">
        <f>'เย็น '!J22+'เช้า '!J22+บ่าย!J22</f>
        <v>0</v>
      </c>
      <c r="L22" s="30">
        <f>'เย็น '!K22+'เช้า '!K22+บ่าย!K22</f>
        <v>0</v>
      </c>
      <c r="M22" s="36">
        <f t="shared" si="1"/>
        <v>0</v>
      </c>
      <c r="N22" s="11"/>
      <c r="O22" s="11"/>
      <c r="P22" s="11"/>
      <c r="Q22" s="11"/>
      <c r="R22" s="44">
        <f t="shared" si="2"/>
        <v>0</v>
      </c>
    </row>
    <row r="23" spans="2:18" ht="22.2" hidden="1" customHeight="1" x14ac:dyDescent="0.25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 t="shared" si="0"/>
        <v>0</v>
      </c>
      <c r="K23" s="30">
        <f>'เย็น '!J23+'เช้า '!J23+บ่าย!J23</f>
        <v>0</v>
      </c>
      <c r="L23" s="30">
        <f>'เย็น '!K23+'เช้า '!K23+บ่าย!K23</f>
        <v>0</v>
      </c>
      <c r="M23" s="36">
        <f t="shared" si="1"/>
        <v>0</v>
      </c>
      <c r="N23" s="11"/>
      <c r="O23" s="11"/>
      <c r="P23" s="11"/>
      <c r="Q23" s="11"/>
      <c r="R23" s="44">
        <f t="shared" si="2"/>
        <v>0</v>
      </c>
    </row>
    <row r="24" spans="2:18" ht="22.2" hidden="1" customHeight="1" x14ac:dyDescent="0.25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 t="shared" si="0"/>
        <v>0</v>
      </c>
      <c r="K24" s="30">
        <f>'เย็น '!J24+'เช้า '!J24+บ่าย!J24</f>
        <v>0</v>
      </c>
      <c r="L24" s="30">
        <f>'เย็น '!K24+'เช้า '!K24+บ่าย!K24</f>
        <v>0</v>
      </c>
      <c r="M24" s="36">
        <f t="shared" si="1"/>
        <v>0</v>
      </c>
      <c r="N24" s="11"/>
      <c r="O24" s="11"/>
      <c r="P24" s="11"/>
      <c r="Q24" s="11"/>
      <c r="R24" s="44">
        <f t="shared" si="2"/>
        <v>0</v>
      </c>
    </row>
    <row r="25" spans="2:18" x14ac:dyDescent="0.25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f>'เย็น '!E25+'เช้า '!E25+บ่าย!E25</f>
        <v>5</v>
      </c>
      <c r="F25" s="30">
        <f>'เย็น '!F25+'เช้า '!F25+บ่าย!F25</f>
        <v>0</v>
      </c>
      <c r="G25" s="30">
        <f>'เย็น '!G25+'เช้า '!G25+บ่าย!G25</f>
        <v>1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 t="shared" si="0"/>
        <v>1</v>
      </c>
      <c r="K25" s="30">
        <f>'เย็น '!J25+'เช้า '!J25+บ่าย!J25</f>
        <v>0</v>
      </c>
      <c r="L25" s="30">
        <f>'เย็น '!K25+'เช้า '!K25+บ่าย!K25</f>
        <v>0</v>
      </c>
      <c r="M25" s="36">
        <f t="shared" si="1"/>
        <v>6</v>
      </c>
      <c r="N25" s="11">
        <v>10</v>
      </c>
      <c r="O25" s="11"/>
      <c r="P25" s="11"/>
      <c r="Q25" s="11">
        <v>15</v>
      </c>
      <c r="R25" s="44">
        <f t="shared" si="2"/>
        <v>19</v>
      </c>
    </row>
    <row r="26" spans="2:18" x14ac:dyDescent="0.25">
      <c r="B26" s="11">
        <v>1004055</v>
      </c>
      <c r="C26" s="15" t="s">
        <v>108</v>
      </c>
      <c r="D26" s="30">
        <f>'เย็น '!D26+'เช้า '!D26+บ่าย!D26</f>
        <v>4</v>
      </c>
      <c r="E26" s="30">
        <f>'เย็น '!E26+'เช้า '!E26+บ่าย!E26</f>
        <v>13</v>
      </c>
      <c r="F26" s="30">
        <f>'เย็น '!F26+'เช้า '!F26+บ่าย!F26</f>
        <v>0</v>
      </c>
      <c r="G26" s="30">
        <f>'เย็น '!G26+'เช้า '!G26+บ่าย!G26</f>
        <v>81</v>
      </c>
      <c r="H26" s="30">
        <f>'เย็น '!H26+'เช้า '!H26+บ่าย!H26</f>
        <v>33</v>
      </c>
      <c r="I26" s="30">
        <f>'เย็น '!I26+'เช้า '!I26+บ่าย!I26</f>
        <v>0</v>
      </c>
      <c r="J26" s="30">
        <f t="shared" si="0"/>
        <v>114</v>
      </c>
      <c r="K26" s="30">
        <f>'เย็น '!J26+'เช้า '!J26+บ่าย!J26</f>
        <v>0</v>
      </c>
      <c r="L26" s="30">
        <f>'เย็น '!K26+'เช้า '!K26+บ่าย!K26</f>
        <v>0</v>
      </c>
      <c r="M26" s="36">
        <f t="shared" si="1"/>
        <v>131</v>
      </c>
      <c r="N26" s="11">
        <v>100</v>
      </c>
      <c r="O26" s="11">
        <v>38</v>
      </c>
      <c r="P26" s="11"/>
      <c r="Q26" s="11">
        <v>120</v>
      </c>
      <c r="R26" s="44">
        <f t="shared" si="2"/>
        <v>127</v>
      </c>
    </row>
    <row r="27" spans="2:18" ht="22.2" hidden="1" customHeight="1" x14ac:dyDescent="0.25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 t="shared" si="0"/>
        <v>0</v>
      </c>
      <c r="K27" s="30">
        <f>'เย็น '!J27+'เช้า '!J27+บ่าย!J27</f>
        <v>0</v>
      </c>
      <c r="L27" s="30">
        <f>'เย็น '!K27+'เช้า '!K27+บ่าย!K27</f>
        <v>0</v>
      </c>
      <c r="M27" s="36">
        <f t="shared" si="1"/>
        <v>0</v>
      </c>
      <c r="N27" s="11"/>
      <c r="O27" s="11"/>
      <c r="P27" s="11"/>
      <c r="Q27" s="11"/>
      <c r="R27" s="44">
        <f t="shared" si="2"/>
        <v>0</v>
      </c>
    </row>
    <row r="28" spans="2:18" ht="22.2" hidden="1" customHeight="1" x14ac:dyDescent="0.25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 t="shared" si="0"/>
        <v>0</v>
      </c>
      <c r="K28" s="30">
        <f>'เย็น '!J28+'เช้า '!J28+บ่าย!J28</f>
        <v>0</v>
      </c>
      <c r="L28" s="30">
        <f>'เย็น '!K28+'เช้า '!K28+บ่าย!K28</f>
        <v>0</v>
      </c>
      <c r="M28" s="36">
        <f t="shared" si="1"/>
        <v>0</v>
      </c>
      <c r="N28" s="11"/>
      <c r="O28" s="11"/>
      <c r="P28" s="11"/>
      <c r="Q28" s="11"/>
      <c r="R28" s="44">
        <f t="shared" si="2"/>
        <v>0</v>
      </c>
    </row>
    <row r="29" spans="2:18" ht="22.2" hidden="1" customHeight="1" x14ac:dyDescent="0.25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 t="shared" si="0"/>
        <v>0</v>
      </c>
      <c r="K29" s="30">
        <f>'เย็น '!J29+'เช้า '!J29+บ่าย!J29</f>
        <v>0</v>
      </c>
      <c r="L29" s="30">
        <f>'เย็น '!K29+'เช้า '!K29+บ่าย!K29</f>
        <v>0</v>
      </c>
      <c r="M29" s="36">
        <f t="shared" si="1"/>
        <v>0</v>
      </c>
      <c r="N29" s="11"/>
      <c r="O29" s="11"/>
      <c r="P29" s="11"/>
      <c r="Q29" s="11"/>
      <c r="R29" s="44">
        <f t="shared" si="2"/>
        <v>0</v>
      </c>
    </row>
    <row r="30" spans="2:18" ht="22.2" hidden="1" customHeight="1" x14ac:dyDescent="0.25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 t="shared" si="0"/>
        <v>0</v>
      </c>
      <c r="K30" s="30">
        <f>'เย็น '!J30+'เช้า '!J30+บ่าย!J30</f>
        <v>0</v>
      </c>
      <c r="L30" s="30">
        <f>'เย็น '!K30+'เช้า '!K30+บ่าย!K30</f>
        <v>0</v>
      </c>
      <c r="M30" s="36">
        <f t="shared" si="1"/>
        <v>0</v>
      </c>
      <c r="N30" s="11"/>
      <c r="O30" s="11"/>
      <c r="P30" s="11"/>
      <c r="Q30" s="11"/>
      <c r="R30" s="44">
        <f t="shared" si="2"/>
        <v>0</v>
      </c>
    </row>
    <row r="31" spans="2:18" ht="22.2" hidden="1" customHeight="1" x14ac:dyDescent="0.25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 t="shared" si="0"/>
        <v>0</v>
      </c>
      <c r="K31" s="30">
        <f>'เย็น '!J31+'เช้า '!J31+บ่าย!J31</f>
        <v>0</v>
      </c>
      <c r="L31" s="30">
        <f>'เย็น '!K31+'เช้า '!K31+บ่าย!K31</f>
        <v>0</v>
      </c>
      <c r="M31" s="36">
        <f t="shared" si="1"/>
        <v>0</v>
      </c>
      <c r="N31" s="11"/>
      <c r="O31" s="11"/>
      <c r="P31" s="11"/>
      <c r="Q31" s="11"/>
      <c r="R31" s="44">
        <f t="shared" si="2"/>
        <v>0</v>
      </c>
    </row>
    <row r="32" spans="2:18" ht="22.2" hidden="1" customHeight="1" x14ac:dyDescent="0.25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 t="shared" si="0"/>
        <v>0</v>
      </c>
      <c r="K32" s="30">
        <f>'เย็น '!J32+'เช้า '!J32+บ่าย!J32</f>
        <v>0</v>
      </c>
      <c r="L32" s="30">
        <f>'เย็น '!K32+'เช้า '!K32+บ่าย!K32</f>
        <v>0</v>
      </c>
      <c r="M32" s="36">
        <f t="shared" si="1"/>
        <v>0</v>
      </c>
      <c r="N32" s="11"/>
      <c r="O32" s="11"/>
      <c r="P32" s="11"/>
      <c r="Q32" s="11"/>
      <c r="R32" s="44">
        <f t="shared" si="2"/>
        <v>0</v>
      </c>
    </row>
    <row r="33" spans="2:18" ht="22.2" hidden="1" customHeight="1" x14ac:dyDescent="0.25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 t="shared" si="0"/>
        <v>0</v>
      </c>
      <c r="K33" s="30">
        <f>'เย็น '!J33+'เช้า '!J33+บ่าย!J33</f>
        <v>0</v>
      </c>
      <c r="L33" s="30">
        <f>'เย็น '!K33+'เช้า '!K33+บ่าย!K33</f>
        <v>0</v>
      </c>
      <c r="M33" s="36">
        <f t="shared" si="1"/>
        <v>0</v>
      </c>
      <c r="N33" s="11"/>
      <c r="O33" s="11"/>
      <c r="P33" s="11"/>
      <c r="Q33" s="11"/>
      <c r="R33" s="44">
        <f t="shared" si="2"/>
        <v>0</v>
      </c>
    </row>
    <row r="34" spans="2:18" ht="22.2" hidden="1" customHeight="1" x14ac:dyDescent="0.25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 t="shared" si="0"/>
        <v>0</v>
      </c>
      <c r="K34" s="30">
        <f>'เย็น '!J34+'เช้า '!J34+บ่าย!J34</f>
        <v>0</v>
      </c>
      <c r="L34" s="30">
        <f>'เย็น '!K34+'เช้า '!K34+บ่าย!K34</f>
        <v>0</v>
      </c>
      <c r="M34" s="36">
        <f t="shared" si="1"/>
        <v>0</v>
      </c>
      <c r="N34" s="11"/>
      <c r="O34" s="11"/>
      <c r="P34" s="11"/>
      <c r="Q34" s="11"/>
      <c r="R34" s="44">
        <f t="shared" si="2"/>
        <v>0</v>
      </c>
    </row>
    <row r="35" spans="2:18" ht="22.2" hidden="1" customHeight="1" x14ac:dyDescent="0.25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 t="shared" si="0"/>
        <v>0</v>
      </c>
      <c r="K35" s="30">
        <f>'เย็น '!J35+'เช้า '!J35+บ่าย!J35</f>
        <v>0</v>
      </c>
      <c r="L35" s="30">
        <f>'เย็น '!K35+'เช้า '!K35+บ่าย!K35</f>
        <v>0</v>
      </c>
      <c r="M35" s="36">
        <f t="shared" si="1"/>
        <v>0</v>
      </c>
      <c r="N35" s="11"/>
      <c r="O35" s="11"/>
      <c r="P35" s="11"/>
      <c r="Q35" s="11"/>
      <c r="R35" s="44">
        <f t="shared" si="2"/>
        <v>0</v>
      </c>
    </row>
    <row r="36" spans="2:18" ht="22.2" hidden="1" customHeight="1" x14ac:dyDescent="0.25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 t="shared" si="0"/>
        <v>0</v>
      </c>
      <c r="K36" s="30">
        <f>'เย็น '!J36+'เช้า '!J36+บ่าย!J36</f>
        <v>0</v>
      </c>
      <c r="L36" s="30">
        <f>'เย็น '!K36+'เช้า '!K36+บ่าย!K36</f>
        <v>0</v>
      </c>
      <c r="M36" s="36">
        <f t="shared" si="1"/>
        <v>0</v>
      </c>
      <c r="N36" s="11"/>
      <c r="O36" s="11"/>
      <c r="P36" s="11"/>
      <c r="Q36" s="11"/>
      <c r="R36" s="44">
        <f t="shared" si="2"/>
        <v>0</v>
      </c>
    </row>
    <row r="37" spans="2:18" ht="22.2" hidden="1" customHeight="1" x14ac:dyDescent="0.25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 t="shared" si="0"/>
        <v>0</v>
      </c>
      <c r="K37" s="30">
        <f>'เย็น '!J37+'เช้า '!J37+บ่าย!J37</f>
        <v>0</v>
      </c>
      <c r="L37" s="30">
        <f>'เย็น '!K37+'เช้า '!K37+บ่าย!K37</f>
        <v>0</v>
      </c>
      <c r="M37" s="36">
        <f t="shared" si="1"/>
        <v>0</v>
      </c>
      <c r="N37" s="11"/>
      <c r="O37" s="11"/>
      <c r="P37" s="11"/>
      <c r="Q37" s="11"/>
      <c r="R37" s="44">
        <f t="shared" si="2"/>
        <v>0</v>
      </c>
    </row>
    <row r="38" spans="2:18" ht="22.2" hidden="1" customHeight="1" x14ac:dyDescent="0.25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 t="shared" si="0"/>
        <v>0</v>
      </c>
      <c r="K38" s="30">
        <f>'เย็น '!J38+'เช้า '!J38+บ่าย!J38</f>
        <v>0</v>
      </c>
      <c r="L38" s="30">
        <f>'เย็น '!K38+'เช้า '!K38+บ่าย!K38</f>
        <v>0</v>
      </c>
      <c r="M38" s="36">
        <f t="shared" si="1"/>
        <v>0</v>
      </c>
      <c r="N38" s="11"/>
      <c r="O38" s="11"/>
      <c r="P38" s="11"/>
      <c r="Q38" s="11"/>
      <c r="R38" s="44">
        <f t="shared" si="2"/>
        <v>0</v>
      </c>
    </row>
    <row r="39" spans="2:18" ht="22.2" hidden="1" customHeight="1" x14ac:dyDescent="0.25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 t="shared" si="0"/>
        <v>0</v>
      </c>
      <c r="K39" s="30">
        <f>'เย็น '!J39+'เช้า '!J39+บ่าย!J39</f>
        <v>0</v>
      </c>
      <c r="L39" s="30">
        <f>'เย็น '!K39+'เช้า '!K39+บ่าย!K39</f>
        <v>0</v>
      </c>
      <c r="M39" s="36">
        <f t="shared" si="1"/>
        <v>0</v>
      </c>
      <c r="N39" s="11"/>
      <c r="O39" s="11"/>
      <c r="P39" s="11"/>
      <c r="Q39" s="11"/>
      <c r="R39" s="44">
        <f t="shared" si="2"/>
        <v>0</v>
      </c>
    </row>
    <row r="40" spans="2:18" x14ac:dyDescent="0.25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2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 t="shared" si="0"/>
        <v>0</v>
      </c>
      <c r="K40" s="30">
        <f>'เย็น '!J40+'เช้า '!J40+บ่าย!J40</f>
        <v>0</v>
      </c>
      <c r="L40" s="30">
        <f>'เย็น '!K40+'เช้า '!K40+บ่าย!K40</f>
        <v>0</v>
      </c>
      <c r="M40" s="36">
        <f t="shared" si="1"/>
        <v>2</v>
      </c>
      <c r="N40" s="11"/>
      <c r="O40" s="11"/>
      <c r="P40" s="11"/>
      <c r="Q40" s="11"/>
      <c r="R40" s="44">
        <f t="shared" si="2"/>
        <v>-2</v>
      </c>
    </row>
    <row r="41" spans="2:18" x14ac:dyDescent="0.25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2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 t="shared" si="0"/>
        <v>0</v>
      </c>
      <c r="K41" s="30">
        <f>'เย็น '!J41+'เช้า '!J41+บ่าย!J41</f>
        <v>0</v>
      </c>
      <c r="L41" s="30">
        <f>'เย็น '!K41+'เช้า '!K41+บ่าย!K41</f>
        <v>0</v>
      </c>
      <c r="M41" s="36">
        <f t="shared" si="1"/>
        <v>2</v>
      </c>
      <c r="N41" s="11"/>
      <c r="O41" s="11"/>
      <c r="P41" s="11"/>
      <c r="Q41" s="11"/>
      <c r="R41" s="44">
        <f t="shared" si="2"/>
        <v>-2</v>
      </c>
    </row>
    <row r="42" spans="2:18" x14ac:dyDescent="0.25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2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 t="shared" si="0"/>
        <v>0</v>
      </c>
      <c r="K42" s="30">
        <f>'เย็น '!J42+'เช้า '!J42+บ่าย!J42</f>
        <v>0</v>
      </c>
      <c r="L42" s="30">
        <f>'เย็น '!K42+'เช้า '!K42+บ่าย!K42</f>
        <v>0</v>
      </c>
      <c r="M42" s="36">
        <f t="shared" si="1"/>
        <v>2</v>
      </c>
      <c r="N42" s="11"/>
      <c r="O42" s="11"/>
      <c r="P42" s="11"/>
      <c r="Q42" s="11"/>
      <c r="R42" s="44">
        <f t="shared" si="2"/>
        <v>-2</v>
      </c>
    </row>
    <row r="43" spans="2:18" x14ac:dyDescent="0.25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2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 t="shared" si="0"/>
        <v>0</v>
      </c>
      <c r="K43" s="30">
        <f>'เย็น '!J43+'เช้า '!J43+บ่าย!J43</f>
        <v>0</v>
      </c>
      <c r="L43" s="30">
        <f>'เย็น '!K43+'เช้า '!K43+บ่าย!K43</f>
        <v>0</v>
      </c>
      <c r="M43" s="36">
        <f t="shared" si="1"/>
        <v>2</v>
      </c>
      <c r="N43" s="11"/>
      <c r="O43" s="11"/>
      <c r="P43" s="11"/>
      <c r="Q43" s="11"/>
      <c r="R43" s="44">
        <f t="shared" si="2"/>
        <v>-2</v>
      </c>
    </row>
    <row r="44" spans="2:18" x14ac:dyDescent="0.25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2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 t="shared" si="0"/>
        <v>0</v>
      </c>
      <c r="K44" s="30">
        <f>'เย็น '!J44+'เช้า '!J44+บ่าย!J44</f>
        <v>0</v>
      </c>
      <c r="L44" s="30">
        <f>'เย็น '!K44+'เช้า '!K44+บ่าย!K44</f>
        <v>0</v>
      </c>
      <c r="M44" s="36">
        <f t="shared" si="1"/>
        <v>2</v>
      </c>
      <c r="N44" s="11"/>
      <c r="O44" s="11"/>
      <c r="P44" s="11"/>
      <c r="Q44" s="11"/>
      <c r="R44" s="44">
        <f t="shared" si="2"/>
        <v>-2</v>
      </c>
    </row>
    <row r="45" spans="2:18" x14ac:dyDescent="0.25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2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 t="shared" si="0"/>
        <v>0</v>
      </c>
      <c r="K45" s="30">
        <f>'เย็น '!J45+'เช้า '!J45+บ่าย!J45</f>
        <v>0</v>
      </c>
      <c r="L45" s="30">
        <f>'เย็น '!K45+'เช้า '!K45+บ่าย!K45</f>
        <v>0</v>
      </c>
      <c r="M45" s="36">
        <f t="shared" si="1"/>
        <v>2</v>
      </c>
      <c r="N45" s="11"/>
      <c r="O45" s="11"/>
      <c r="P45" s="11"/>
      <c r="Q45" s="11"/>
      <c r="R45" s="44">
        <f t="shared" si="2"/>
        <v>-2</v>
      </c>
    </row>
    <row r="46" spans="2:18" x14ac:dyDescent="0.25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2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 t="shared" si="0"/>
        <v>0</v>
      </c>
      <c r="K46" s="30">
        <f>'เย็น '!J46+'เช้า '!J46+บ่าย!J46</f>
        <v>0</v>
      </c>
      <c r="L46" s="30">
        <f>'เย็น '!K46+'เช้า '!K46+บ่าย!K46</f>
        <v>0</v>
      </c>
      <c r="M46" s="36">
        <f t="shared" si="1"/>
        <v>2</v>
      </c>
      <c r="N46" s="11"/>
      <c r="O46" s="11"/>
      <c r="P46" s="11"/>
      <c r="Q46" s="11"/>
      <c r="R46" s="44">
        <f t="shared" si="2"/>
        <v>-2</v>
      </c>
    </row>
    <row r="47" spans="2:18" x14ac:dyDescent="0.25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1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 t="shared" si="0"/>
        <v>0</v>
      </c>
      <c r="K47" s="30">
        <f>'เย็น '!J47+'เช้า '!J47+บ่าย!J47</f>
        <v>0</v>
      </c>
      <c r="L47" s="30">
        <f>'เย็น '!K47+'เช้า '!K47+บ่าย!K47</f>
        <v>0</v>
      </c>
      <c r="M47" s="36">
        <f t="shared" si="1"/>
        <v>1</v>
      </c>
      <c r="N47" s="11"/>
      <c r="O47" s="11"/>
      <c r="P47" s="11"/>
      <c r="Q47" s="11"/>
      <c r="R47" s="44">
        <f t="shared" si="2"/>
        <v>-1</v>
      </c>
    </row>
    <row r="48" spans="2:18" x14ac:dyDescent="0.25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1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 t="shared" si="0"/>
        <v>0</v>
      </c>
      <c r="K48" s="30">
        <f>'เย็น '!J48+'เช้า '!J48+บ่าย!J48</f>
        <v>0</v>
      </c>
      <c r="L48" s="30">
        <f>'เย็น '!K48+'เช้า '!K48+บ่าย!K48</f>
        <v>0</v>
      </c>
      <c r="M48" s="36">
        <f t="shared" si="1"/>
        <v>1</v>
      </c>
      <c r="N48" s="11"/>
      <c r="O48" s="11"/>
      <c r="P48" s="11"/>
      <c r="Q48" s="11"/>
      <c r="R48" s="44">
        <f t="shared" si="2"/>
        <v>-1</v>
      </c>
    </row>
    <row r="49" spans="2:21" x14ac:dyDescent="0.25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1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 t="shared" si="0"/>
        <v>0</v>
      </c>
      <c r="K49" s="30">
        <f>'เย็น '!J49+'เช้า '!J49+บ่าย!J49</f>
        <v>0</v>
      </c>
      <c r="L49" s="30">
        <f>'เย็น '!K49+'เช้า '!K49+บ่าย!K49</f>
        <v>0</v>
      </c>
      <c r="M49" s="36">
        <f t="shared" si="1"/>
        <v>1</v>
      </c>
      <c r="N49" s="11"/>
      <c r="O49" s="11"/>
      <c r="P49" s="11"/>
      <c r="Q49" s="11"/>
      <c r="R49" s="44">
        <f t="shared" si="2"/>
        <v>-1</v>
      </c>
    </row>
    <row r="50" spans="2:21" x14ac:dyDescent="0.25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1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 t="shared" si="0"/>
        <v>0</v>
      </c>
      <c r="K50" s="30">
        <f>'เย็น '!J50+'เช้า '!J50+บ่าย!J50</f>
        <v>0</v>
      </c>
      <c r="L50" s="30">
        <f>'เย็น '!K50+'เช้า '!K50+บ่าย!K50</f>
        <v>0</v>
      </c>
      <c r="M50" s="36">
        <f t="shared" si="1"/>
        <v>1</v>
      </c>
      <c r="N50" s="11"/>
      <c r="O50" s="11"/>
      <c r="P50" s="11"/>
      <c r="Q50" s="11"/>
      <c r="R50" s="44">
        <f t="shared" si="2"/>
        <v>-1</v>
      </c>
    </row>
    <row r="51" spans="2:21" x14ac:dyDescent="0.25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1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 t="shared" si="0"/>
        <v>0</v>
      </c>
      <c r="K51" s="30">
        <f>'เย็น '!J51+'เช้า '!J51+บ่าย!J51</f>
        <v>0</v>
      </c>
      <c r="L51" s="30">
        <f>'เย็น '!K51+'เช้า '!K51+บ่าย!K51</f>
        <v>0</v>
      </c>
      <c r="M51" s="36">
        <f t="shared" si="1"/>
        <v>1</v>
      </c>
      <c r="N51" s="11"/>
      <c r="O51" s="11"/>
      <c r="P51" s="11"/>
      <c r="Q51" s="11"/>
      <c r="R51" s="44">
        <f t="shared" si="2"/>
        <v>-1</v>
      </c>
    </row>
    <row r="52" spans="2:21" x14ac:dyDescent="0.35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1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 t="shared" si="0"/>
        <v>0</v>
      </c>
      <c r="K52" s="30">
        <f>'เย็น '!J52+'เช้า '!J52+บ่าย!J52</f>
        <v>0</v>
      </c>
      <c r="L52" s="30">
        <f>'เย็น '!K52+'เช้า '!K52+บ่าย!K52</f>
        <v>0</v>
      </c>
      <c r="M52" s="36">
        <f t="shared" si="1"/>
        <v>1</v>
      </c>
      <c r="N52" s="11"/>
      <c r="O52" s="11"/>
      <c r="P52" s="11"/>
      <c r="Q52" s="11"/>
      <c r="R52" s="44">
        <f t="shared" si="2"/>
        <v>-1</v>
      </c>
      <c r="T52" s="46"/>
      <c r="U52" s="45"/>
    </row>
    <row r="53" spans="2:21" x14ac:dyDescent="0.25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 t="shared" si="0"/>
        <v>0</v>
      </c>
      <c r="K53" s="30">
        <f>'เย็น '!J53+'เช้า '!J53+บ่าย!J53</f>
        <v>0</v>
      </c>
      <c r="L53" s="30">
        <f>'เย็น '!K53+'เช้า '!K53+บ่าย!K53</f>
        <v>0</v>
      </c>
      <c r="M53" s="36">
        <f t="shared" si="1"/>
        <v>0</v>
      </c>
      <c r="N53" s="11"/>
      <c r="O53" s="11"/>
      <c r="P53" s="11"/>
      <c r="Q53" s="11"/>
      <c r="R53" s="44">
        <f t="shared" si="2"/>
        <v>0</v>
      </c>
    </row>
    <row r="54" spans="2:21" x14ac:dyDescent="0.25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 t="shared" si="0"/>
        <v>0</v>
      </c>
      <c r="K54" s="30">
        <f>'เย็น '!J54+'เช้า '!J54+บ่าย!J54</f>
        <v>0</v>
      </c>
      <c r="L54" s="30">
        <f>'เย็น '!K54+'เช้า '!K54+บ่าย!K54</f>
        <v>0</v>
      </c>
      <c r="M54" s="36">
        <f t="shared" si="1"/>
        <v>0</v>
      </c>
      <c r="N54" s="11"/>
      <c r="O54" s="11"/>
      <c r="P54" s="11"/>
      <c r="Q54" s="11"/>
      <c r="R54" s="44">
        <f t="shared" si="2"/>
        <v>0</v>
      </c>
    </row>
    <row r="55" spans="2:21" ht="22.2" hidden="1" customHeight="1" x14ac:dyDescent="0.25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 t="shared" si="0"/>
        <v>0</v>
      </c>
      <c r="K55" s="30">
        <f>'เย็น '!J55+'เช้า '!J55+บ่าย!J55</f>
        <v>0</v>
      </c>
      <c r="L55" s="30">
        <f>'เย็น '!K55+'เช้า '!K55+บ่าย!K55</f>
        <v>0</v>
      </c>
      <c r="M55" s="36">
        <f t="shared" si="1"/>
        <v>0</v>
      </c>
      <c r="N55" s="11"/>
      <c r="O55" s="11"/>
      <c r="P55" s="11"/>
      <c r="Q55" s="11"/>
      <c r="R55" s="44">
        <f t="shared" si="2"/>
        <v>0</v>
      </c>
    </row>
    <row r="56" spans="2:21" x14ac:dyDescent="0.25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 t="shared" si="0"/>
        <v>0</v>
      </c>
      <c r="K56" s="30">
        <f>'เย็น '!J56+'เช้า '!J56+บ่าย!J56</f>
        <v>0</v>
      </c>
      <c r="L56" s="30">
        <f>'เย็น '!K56+'เช้า '!K56+บ่าย!K56</f>
        <v>0</v>
      </c>
      <c r="M56" s="36">
        <f t="shared" si="1"/>
        <v>0</v>
      </c>
      <c r="N56" s="11"/>
      <c r="O56" s="11"/>
      <c r="P56" s="11"/>
      <c r="Q56" s="11"/>
      <c r="R56" s="44">
        <f t="shared" si="2"/>
        <v>0</v>
      </c>
    </row>
    <row r="57" spans="2:21" x14ac:dyDescent="0.25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 t="shared" si="0"/>
        <v>0</v>
      </c>
      <c r="K57" s="30">
        <f>'เย็น '!J57+'เช้า '!J57+บ่าย!J57</f>
        <v>0</v>
      </c>
      <c r="L57" s="30">
        <f>'เย็น '!K57+'เช้า '!K57+บ่าย!K57</f>
        <v>0</v>
      </c>
      <c r="M57" s="36">
        <f t="shared" si="1"/>
        <v>0</v>
      </c>
      <c r="N57" s="11"/>
      <c r="O57" s="11"/>
      <c r="P57" s="11"/>
      <c r="Q57" s="11"/>
      <c r="R57" s="44">
        <f t="shared" si="2"/>
        <v>0</v>
      </c>
    </row>
    <row r="58" spans="2:21" x14ac:dyDescent="0.25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 t="shared" si="0"/>
        <v>0</v>
      </c>
      <c r="K58" s="30">
        <f>'เย็น '!J58+'เช้า '!J58+บ่าย!J58</f>
        <v>0</v>
      </c>
      <c r="L58" s="30">
        <f>'เย็น '!K58+'เช้า '!K58+บ่าย!K58</f>
        <v>0</v>
      </c>
      <c r="M58" s="36">
        <f t="shared" si="1"/>
        <v>0</v>
      </c>
      <c r="N58" s="11"/>
      <c r="O58" s="11"/>
      <c r="P58" s="11"/>
      <c r="Q58" s="11"/>
      <c r="R58" s="44">
        <f t="shared" si="2"/>
        <v>0</v>
      </c>
    </row>
    <row r="59" spans="2:21" x14ac:dyDescent="0.25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 t="shared" si="0"/>
        <v>0</v>
      </c>
      <c r="K59" s="30">
        <f>'เย็น '!J59+'เช้า '!J59+บ่าย!J59</f>
        <v>0</v>
      </c>
      <c r="L59" s="30">
        <f>'เย็น '!K59+'เช้า '!K59+บ่าย!K59</f>
        <v>0</v>
      </c>
      <c r="M59" s="36">
        <f t="shared" si="1"/>
        <v>0</v>
      </c>
      <c r="N59" s="11"/>
      <c r="O59" s="11"/>
      <c r="P59" s="11"/>
      <c r="Q59" s="11"/>
      <c r="R59" s="44">
        <f t="shared" si="2"/>
        <v>0</v>
      </c>
    </row>
    <row r="60" spans="2:21" x14ac:dyDescent="0.25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 t="shared" si="0"/>
        <v>0</v>
      </c>
      <c r="K60" s="30">
        <f>'เย็น '!J60+'เช้า '!J60+บ่าย!J60</f>
        <v>0</v>
      </c>
      <c r="L60" s="30">
        <f>'เย็น '!K60+'เช้า '!K60+บ่าย!K60</f>
        <v>0</v>
      </c>
      <c r="M60" s="36">
        <f t="shared" si="1"/>
        <v>0</v>
      </c>
      <c r="N60" s="11"/>
      <c r="O60" s="11"/>
      <c r="P60" s="11"/>
      <c r="Q60" s="11"/>
      <c r="R60" s="44">
        <f t="shared" si="2"/>
        <v>0</v>
      </c>
    </row>
    <row r="61" spans="2:21" x14ac:dyDescent="0.25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 t="shared" si="0"/>
        <v>0</v>
      </c>
      <c r="K61" s="30">
        <f>'เย็น '!J61+'เช้า '!J61+บ่าย!J61</f>
        <v>0</v>
      </c>
      <c r="L61" s="30">
        <f>'เย็น '!K61+'เช้า '!K61+บ่าย!K61</f>
        <v>0</v>
      </c>
      <c r="M61" s="36">
        <f t="shared" si="1"/>
        <v>0</v>
      </c>
      <c r="N61" s="11"/>
      <c r="O61" s="11"/>
      <c r="P61" s="11"/>
      <c r="Q61" s="11"/>
      <c r="R61" s="44">
        <f t="shared" si="2"/>
        <v>0</v>
      </c>
    </row>
    <row r="62" spans="2:21" x14ac:dyDescent="0.25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 t="shared" si="0"/>
        <v>0</v>
      </c>
      <c r="K62" s="30">
        <f>'เย็น '!J62+'เช้า '!J62+บ่าย!J62</f>
        <v>0</v>
      </c>
      <c r="L62" s="30">
        <f>'เย็น '!K62+'เช้า '!K62+บ่าย!K62</f>
        <v>0</v>
      </c>
      <c r="M62" s="36">
        <f t="shared" si="1"/>
        <v>0</v>
      </c>
      <c r="N62" s="11"/>
      <c r="O62" s="11"/>
      <c r="P62" s="11"/>
      <c r="Q62" s="11"/>
      <c r="R62" s="44">
        <f t="shared" si="2"/>
        <v>0</v>
      </c>
    </row>
    <row r="63" spans="2:21" x14ac:dyDescent="0.25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 t="shared" si="0"/>
        <v>0</v>
      </c>
      <c r="K63" s="30">
        <f>'เย็น '!J63+'เช้า '!J63+บ่าย!J63</f>
        <v>0</v>
      </c>
      <c r="L63" s="30">
        <f>'เย็น '!K63+'เช้า '!K63+บ่าย!K63</f>
        <v>0</v>
      </c>
      <c r="M63" s="36">
        <f t="shared" si="1"/>
        <v>0</v>
      </c>
      <c r="N63" s="11"/>
      <c r="O63" s="11"/>
      <c r="P63" s="11"/>
      <c r="Q63" s="11"/>
      <c r="R63" s="44">
        <f t="shared" si="2"/>
        <v>0</v>
      </c>
    </row>
    <row r="64" spans="2:21" x14ac:dyDescent="0.25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 t="shared" si="0"/>
        <v>0</v>
      </c>
      <c r="K64" s="30">
        <f>'เย็น '!J64+'เช้า '!J64+บ่าย!J64</f>
        <v>0</v>
      </c>
      <c r="L64" s="30">
        <f>'เย็น '!K64+'เช้า '!K64+บ่าย!K64</f>
        <v>0</v>
      </c>
      <c r="M64" s="36">
        <f t="shared" si="1"/>
        <v>0</v>
      </c>
      <c r="N64" s="11"/>
      <c r="O64" s="11"/>
      <c r="P64" s="11"/>
      <c r="Q64" s="11"/>
      <c r="R64" s="44">
        <f t="shared" si="2"/>
        <v>0</v>
      </c>
    </row>
    <row r="65" spans="2:21" x14ac:dyDescent="0.35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 t="shared" si="0"/>
        <v>0</v>
      </c>
      <c r="K65" s="30">
        <f>'เย็น '!J65+'เช้า '!J65+บ่าย!J65</f>
        <v>0</v>
      </c>
      <c r="L65" s="30">
        <f>'เย็น '!K65+'เช้า '!K65+บ่าย!K65</f>
        <v>0</v>
      </c>
      <c r="M65" s="36">
        <f t="shared" si="1"/>
        <v>0</v>
      </c>
      <c r="N65" s="11"/>
      <c r="O65" s="11"/>
      <c r="P65" s="11"/>
      <c r="Q65" s="11"/>
      <c r="R65" s="44">
        <f t="shared" si="2"/>
        <v>0</v>
      </c>
      <c r="T65" s="47"/>
      <c r="U65" s="45"/>
    </row>
    <row r="66" spans="2:21" ht="22.2" hidden="1" customHeight="1" x14ac:dyDescent="0.25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 t="shared" si="0"/>
        <v>0</v>
      </c>
      <c r="K66" s="30">
        <f>บ่าย!J66+'เช้า '!J66+'เย็น '!J66</f>
        <v>0</v>
      </c>
      <c r="L66" s="43"/>
      <c r="M66" s="36">
        <f t="shared" si="1"/>
        <v>0</v>
      </c>
      <c r="N66" s="11"/>
      <c r="O66" s="11"/>
      <c r="P66" s="11"/>
      <c r="Q66" s="11"/>
      <c r="R66" s="44">
        <f t="shared" si="2"/>
        <v>0</v>
      </c>
    </row>
    <row r="67" spans="2:21" ht="22.2" hidden="1" customHeight="1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30">
        <f t="shared" si="0"/>
        <v>0</v>
      </c>
      <c r="K67" s="20"/>
      <c r="L67" s="20"/>
      <c r="M67" s="36">
        <f t="shared" si="1"/>
        <v>0</v>
      </c>
      <c r="N67" s="11"/>
      <c r="O67" s="11"/>
      <c r="P67" s="11"/>
      <c r="Q67" s="11"/>
      <c r="R67" s="44">
        <f t="shared" ref="R67" si="3">(N67+O67+P67+Q67)-M67</f>
        <v>0</v>
      </c>
    </row>
    <row r="68" spans="2:21" x14ac:dyDescent="0.25">
      <c r="B68" s="71" t="s">
        <v>55</v>
      </c>
      <c r="C68" s="72"/>
      <c r="D68" s="72"/>
      <c r="E68" s="72"/>
      <c r="F68" s="72"/>
      <c r="G68" s="72"/>
      <c r="H68" s="72"/>
      <c r="I68" s="72"/>
      <c r="J68" s="30">
        <f t="shared" si="0"/>
        <v>0</v>
      </c>
      <c r="K68" s="72"/>
      <c r="L68" s="72"/>
      <c r="M68" s="36">
        <f t="shared" si="1"/>
        <v>0</v>
      </c>
      <c r="N68" s="72"/>
      <c r="O68" s="72"/>
      <c r="P68" s="72"/>
      <c r="Q68" s="72"/>
      <c r="R68" s="73"/>
    </row>
    <row r="69" spans="2:21" x14ac:dyDescent="0.25">
      <c r="B69" s="11">
        <v>1111009</v>
      </c>
      <c r="C69" s="19" t="s">
        <v>56</v>
      </c>
      <c r="D69" s="30">
        <f>'เย็น '!D69+'เช้า '!D69+บ่าย!D69</f>
        <v>0</v>
      </c>
      <c r="E69" s="30">
        <f>'เย็น '!E69+'เช้า '!E69+บ่าย!E69</f>
        <v>6</v>
      </c>
      <c r="F69" s="30">
        <f>'เย็น '!F69+'เช้า '!F69+บ่าย!F69</f>
        <v>5</v>
      </c>
      <c r="G69" s="30">
        <f>'เย็น '!G69+'เช้า '!G69+บ่าย!G69</f>
        <v>0</v>
      </c>
      <c r="H69" s="30">
        <f>'เย็น '!H69+'เช้า '!H69+บ่าย!H69</f>
        <v>3</v>
      </c>
      <c r="I69" s="30">
        <f>'เย็น '!I69+'เช้า '!I69+บ่าย!I69</f>
        <v>0</v>
      </c>
      <c r="J69" s="30">
        <f t="shared" si="0"/>
        <v>3</v>
      </c>
      <c r="K69" s="30">
        <f>'เย็น '!J69+'เช้า '!J69+บ่าย!J69</f>
        <v>0</v>
      </c>
      <c r="L69" s="30">
        <f>'เย็น '!K69+'เช้า '!K69+บ่าย!K69</f>
        <v>0</v>
      </c>
      <c r="M69" s="36">
        <f t="shared" si="1"/>
        <v>14</v>
      </c>
      <c r="N69" s="11">
        <v>25</v>
      </c>
      <c r="O69" s="11">
        <v>28</v>
      </c>
      <c r="P69" s="11"/>
      <c r="Q69" s="11">
        <v>30</v>
      </c>
      <c r="R69" s="44">
        <f t="shared" ref="R69:R76" si="4">(N69+O69+P69+Q69)-M69</f>
        <v>69</v>
      </c>
    </row>
    <row r="70" spans="2:21" x14ac:dyDescent="0.25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 t="shared" si="0"/>
        <v>0</v>
      </c>
      <c r="K70" s="30">
        <f>'เย็น '!J70+'เช้า '!J70+บ่าย!J70</f>
        <v>0</v>
      </c>
      <c r="L70" s="30">
        <f>'เย็น '!K70+'เช้า '!K70+บ่าย!K70</f>
        <v>0</v>
      </c>
      <c r="M70" s="36">
        <f t="shared" si="1"/>
        <v>0</v>
      </c>
      <c r="N70" s="11"/>
      <c r="O70" s="11"/>
      <c r="P70" s="11"/>
      <c r="Q70" s="11"/>
      <c r="R70" s="44">
        <f t="shared" si="4"/>
        <v>0</v>
      </c>
    </row>
    <row r="71" spans="2:21" x14ac:dyDescent="0.25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 t="shared" si="0"/>
        <v>0</v>
      </c>
      <c r="K71" s="30">
        <f>'เย็น '!J71+'เช้า '!J71+บ่าย!J71</f>
        <v>0</v>
      </c>
      <c r="L71" s="30">
        <f>'เย็น '!K71+'เช้า '!K71+บ่าย!K71</f>
        <v>0</v>
      </c>
      <c r="M71" s="36">
        <f t="shared" si="1"/>
        <v>0</v>
      </c>
      <c r="N71" s="11"/>
      <c r="O71" s="11"/>
      <c r="P71" s="11"/>
      <c r="Q71" s="11"/>
      <c r="R71" s="44">
        <f t="shared" si="4"/>
        <v>0</v>
      </c>
    </row>
    <row r="72" spans="2:21" x14ac:dyDescent="0.25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 t="shared" ref="J72:J135" si="5">+G72+H72+I72</f>
        <v>0</v>
      </c>
      <c r="K72" s="30">
        <f>'เย็น '!J72+'เช้า '!J72+บ่าย!J72</f>
        <v>0</v>
      </c>
      <c r="L72" s="30">
        <f>'เย็น '!K72+'เช้า '!K72+บ่าย!K72</f>
        <v>0</v>
      </c>
      <c r="M72" s="36">
        <f t="shared" ref="M72:M135" si="6">+D72+E72+F72+J72+K72+L72</f>
        <v>0</v>
      </c>
      <c r="N72" s="11"/>
      <c r="O72" s="11"/>
      <c r="P72" s="11"/>
      <c r="Q72" s="11"/>
      <c r="R72" s="44">
        <f t="shared" si="4"/>
        <v>0</v>
      </c>
    </row>
    <row r="73" spans="2:21" x14ac:dyDescent="0.25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 t="shared" si="5"/>
        <v>0</v>
      </c>
      <c r="K73" s="30">
        <f>'เย็น '!J73+'เช้า '!J73+บ่าย!J73</f>
        <v>0</v>
      </c>
      <c r="L73" s="30">
        <f>'เย็น '!K73+'เช้า '!K73+บ่าย!K73</f>
        <v>0</v>
      </c>
      <c r="M73" s="36">
        <f t="shared" si="6"/>
        <v>0</v>
      </c>
      <c r="N73" s="11"/>
      <c r="O73" s="11"/>
      <c r="P73" s="11"/>
      <c r="Q73" s="11"/>
      <c r="R73" s="44">
        <f t="shared" si="4"/>
        <v>0</v>
      </c>
    </row>
    <row r="74" spans="2:21" x14ac:dyDescent="0.25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 t="shared" si="5"/>
        <v>0</v>
      </c>
      <c r="K74" s="30">
        <f>'เย็น '!J74+'เช้า '!J74+บ่าย!J74</f>
        <v>0</v>
      </c>
      <c r="L74" s="30">
        <f>'เย็น '!K74+'เช้า '!K74+บ่าย!K74</f>
        <v>0</v>
      </c>
      <c r="M74" s="36">
        <f t="shared" si="6"/>
        <v>0</v>
      </c>
      <c r="N74" s="11"/>
      <c r="O74" s="11"/>
      <c r="P74" s="11"/>
      <c r="Q74" s="11"/>
      <c r="R74" s="44">
        <f t="shared" si="4"/>
        <v>0</v>
      </c>
    </row>
    <row r="75" spans="2:21" x14ac:dyDescent="0.25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 t="shared" si="5"/>
        <v>0</v>
      </c>
      <c r="K75" s="30">
        <f>'เย็น '!J75+'เช้า '!J75+บ่าย!J75</f>
        <v>0</v>
      </c>
      <c r="L75" s="30">
        <f>'เย็น '!K75+'เช้า '!K75+บ่าย!K75</f>
        <v>0</v>
      </c>
      <c r="M75" s="36">
        <f t="shared" si="6"/>
        <v>0</v>
      </c>
      <c r="N75" s="11"/>
      <c r="O75" s="11"/>
      <c r="P75" s="11"/>
      <c r="Q75" s="11"/>
      <c r="R75" s="44">
        <f t="shared" si="4"/>
        <v>0</v>
      </c>
    </row>
    <row r="76" spans="2:21" x14ac:dyDescent="0.25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 t="shared" si="5"/>
        <v>0</v>
      </c>
      <c r="K76" s="30">
        <f>'เย็น '!J76+'เช้า '!J76+บ่าย!J76</f>
        <v>0</v>
      </c>
      <c r="L76" s="30">
        <f>'เย็น '!K76+'เช้า '!K76+บ่าย!K76</f>
        <v>0</v>
      </c>
      <c r="M76" s="36">
        <f t="shared" si="6"/>
        <v>0</v>
      </c>
      <c r="N76" s="11"/>
      <c r="O76" s="11"/>
      <c r="P76" s="11"/>
      <c r="Q76" s="11"/>
      <c r="R76" s="44">
        <f t="shared" si="4"/>
        <v>0</v>
      </c>
    </row>
    <row r="77" spans="2:21" ht="22.2" hidden="1" customHeight="1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30">
        <f t="shared" si="5"/>
        <v>0</v>
      </c>
      <c r="K77" s="20"/>
      <c r="L77" s="20"/>
      <c r="M77" s="36">
        <f t="shared" si="6"/>
        <v>0</v>
      </c>
      <c r="N77" s="11"/>
      <c r="O77" s="11"/>
      <c r="P77" s="11"/>
      <c r="Q77" s="11"/>
      <c r="R77" s="44">
        <f t="shared" ref="R77:R88" si="7">(N77+O77+P77+Q77)-M77</f>
        <v>0</v>
      </c>
    </row>
    <row r="78" spans="2:21" x14ac:dyDescent="0.25">
      <c r="B78" s="71" t="s">
        <v>64</v>
      </c>
      <c r="C78" s="72"/>
      <c r="D78" s="72"/>
      <c r="E78" s="72"/>
      <c r="F78" s="72"/>
      <c r="G78" s="72"/>
      <c r="H78" s="72"/>
      <c r="I78" s="72"/>
      <c r="J78" s="30">
        <f t="shared" si="5"/>
        <v>0</v>
      </c>
      <c r="K78" s="72"/>
      <c r="L78" s="72"/>
      <c r="M78" s="36">
        <f t="shared" si="6"/>
        <v>0</v>
      </c>
      <c r="N78" s="72"/>
      <c r="O78" s="72"/>
      <c r="P78" s="72"/>
      <c r="Q78" s="72"/>
      <c r="R78" s="73"/>
    </row>
    <row r="79" spans="2:21" x14ac:dyDescent="0.25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 t="shared" si="5"/>
        <v>0</v>
      </c>
      <c r="K79" s="30">
        <f>'เย็น '!J79+'เช้า '!J79+บ่าย!J79</f>
        <v>0</v>
      </c>
      <c r="L79" s="30">
        <f>'เย็น '!K79+'เช้า '!K79+บ่าย!K79</f>
        <v>0</v>
      </c>
      <c r="M79" s="36">
        <f t="shared" si="6"/>
        <v>0</v>
      </c>
      <c r="N79" s="11"/>
      <c r="O79" s="11"/>
      <c r="P79" s="11"/>
      <c r="Q79" s="11"/>
      <c r="R79" s="44">
        <f t="shared" ref="R79:R87" si="8">(N79+O79+P79+Q79)-M79</f>
        <v>0</v>
      </c>
    </row>
    <row r="80" spans="2:21" x14ac:dyDescent="0.25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 t="shared" si="5"/>
        <v>0</v>
      </c>
      <c r="K80" s="30">
        <f>'เย็น '!J80+'เช้า '!J80+บ่าย!J80</f>
        <v>0</v>
      </c>
      <c r="L80" s="30">
        <f>'เย็น '!K80+'เช้า '!K80+บ่าย!K80</f>
        <v>0</v>
      </c>
      <c r="M80" s="36">
        <f t="shared" si="6"/>
        <v>0</v>
      </c>
      <c r="N80" s="11"/>
      <c r="O80" s="11"/>
      <c r="P80" s="11"/>
      <c r="Q80" s="11"/>
      <c r="R80" s="44">
        <f t="shared" si="8"/>
        <v>0</v>
      </c>
    </row>
    <row r="81" spans="2:18" x14ac:dyDescent="0.25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 t="shared" si="5"/>
        <v>0</v>
      </c>
      <c r="K81" s="30">
        <f>'เย็น '!J81+'เช้า '!J81+บ่าย!J81</f>
        <v>0</v>
      </c>
      <c r="L81" s="30">
        <f>'เย็น '!K81+'เช้า '!K81+บ่าย!K81</f>
        <v>0</v>
      </c>
      <c r="M81" s="36">
        <f t="shared" si="6"/>
        <v>0</v>
      </c>
      <c r="N81" s="11"/>
      <c r="O81" s="11"/>
      <c r="P81" s="11"/>
      <c r="Q81" s="11"/>
      <c r="R81" s="44">
        <f t="shared" si="8"/>
        <v>0</v>
      </c>
    </row>
    <row r="82" spans="2:18" x14ac:dyDescent="0.25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 t="shared" si="5"/>
        <v>0</v>
      </c>
      <c r="K82" s="30">
        <f>'เย็น '!J82+'เช้า '!J82+บ่าย!J82</f>
        <v>0</v>
      </c>
      <c r="L82" s="30">
        <f>'เย็น '!K82+'เช้า '!K82+บ่าย!K82</f>
        <v>0</v>
      </c>
      <c r="M82" s="36">
        <f t="shared" si="6"/>
        <v>0</v>
      </c>
      <c r="N82" s="11"/>
      <c r="O82" s="11"/>
      <c r="P82" s="11"/>
      <c r="Q82" s="11"/>
      <c r="R82" s="44">
        <f t="shared" si="8"/>
        <v>0</v>
      </c>
    </row>
    <row r="83" spans="2:18" x14ac:dyDescent="0.25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 t="shared" si="5"/>
        <v>0</v>
      </c>
      <c r="K83" s="30">
        <f>'เย็น '!J83+'เช้า '!J83+บ่าย!J83</f>
        <v>0</v>
      </c>
      <c r="L83" s="30">
        <f>'เย็น '!K83+'เช้า '!K83+บ่าย!K83</f>
        <v>0</v>
      </c>
      <c r="M83" s="36">
        <f t="shared" si="6"/>
        <v>0</v>
      </c>
      <c r="N83" s="11"/>
      <c r="O83" s="11"/>
      <c r="P83" s="11"/>
      <c r="Q83" s="11"/>
      <c r="R83" s="44">
        <f t="shared" si="8"/>
        <v>0</v>
      </c>
    </row>
    <row r="84" spans="2:18" x14ac:dyDescent="0.25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 t="shared" si="5"/>
        <v>0</v>
      </c>
      <c r="K84" s="30">
        <f>'เย็น '!J84+'เช้า '!J84+บ่าย!J84</f>
        <v>0</v>
      </c>
      <c r="L84" s="30">
        <f>'เย็น '!K84+'เช้า '!K84+บ่าย!K84</f>
        <v>0</v>
      </c>
      <c r="M84" s="36">
        <f t="shared" si="6"/>
        <v>0</v>
      </c>
      <c r="N84" s="11"/>
      <c r="O84" s="11"/>
      <c r="P84" s="11"/>
      <c r="Q84" s="11"/>
      <c r="R84" s="44">
        <f t="shared" si="8"/>
        <v>0</v>
      </c>
    </row>
    <row r="85" spans="2:18" x14ac:dyDescent="0.25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 t="shared" si="5"/>
        <v>0</v>
      </c>
      <c r="K85" s="30">
        <f>'เย็น '!J85+'เช้า '!J85+บ่าย!J85</f>
        <v>0</v>
      </c>
      <c r="L85" s="30">
        <f>'เย็น '!K85+'เช้า '!K85+บ่าย!K85</f>
        <v>0</v>
      </c>
      <c r="M85" s="36">
        <f t="shared" si="6"/>
        <v>0</v>
      </c>
      <c r="N85" s="11"/>
      <c r="O85" s="11"/>
      <c r="P85" s="11"/>
      <c r="Q85" s="11"/>
      <c r="R85" s="44">
        <f t="shared" si="8"/>
        <v>0</v>
      </c>
    </row>
    <row r="86" spans="2:18" x14ac:dyDescent="0.25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 t="shared" si="5"/>
        <v>0</v>
      </c>
      <c r="K86" s="30">
        <f>'เย็น '!J86+'เช้า '!J86+บ่าย!J86</f>
        <v>0</v>
      </c>
      <c r="L86" s="30">
        <f>'เย็น '!K86+'เช้า '!K86+บ่าย!K86</f>
        <v>0</v>
      </c>
      <c r="M86" s="36">
        <f t="shared" si="6"/>
        <v>0</v>
      </c>
      <c r="N86" s="11"/>
      <c r="O86" s="11"/>
      <c r="P86" s="11"/>
      <c r="Q86" s="11"/>
      <c r="R86" s="44">
        <f t="shared" si="8"/>
        <v>0</v>
      </c>
    </row>
    <row r="87" spans="2:18" x14ac:dyDescent="0.25">
      <c r="B87" s="11">
        <v>1111008</v>
      </c>
      <c r="C87" s="19" t="s">
        <v>73</v>
      </c>
      <c r="D87" s="30">
        <f>'เย็น '!D87+'เช้า '!D87+บ่าย!D87</f>
        <v>0</v>
      </c>
      <c r="E87" s="30">
        <f>'เย็น '!E87+'เช้า '!E87+บ่าย!E87</f>
        <v>24</v>
      </c>
      <c r="F87" s="30">
        <f>'เย็น '!F87+'เช้า '!F87+บ่าย!F87</f>
        <v>0</v>
      </c>
      <c r="G87" s="30">
        <f>'เย็น '!G87+'เช้า '!G87+บ่าย!G87</f>
        <v>48</v>
      </c>
      <c r="H87" s="30">
        <f>'เย็น '!H87+'เช้า '!H87+บ่าย!H87</f>
        <v>18</v>
      </c>
      <c r="I87" s="30">
        <f>'เย็น '!I87+'เช้า '!I87+บ่าย!I87</f>
        <v>0</v>
      </c>
      <c r="J87" s="30">
        <f t="shared" si="5"/>
        <v>66</v>
      </c>
      <c r="K87" s="30">
        <f>'เย็น '!J87+'เช้า '!J87+บ่าย!J87</f>
        <v>0</v>
      </c>
      <c r="L87" s="30">
        <f>'เย็น '!K87+'เช้า '!K87+บ่าย!K87</f>
        <v>0</v>
      </c>
      <c r="M87" s="36">
        <f t="shared" si="6"/>
        <v>90</v>
      </c>
      <c r="N87" s="11">
        <v>100</v>
      </c>
      <c r="O87" s="11">
        <v>97</v>
      </c>
      <c r="P87" s="11"/>
      <c r="Q87" s="11">
        <v>120</v>
      </c>
      <c r="R87" s="44">
        <f t="shared" si="8"/>
        <v>227</v>
      </c>
    </row>
    <row r="88" spans="2:18" ht="22.2" hidden="1" customHeight="1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30">
        <f t="shared" si="5"/>
        <v>0</v>
      </c>
      <c r="K88" s="20"/>
      <c r="L88" s="20"/>
      <c r="M88" s="36">
        <f t="shared" si="6"/>
        <v>0</v>
      </c>
      <c r="N88" s="11"/>
      <c r="O88" s="11"/>
      <c r="P88" s="11"/>
      <c r="Q88" s="11"/>
      <c r="R88" s="44">
        <f t="shared" si="7"/>
        <v>0</v>
      </c>
    </row>
    <row r="89" spans="2:18" x14ac:dyDescent="0.25">
      <c r="B89" s="71" t="s">
        <v>74</v>
      </c>
      <c r="C89" s="72"/>
      <c r="D89" s="72"/>
      <c r="E89" s="72"/>
      <c r="F89" s="72"/>
      <c r="G89" s="72"/>
      <c r="H89" s="72"/>
      <c r="I89" s="72"/>
      <c r="J89" s="30">
        <f t="shared" si="5"/>
        <v>0</v>
      </c>
      <c r="K89" s="72"/>
      <c r="L89" s="72"/>
      <c r="M89" s="36">
        <f t="shared" si="6"/>
        <v>0</v>
      </c>
      <c r="N89" s="72"/>
      <c r="O89" s="72"/>
      <c r="P89" s="72"/>
      <c r="Q89" s="72"/>
      <c r="R89" s="73"/>
    </row>
    <row r="90" spans="2:18" x14ac:dyDescent="0.25">
      <c r="B90" s="11">
        <v>1112009</v>
      </c>
      <c r="C90" s="19" t="s">
        <v>75</v>
      </c>
      <c r="D90" s="30">
        <f>'เย็น '!D90+'เช้า '!D90+บ่าย!D90</f>
        <v>4</v>
      </c>
      <c r="E90" s="30">
        <f>'เย็น '!E90+'เช้า '!E90+บ่าย!E90</f>
        <v>2</v>
      </c>
      <c r="F90" s="30">
        <f>'เย็น '!F90+'เช้า '!F90+บ่าย!F90</f>
        <v>5</v>
      </c>
      <c r="G90" s="30">
        <f>'เย็น '!G90+'เช้า '!G90+บ่าย!G90</f>
        <v>21</v>
      </c>
      <c r="H90" s="30">
        <f>'เย็น '!H90+'เช้า '!H90+บ่าย!H90</f>
        <v>7</v>
      </c>
      <c r="I90" s="30">
        <f>'เย็น '!I90+'เช้า '!I90+บ่าย!I90</f>
        <v>0</v>
      </c>
      <c r="J90" s="30">
        <f t="shared" si="5"/>
        <v>28</v>
      </c>
      <c r="K90" s="30">
        <f>'เย็น '!J90+'เช้า '!J90+บ่าย!J90</f>
        <v>0</v>
      </c>
      <c r="L90" s="30">
        <f>'เย็น '!K90+'เช้า '!K90+บ่าย!K90</f>
        <v>0</v>
      </c>
      <c r="M90" s="36">
        <f t="shared" si="6"/>
        <v>39</v>
      </c>
      <c r="N90" s="11">
        <v>52</v>
      </c>
      <c r="O90" s="11">
        <v>97</v>
      </c>
      <c r="P90" s="11"/>
      <c r="Q90" s="11">
        <v>70</v>
      </c>
      <c r="R90" s="44">
        <f t="shared" ref="R90:R100" si="9">(N90+O90+P90+Q90)-M90</f>
        <v>180</v>
      </c>
    </row>
    <row r="91" spans="2:18" x14ac:dyDescent="0.25">
      <c r="B91" s="11">
        <v>1112011</v>
      </c>
      <c r="C91" s="19" t="s">
        <v>76</v>
      </c>
      <c r="D91" s="30">
        <f>'เย็น '!D91+'เช้า '!D91+บ่าย!D91</f>
        <v>3</v>
      </c>
      <c r="E91" s="30">
        <f>'เย็น '!E91+'เช้า '!E91+บ่าย!E91</f>
        <v>2</v>
      </c>
      <c r="F91" s="30">
        <f>'เย็น '!F91+'เช้า '!F91+บ่าย!F91</f>
        <v>7</v>
      </c>
      <c r="G91" s="30">
        <f>'เย็น '!G91+'เช้า '!G91+บ่าย!G91</f>
        <v>21</v>
      </c>
      <c r="H91" s="30">
        <f>'เย็น '!H91+'เช้า '!H91+บ่าย!H91</f>
        <v>7</v>
      </c>
      <c r="I91" s="30">
        <f>'เย็น '!I91+'เช้า '!I91+บ่าย!I91</f>
        <v>0</v>
      </c>
      <c r="J91" s="30">
        <f t="shared" si="5"/>
        <v>28</v>
      </c>
      <c r="K91" s="30">
        <f>'เย็น '!J91+'เช้า '!J91+บ่าย!J91</f>
        <v>0</v>
      </c>
      <c r="L91" s="30">
        <f>'เย็น '!K91+'เช้า '!K91+บ่าย!K91</f>
        <v>0</v>
      </c>
      <c r="M91" s="36">
        <f t="shared" si="6"/>
        <v>40</v>
      </c>
      <c r="N91" s="11">
        <v>52</v>
      </c>
      <c r="O91" s="11">
        <v>95</v>
      </c>
      <c r="P91" s="11"/>
      <c r="Q91" s="11">
        <v>70</v>
      </c>
      <c r="R91" s="44">
        <f t="shared" si="9"/>
        <v>177</v>
      </c>
    </row>
    <row r="92" spans="2:18" x14ac:dyDescent="0.25">
      <c r="B92" s="11">
        <v>1112003</v>
      </c>
      <c r="C92" s="19" t="s">
        <v>77</v>
      </c>
      <c r="D92" s="30">
        <f>'เย็น '!D92+'เช้า '!D92+บ่าย!D92</f>
        <v>7</v>
      </c>
      <c r="E92" s="30">
        <f>'เย็น '!E92+'เช้า '!E92+บ่าย!E92</f>
        <v>2</v>
      </c>
      <c r="F92" s="30">
        <f>'เย็น '!F92+'เช้า '!F92+บ่าย!F92</f>
        <v>1</v>
      </c>
      <c r="G92" s="30">
        <f>'เย็น '!G92+'เช้า '!G92+บ่าย!G92</f>
        <v>21</v>
      </c>
      <c r="H92" s="30">
        <f>'เย็น '!H92+'เช้า '!H92+บ่าย!H92</f>
        <v>7</v>
      </c>
      <c r="I92" s="30">
        <f>'เย็น '!I92+'เช้า '!I92+บ่าย!I92</f>
        <v>0</v>
      </c>
      <c r="J92" s="30">
        <f t="shared" si="5"/>
        <v>28</v>
      </c>
      <c r="K92" s="30">
        <f>'เย็น '!J92+'เช้า '!J92+บ่าย!J92</f>
        <v>0</v>
      </c>
      <c r="L92" s="30">
        <f>'เย็น '!K92+'เช้า '!K92+บ่าย!K92</f>
        <v>0</v>
      </c>
      <c r="M92" s="36">
        <f t="shared" si="6"/>
        <v>38</v>
      </c>
      <c r="N92" s="11">
        <v>52</v>
      </c>
      <c r="O92" s="11">
        <v>97</v>
      </c>
      <c r="P92" s="11"/>
      <c r="Q92" s="11">
        <v>70</v>
      </c>
      <c r="R92" s="44">
        <f t="shared" si="9"/>
        <v>181</v>
      </c>
    </row>
    <row r="93" spans="2:18" x14ac:dyDescent="0.25">
      <c r="B93" s="11">
        <v>1112005</v>
      </c>
      <c r="C93" s="19" t="s">
        <v>78</v>
      </c>
      <c r="D93" s="30">
        <f>'เย็น '!D93+'เช้า '!D93+บ่าย!D93</f>
        <v>4</v>
      </c>
      <c r="E93" s="30">
        <f>'เย็น '!E93+'เช้า '!E93+บ่าย!E93</f>
        <v>2</v>
      </c>
      <c r="F93" s="30">
        <f>'เย็น '!F93+'เช้า '!F93+บ่าย!F93</f>
        <v>1</v>
      </c>
      <c r="G93" s="30">
        <f>'เย็น '!G93+'เช้า '!G93+บ่าย!G93</f>
        <v>21</v>
      </c>
      <c r="H93" s="30">
        <f>'เย็น '!H93+'เช้า '!H93+บ่าย!H93</f>
        <v>7</v>
      </c>
      <c r="I93" s="30">
        <f>'เย็น '!I93+'เช้า '!I93+บ่าย!I93</f>
        <v>0</v>
      </c>
      <c r="J93" s="30">
        <f t="shared" si="5"/>
        <v>28</v>
      </c>
      <c r="K93" s="30">
        <f>'เย็น '!J93+'เช้า '!J93+บ่าย!J93</f>
        <v>0</v>
      </c>
      <c r="L93" s="30">
        <f>'เย็น '!K93+'เช้า '!K93+บ่าย!K93</f>
        <v>0</v>
      </c>
      <c r="M93" s="36">
        <f t="shared" si="6"/>
        <v>35</v>
      </c>
      <c r="N93" s="11">
        <v>52</v>
      </c>
      <c r="O93" s="11">
        <v>101</v>
      </c>
      <c r="P93" s="11"/>
      <c r="Q93" s="11">
        <v>70</v>
      </c>
      <c r="R93" s="44">
        <f t="shared" si="9"/>
        <v>188</v>
      </c>
    </row>
    <row r="94" spans="2:18" x14ac:dyDescent="0.25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 t="shared" si="5"/>
        <v>0</v>
      </c>
      <c r="K94" s="30">
        <f>'เย็น '!J94+'เช้า '!J94+บ่าย!J94</f>
        <v>0</v>
      </c>
      <c r="L94" s="30">
        <f>'เย็น '!K94+'เช้า '!K94+บ่าย!K94</f>
        <v>0</v>
      </c>
      <c r="M94" s="36">
        <f t="shared" si="6"/>
        <v>0</v>
      </c>
      <c r="N94" s="11"/>
      <c r="O94" s="11"/>
      <c r="P94" s="11"/>
      <c r="Q94" s="11"/>
      <c r="R94" s="44">
        <f t="shared" si="9"/>
        <v>0</v>
      </c>
    </row>
    <row r="95" spans="2:18" x14ac:dyDescent="0.25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 t="shared" si="5"/>
        <v>0</v>
      </c>
      <c r="K95" s="30">
        <f>'เย็น '!J95+'เช้า '!J95+บ่าย!J95</f>
        <v>0</v>
      </c>
      <c r="L95" s="30">
        <f>'เย็น '!K95+'เช้า '!K95+บ่าย!K95</f>
        <v>0</v>
      </c>
      <c r="M95" s="36">
        <f t="shared" si="6"/>
        <v>0</v>
      </c>
      <c r="N95" s="11"/>
      <c r="O95" s="11"/>
      <c r="P95" s="11"/>
      <c r="Q95" s="11"/>
      <c r="R95" s="44">
        <f t="shared" si="9"/>
        <v>0</v>
      </c>
    </row>
    <row r="96" spans="2:18" x14ac:dyDescent="0.25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 t="shared" si="5"/>
        <v>0</v>
      </c>
      <c r="K96" s="30">
        <f>'เย็น '!J96+'เช้า '!J96+บ่าย!J96</f>
        <v>0</v>
      </c>
      <c r="L96" s="30">
        <f>'เย็น '!K96+'เช้า '!K96+บ่าย!K96</f>
        <v>0</v>
      </c>
      <c r="M96" s="36">
        <f t="shared" si="6"/>
        <v>0</v>
      </c>
      <c r="N96" s="11"/>
      <c r="O96" s="11"/>
      <c r="P96" s="11"/>
      <c r="Q96" s="11"/>
      <c r="R96" s="44">
        <f t="shared" si="9"/>
        <v>0</v>
      </c>
    </row>
    <row r="97" spans="2:18" x14ac:dyDescent="0.25">
      <c r="B97" s="11">
        <v>1112015</v>
      </c>
      <c r="C97" s="19" t="s">
        <v>82</v>
      </c>
      <c r="D97" s="30">
        <f>'เย็น '!D97+'เช้า '!D97+บ่าย!D97</f>
        <v>3</v>
      </c>
      <c r="E97" s="30">
        <f>'เย็น '!E97+'เช้า '!E97+บ่าย!E97</f>
        <v>2</v>
      </c>
      <c r="F97" s="30">
        <f>'เย็น '!F97+'เช้า '!F97+บ่าย!F97</f>
        <v>1</v>
      </c>
      <c r="G97" s="30">
        <f>'เย็น '!G97+'เช้า '!G97+บ่าย!G97</f>
        <v>23</v>
      </c>
      <c r="H97" s="30">
        <f>'เย็น '!H97+'เช้า '!H97+บ่าย!H97</f>
        <v>9</v>
      </c>
      <c r="I97" s="30">
        <f>'เย็น '!I97+'เช้า '!I97+บ่าย!I97</f>
        <v>0</v>
      </c>
      <c r="J97" s="30">
        <f t="shared" si="5"/>
        <v>32</v>
      </c>
      <c r="K97" s="30">
        <f>'เย็น '!J97+'เช้า '!J97+บ่าย!J97</f>
        <v>0</v>
      </c>
      <c r="L97" s="30">
        <f>'เย็น '!K97+'เช้า '!K97+บ่าย!K97</f>
        <v>0</v>
      </c>
      <c r="M97" s="36">
        <f t="shared" si="6"/>
        <v>38</v>
      </c>
      <c r="N97" s="11">
        <v>52</v>
      </c>
      <c r="O97" s="11">
        <v>95</v>
      </c>
      <c r="P97" s="11"/>
      <c r="Q97" s="11">
        <v>70</v>
      </c>
      <c r="R97" s="44">
        <f t="shared" si="9"/>
        <v>179</v>
      </c>
    </row>
    <row r="98" spans="2:18" x14ac:dyDescent="0.25">
      <c r="B98" s="11">
        <v>1112013</v>
      </c>
      <c r="C98" s="19" t="s">
        <v>83</v>
      </c>
      <c r="D98" s="30">
        <f>'เย็น '!D98+'เช้า '!D98+บ่าย!D98</f>
        <v>3</v>
      </c>
      <c r="E98" s="30">
        <f>'เย็น '!E98+'เช้า '!E98+บ่าย!E98</f>
        <v>2</v>
      </c>
      <c r="F98" s="30">
        <f>'เย็น '!F98+'เช้า '!F98+บ่าย!F98</f>
        <v>1</v>
      </c>
      <c r="G98" s="30">
        <f>'เย็น '!G98+'เช้า '!G98+บ่าย!G98</f>
        <v>22</v>
      </c>
      <c r="H98" s="30">
        <f>'เย็น '!H98+'เช้า '!H98+บ่าย!H98</f>
        <v>9</v>
      </c>
      <c r="I98" s="30">
        <f>'เย็น '!I98+'เช้า '!I98+บ่าย!I98</f>
        <v>0</v>
      </c>
      <c r="J98" s="30">
        <f t="shared" si="5"/>
        <v>31</v>
      </c>
      <c r="K98" s="30">
        <f>'เย็น '!J98+'เช้า '!J98+บ่าย!J98</f>
        <v>0</v>
      </c>
      <c r="L98" s="30">
        <f>'เย็น '!K98+'เช้า '!K98+บ่าย!K98</f>
        <v>0</v>
      </c>
      <c r="M98" s="36">
        <f t="shared" si="6"/>
        <v>37</v>
      </c>
      <c r="N98" s="11">
        <v>50</v>
      </c>
      <c r="O98" s="11">
        <v>99</v>
      </c>
      <c r="P98" s="11"/>
      <c r="Q98" s="11">
        <v>70</v>
      </c>
      <c r="R98" s="44">
        <f t="shared" si="9"/>
        <v>182</v>
      </c>
    </row>
    <row r="99" spans="2:18" x14ac:dyDescent="0.25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 t="shared" si="5"/>
        <v>0</v>
      </c>
      <c r="K99" s="30">
        <f>บ่าย!J99+'เช้า '!J99+'เย็น '!J99</f>
        <v>0</v>
      </c>
      <c r="L99" s="43"/>
      <c r="M99" s="36">
        <f t="shared" si="6"/>
        <v>0</v>
      </c>
      <c r="N99" s="11"/>
      <c r="O99" s="11"/>
      <c r="P99" s="11"/>
      <c r="Q99" s="11"/>
      <c r="R99" s="44">
        <f t="shared" si="9"/>
        <v>0</v>
      </c>
    </row>
    <row r="100" spans="2:18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30">
        <f t="shared" si="5"/>
        <v>0</v>
      </c>
      <c r="K100" s="20"/>
      <c r="L100" s="20"/>
      <c r="M100" s="36">
        <f t="shared" si="6"/>
        <v>0</v>
      </c>
      <c r="N100" s="11">
        <f>SUM(N90:N99)</f>
        <v>310</v>
      </c>
      <c r="O100" s="11">
        <f>SUM(O90:O99)</f>
        <v>584</v>
      </c>
      <c r="P100" s="11">
        <f>SUM(P90:P99)</f>
        <v>0</v>
      </c>
      <c r="Q100" s="11">
        <f>SUM(Q90:Q99)</f>
        <v>420</v>
      </c>
      <c r="R100" s="44">
        <f t="shared" si="9"/>
        <v>1314</v>
      </c>
    </row>
    <row r="101" spans="2:18" x14ac:dyDescent="0.25">
      <c r="B101" s="71" t="s">
        <v>85</v>
      </c>
      <c r="C101" s="72"/>
      <c r="D101" s="72"/>
      <c r="E101" s="72"/>
      <c r="F101" s="72"/>
      <c r="G101" s="72"/>
      <c r="H101" s="72"/>
      <c r="I101" s="72"/>
      <c r="J101" s="30">
        <f t="shared" si="5"/>
        <v>0</v>
      </c>
      <c r="K101" s="72"/>
      <c r="L101" s="72"/>
      <c r="M101" s="36">
        <f t="shared" si="6"/>
        <v>0</v>
      </c>
      <c r="N101" s="72"/>
      <c r="O101" s="72"/>
      <c r="P101" s="72"/>
      <c r="Q101" s="72"/>
      <c r="R101" s="73"/>
    </row>
    <row r="102" spans="2:18" x14ac:dyDescent="0.25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 t="shared" si="5"/>
        <v>0</v>
      </c>
      <c r="K102" s="30">
        <f>บ่าย!J102+'เช้า '!J102+'เย็น '!J102</f>
        <v>0</v>
      </c>
      <c r="L102" s="30">
        <f>บ่าย!K102+'เช้า '!K102+'เย็น '!K102</f>
        <v>0</v>
      </c>
      <c r="M102" s="36">
        <f t="shared" si="6"/>
        <v>0</v>
      </c>
      <c r="N102" s="11"/>
      <c r="O102" s="11"/>
      <c r="P102" s="11"/>
      <c r="Q102" s="11"/>
      <c r="R102" s="44">
        <f t="shared" ref="R102:R112" si="10">(N102+O102+P102+Q102)-M102</f>
        <v>0</v>
      </c>
    </row>
    <row r="103" spans="2:18" x14ac:dyDescent="0.25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 t="shared" si="5"/>
        <v>0</v>
      </c>
      <c r="K103" s="30">
        <f>บ่าย!J103+'เช้า '!J103+'เย็น '!J103</f>
        <v>0</v>
      </c>
      <c r="L103" s="30">
        <f>บ่าย!K103+'เช้า '!K103+'เย็น '!K103</f>
        <v>0</v>
      </c>
      <c r="M103" s="36">
        <f t="shared" si="6"/>
        <v>0</v>
      </c>
      <c r="N103" s="11"/>
      <c r="O103" s="11"/>
      <c r="P103" s="11"/>
      <c r="Q103" s="11"/>
      <c r="R103" s="44">
        <f t="shared" si="10"/>
        <v>0</v>
      </c>
    </row>
    <row r="104" spans="2:18" x14ac:dyDescent="0.25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 t="shared" si="5"/>
        <v>0</v>
      </c>
      <c r="K104" s="30">
        <f>บ่าย!J104+'เช้า '!J104+'เย็น '!J104</f>
        <v>0</v>
      </c>
      <c r="L104" s="30">
        <f>บ่าย!K104+'เช้า '!K104+'เย็น '!K104</f>
        <v>0</v>
      </c>
      <c r="M104" s="36">
        <f t="shared" si="6"/>
        <v>0</v>
      </c>
      <c r="N104" s="11"/>
      <c r="O104" s="11"/>
      <c r="P104" s="11"/>
      <c r="Q104" s="11"/>
      <c r="R104" s="44">
        <f t="shared" si="10"/>
        <v>0</v>
      </c>
    </row>
    <row r="105" spans="2:18" x14ac:dyDescent="0.25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 t="shared" si="5"/>
        <v>0</v>
      </c>
      <c r="K105" s="30">
        <f>บ่าย!J105+'เช้า '!J105+'เย็น '!J105</f>
        <v>0</v>
      </c>
      <c r="L105" s="30">
        <f>บ่าย!K105+'เช้า '!K105+'เย็น '!K105</f>
        <v>0</v>
      </c>
      <c r="M105" s="36">
        <f t="shared" si="6"/>
        <v>0</v>
      </c>
      <c r="N105" s="11"/>
      <c r="O105" s="11"/>
      <c r="P105" s="11"/>
      <c r="Q105" s="11"/>
      <c r="R105" s="44">
        <f t="shared" si="10"/>
        <v>0</v>
      </c>
    </row>
    <row r="106" spans="2:18" x14ac:dyDescent="0.25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 t="shared" si="5"/>
        <v>0</v>
      </c>
      <c r="K106" s="30">
        <f>บ่าย!J106+'เช้า '!J106+'เย็น '!J106</f>
        <v>0</v>
      </c>
      <c r="L106" s="30">
        <f>บ่าย!K106+'เช้า '!K106+'เย็น '!K106</f>
        <v>0</v>
      </c>
      <c r="M106" s="36">
        <f t="shared" si="6"/>
        <v>0</v>
      </c>
      <c r="N106" s="11"/>
      <c r="O106" s="11"/>
      <c r="P106" s="11"/>
      <c r="Q106" s="11"/>
      <c r="R106" s="44">
        <f t="shared" si="10"/>
        <v>0</v>
      </c>
    </row>
    <row r="107" spans="2:18" x14ac:dyDescent="0.25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 t="shared" si="5"/>
        <v>0</v>
      </c>
      <c r="K107" s="30">
        <f>บ่าย!J107+'เช้า '!J107+'เย็น '!J107</f>
        <v>0</v>
      </c>
      <c r="L107" s="30">
        <f>บ่าย!K107+'เช้า '!K107+'เย็น '!K107</f>
        <v>0</v>
      </c>
      <c r="M107" s="36">
        <f t="shared" si="6"/>
        <v>0</v>
      </c>
      <c r="N107" s="11"/>
      <c r="O107" s="11"/>
      <c r="P107" s="11"/>
      <c r="Q107" s="11"/>
      <c r="R107" s="44">
        <f t="shared" si="10"/>
        <v>0</v>
      </c>
    </row>
    <row r="108" spans="2:18" x14ac:dyDescent="0.25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 t="shared" si="5"/>
        <v>0</v>
      </c>
      <c r="K108" s="30">
        <f>บ่าย!J108+'เช้า '!J108+'เย็น '!J108</f>
        <v>0</v>
      </c>
      <c r="L108" s="30">
        <f>บ่าย!K108+'เช้า '!K108+'เย็น '!K108</f>
        <v>0</v>
      </c>
      <c r="M108" s="36">
        <f t="shared" si="6"/>
        <v>0</v>
      </c>
      <c r="N108" s="11"/>
      <c r="O108" s="11"/>
      <c r="P108" s="11"/>
      <c r="Q108" s="11"/>
      <c r="R108" s="44">
        <f t="shared" si="10"/>
        <v>0</v>
      </c>
    </row>
    <row r="109" spans="2:18" x14ac:dyDescent="0.25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 t="shared" si="5"/>
        <v>0</v>
      </c>
      <c r="K109" s="30">
        <f>บ่าย!J109+'เช้า '!J109+'เย็น '!J109</f>
        <v>0</v>
      </c>
      <c r="L109" s="30">
        <f>บ่าย!K109+'เช้า '!K109+'เย็น '!K109</f>
        <v>0</v>
      </c>
      <c r="M109" s="36">
        <f t="shared" si="6"/>
        <v>0</v>
      </c>
      <c r="N109" s="11"/>
      <c r="O109" s="11"/>
      <c r="P109" s="11"/>
      <c r="Q109" s="11"/>
      <c r="R109" s="44">
        <f t="shared" si="10"/>
        <v>0</v>
      </c>
    </row>
    <row r="110" spans="2:18" x14ac:dyDescent="0.25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 t="shared" si="5"/>
        <v>0</v>
      </c>
      <c r="K110" s="30">
        <f>บ่าย!J110+'เช้า '!J110+'เย็น '!J110</f>
        <v>0</v>
      </c>
      <c r="L110" s="30">
        <f>บ่าย!K110+'เช้า '!K110+'เย็น '!K110</f>
        <v>0</v>
      </c>
      <c r="M110" s="36">
        <f t="shared" si="6"/>
        <v>0</v>
      </c>
      <c r="N110" s="11"/>
      <c r="O110" s="11"/>
      <c r="P110" s="11"/>
      <c r="Q110" s="11"/>
      <c r="R110" s="44">
        <f t="shared" si="10"/>
        <v>0</v>
      </c>
    </row>
    <row r="111" spans="2:18" x14ac:dyDescent="0.25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 t="shared" si="5"/>
        <v>0</v>
      </c>
      <c r="K111" s="30">
        <f>บ่าย!J111+'เช้า '!J111+'เย็น '!J111</f>
        <v>0</v>
      </c>
      <c r="L111" s="30">
        <f>บ่าย!K111+'เช้า '!K111+'เย็น '!K111</f>
        <v>0</v>
      </c>
      <c r="M111" s="36">
        <f t="shared" si="6"/>
        <v>0</v>
      </c>
      <c r="N111" s="11"/>
      <c r="O111" s="11"/>
      <c r="P111" s="11"/>
      <c r="Q111" s="11"/>
      <c r="R111" s="44">
        <f t="shared" si="10"/>
        <v>0</v>
      </c>
    </row>
    <row r="112" spans="2:18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30">
        <f t="shared" si="5"/>
        <v>0</v>
      </c>
      <c r="K112" s="20"/>
      <c r="L112" s="20"/>
      <c r="M112" s="36">
        <f t="shared" si="6"/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11">
        <f>SUM(Q102:Q111)</f>
        <v>0</v>
      </c>
      <c r="R112" s="44">
        <f t="shared" si="10"/>
        <v>0</v>
      </c>
    </row>
    <row r="113" spans="2:18" x14ac:dyDescent="0.25">
      <c r="B113" s="71" t="s">
        <v>86</v>
      </c>
      <c r="C113" s="72"/>
      <c r="D113" s="72"/>
      <c r="E113" s="72"/>
      <c r="F113" s="72"/>
      <c r="G113" s="72"/>
      <c r="H113" s="72"/>
      <c r="I113" s="72"/>
      <c r="J113" s="30">
        <f t="shared" si="5"/>
        <v>0</v>
      </c>
      <c r="K113" s="72"/>
      <c r="L113" s="72"/>
      <c r="M113" s="36">
        <f t="shared" si="6"/>
        <v>0</v>
      </c>
      <c r="N113" s="72"/>
      <c r="O113" s="72"/>
      <c r="P113" s="72"/>
      <c r="Q113" s="72"/>
      <c r="R113" s="73"/>
    </row>
    <row r="114" spans="2:18" x14ac:dyDescent="0.25">
      <c r="B114" s="11">
        <v>1113170</v>
      </c>
      <c r="C114" s="21" t="s">
        <v>87</v>
      </c>
      <c r="D114" s="30">
        <f>บ่าย!D114+'เช้า '!D114+'เย็น '!D114</f>
        <v>8</v>
      </c>
      <c r="E114" s="30">
        <f>บ่าย!E114+'เช้า '!E114+'เย็น '!E114</f>
        <v>0</v>
      </c>
      <c r="F114" s="30">
        <f>บ่าย!F114+'เช้า '!F114+'เย็น '!F114</f>
        <v>0</v>
      </c>
      <c r="G114" s="30">
        <f>บ่าย!G114+'เช้า '!G114+'เย็น '!G114</f>
        <v>0</v>
      </c>
      <c r="H114" s="30">
        <f>บ่าย!H114+'เช้า '!H114+'เย็น '!H114</f>
        <v>0</v>
      </c>
      <c r="I114" s="30">
        <f>บ่าย!I114+'เช้า '!I114+'เย็น '!I114</f>
        <v>0</v>
      </c>
      <c r="J114" s="30">
        <f t="shared" si="5"/>
        <v>0</v>
      </c>
      <c r="K114" s="30">
        <f>บ่าย!J114+'เช้า '!J114+'เย็น '!J114</f>
        <v>0</v>
      </c>
      <c r="L114" s="30">
        <f>บ่าย!K114+'เช้า '!K114+'เย็น '!K114</f>
        <v>0</v>
      </c>
      <c r="M114" s="36">
        <f t="shared" si="6"/>
        <v>8</v>
      </c>
      <c r="N114" s="11">
        <v>40</v>
      </c>
      <c r="O114" s="11">
        <v>3</v>
      </c>
      <c r="P114" s="11"/>
      <c r="Q114" s="11"/>
      <c r="R114" s="44">
        <f t="shared" ref="R114:R151" si="11">(N114+O114+P114+Q114)-M114</f>
        <v>35</v>
      </c>
    </row>
    <row r="115" spans="2:18" x14ac:dyDescent="0.25">
      <c r="B115" s="11">
        <v>1113171</v>
      </c>
      <c r="C115" s="21" t="s">
        <v>88</v>
      </c>
      <c r="D115" s="30">
        <f>บ่าย!D115+'เช้า '!D115+'เย็น '!D115</f>
        <v>10</v>
      </c>
      <c r="E115" s="30">
        <f>บ่าย!E115+'เช้า '!E115+'เย็น '!E115</f>
        <v>0</v>
      </c>
      <c r="F115" s="30">
        <f>บ่าย!F115+'เช้า '!F115+'เย็น '!F115</f>
        <v>0</v>
      </c>
      <c r="G115" s="30">
        <f>บ่าย!G115+'เช้า '!G115+'เย็น '!G115</f>
        <v>1</v>
      </c>
      <c r="H115" s="30">
        <f>บ่าย!H115+'เช้า '!H115+'เย็น '!H115</f>
        <v>0</v>
      </c>
      <c r="I115" s="30">
        <f>บ่าย!I115+'เช้า '!I115+'เย็น '!I115</f>
        <v>0</v>
      </c>
      <c r="J115" s="30">
        <f t="shared" si="5"/>
        <v>1</v>
      </c>
      <c r="K115" s="30">
        <f>บ่าย!J115+'เช้า '!J115+'เย็น '!J115</f>
        <v>0</v>
      </c>
      <c r="L115" s="30">
        <f>บ่าย!K115+'เช้า '!K115+'เย็น '!K115</f>
        <v>0</v>
      </c>
      <c r="M115" s="36">
        <f t="shared" si="6"/>
        <v>11</v>
      </c>
      <c r="N115" s="11">
        <v>30</v>
      </c>
      <c r="O115" s="11">
        <v>1</v>
      </c>
      <c r="P115" s="11"/>
      <c r="Q115" s="11"/>
      <c r="R115" s="44">
        <f t="shared" si="11"/>
        <v>20</v>
      </c>
    </row>
    <row r="116" spans="2:18" x14ac:dyDescent="0.25">
      <c r="B116" s="11">
        <v>1113172</v>
      </c>
      <c r="C116" s="21" t="s">
        <v>89</v>
      </c>
      <c r="D116" s="30">
        <f>บ่าย!D116+'เช้า '!D116+'เย็น '!D116</f>
        <v>0</v>
      </c>
      <c r="E116" s="30">
        <f>บ่าย!E116+'เช้า '!E116+'เย็น '!E116</f>
        <v>0</v>
      </c>
      <c r="F116" s="30">
        <f>บ่าย!F116+'เช้า '!F116+'เย็น '!F116</f>
        <v>0</v>
      </c>
      <c r="G116" s="30">
        <f>บ่าย!G116+'เช้า '!G116+'เย็น '!G116</f>
        <v>0</v>
      </c>
      <c r="H116" s="30">
        <f>บ่าย!H116+'เช้า '!H116+'เย็น '!H116</f>
        <v>0</v>
      </c>
      <c r="I116" s="30">
        <f>บ่าย!I116+'เช้า '!I116+'เย็น '!I116</f>
        <v>0</v>
      </c>
      <c r="J116" s="30">
        <f t="shared" si="5"/>
        <v>0</v>
      </c>
      <c r="K116" s="30">
        <f>บ่าย!J116+'เช้า '!J116+'เย็น '!J116</f>
        <v>0</v>
      </c>
      <c r="L116" s="30">
        <f>บ่าย!K116+'เช้า '!K116+'เย็น '!K116</f>
        <v>0</v>
      </c>
      <c r="M116" s="36">
        <f t="shared" si="6"/>
        <v>0</v>
      </c>
      <c r="N116" s="11"/>
      <c r="O116" s="11"/>
      <c r="P116" s="11"/>
      <c r="Q116" s="11"/>
      <c r="R116" s="44">
        <f t="shared" si="11"/>
        <v>0</v>
      </c>
    </row>
    <row r="117" spans="2:18" x14ac:dyDescent="0.25">
      <c r="B117" s="11">
        <v>1113173</v>
      </c>
      <c r="C117" s="21" t="s">
        <v>90</v>
      </c>
      <c r="D117" s="30">
        <f>บ่าย!D117+'เช้า '!D117+'เย็น '!D117</f>
        <v>0</v>
      </c>
      <c r="E117" s="30">
        <f>บ่าย!E117+'เช้า '!E117+'เย็น '!E117</f>
        <v>0</v>
      </c>
      <c r="F117" s="30">
        <f>บ่าย!F117+'เช้า '!F117+'เย็น '!F117</f>
        <v>0</v>
      </c>
      <c r="G117" s="30">
        <f>บ่าย!G117+'เช้า '!G117+'เย็น '!G117</f>
        <v>0</v>
      </c>
      <c r="H117" s="30">
        <f>บ่าย!H117+'เช้า '!H117+'เย็น '!H117</f>
        <v>0</v>
      </c>
      <c r="I117" s="30">
        <f>บ่าย!I117+'เช้า '!I117+'เย็น '!I117</f>
        <v>0</v>
      </c>
      <c r="J117" s="30">
        <f t="shared" si="5"/>
        <v>0</v>
      </c>
      <c r="K117" s="30">
        <f>บ่าย!J117+'เช้า '!J117+'เย็น '!J117</f>
        <v>0</v>
      </c>
      <c r="L117" s="30">
        <f>บ่าย!K117+'เช้า '!K117+'เย็น '!K117</f>
        <v>0</v>
      </c>
      <c r="M117" s="36">
        <f t="shared" si="6"/>
        <v>0</v>
      </c>
      <c r="N117" s="11"/>
      <c r="O117" s="11"/>
      <c r="P117" s="11"/>
      <c r="Q117" s="11"/>
      <c r="R117" s="44">
        <f t="shared" si="11"/>
        <v>0</v>
      </c>
    </row>
    <row r="118" spans="2:18" x14ac:dyDescent="0.25">
      <c r="B118" s="11">
        <v>1100003</v>
      </c>
      <c r="C118" s="21" t="s">
        <v>121</v>
      </c>
      <c r="D118" s="30">
        <f>บ่าย!D118+'เช้า '!D118+'เย็น '!D118</f>
        <v>0</v>
      </c>
      <c r="E118" s="30">
        <f>บ่าย!E118+'เช้า '!E118+'เย็น '!E118</f>
        <v>0</v>
      </c>
      <c r="F118" s="30">
        <f>บ่าย!F118+'เช้า '!F118+'เย็น '!F118</f>
        <v>0</v>
      </c>
      <c r="G118" s="30">
        <f>บ่าย!G118+'เช้า '!G118+'เย็น '!G118</f>
        <v>0</v>
      </c>
      <c r="H118" s="30">
        <f>บ่าย!H118+'เช้า '!H118+'เย็น '!H118</f>
        <v>0</v>
      </c>
      <c r="I118" s="30">
        <f>บ่าย!I118+'เช้า '!I118+'เย็น '!I118</f>
        <v>0</v>
      </c>
      <c r="J118" s="30">
        <f t="shared" si="5"/>
        <v>0</v>
      </c>
      <c r="K118" s="30">
        <f>บ่าย!J118+'เช้า '!J118+'เย็น '!J118</f>
        <v>0</v>
      </c>
      <c r="L118" s="30">
        <f>บ่าย!K118+'เช้า '!K118+'เย็น '!K118</f>
        <v>0</v>
      </c>
      <c r="M118" s="36">
        <f t="shared" si="6"/>
        <v>0</v>
      </c>
      <c r="N118" s="11"/>
      <c r="O118" s="11"/>
      <c r="P118" s="11"/>
      <c r="Q118" s="11"/>
      <c r="R118" s="44">
        <f t="shared" si="11"/>
        <v>0</v>
      </c>
    </row>
    <row r="119" spans="2:18" x14ac:dyDescent="0.25">
      <c r="B119" s="11">
        <v>1100001</v>
      </c>
      <c r="C119" s="21" t="s">
        <v>122</v>
      </c>
      <c r="D119" s="30">
        <f>บ่าย!D119+'เช้า '!D119+'เย็น '!D119</f>
        <v>0</v>
      </c>
      <c r="E119" s="30">
        <f>บ่าย!E119+'เช้า '!E119+'เย็น '!E119</f>
        <v>0</v>
      </c>
      <c r="F119" s="30">
        <f>บ่าย!F119+'เช้า '!F119+'เย็น '!F119</f>
        <v>0</v>
      </c>
      <c r="G119" s="30">
        <f>บ่าย!G119+'เช้า '!G119+'เย็น '!G119</f>
        <v>0</v>
      </c>
      <c r="H119" s="30">
        <f>บ่าย!H119+'เช้า '!H119+'เย็น '!H119</f>
        <v>0</v>
      </c>
      <c r="I119" s="30">
        <f>บ่าย!I119+'เช้า '!I119+'เย็น '!I119</f>
        <v>0</v>
      </c>
      <c r="J119" s="30">
        <f t="shared" si="5"/>
        <v>0</v>
      </c>
      <c r="K119" s="30">
        <f>บ่าย!J119+'เช้า '!J119+'เย็น '!J119</f>
        <v>0</v>
      </c>
      <c r="L119" s="30">
        <f>บ่าย!K119+'เช้า '!K119+'เย็น '!K119</f>
        <v>0</v>
      </c>
      <c r="M119" s="36">
        <f t="shared" si="6"/>
        <v>0</v>
      </c>
      <c r="N119" s="11"/>
      <c r="O119" s="11"/>
      <c r="P119" s="11"/>
      <c r="Q119" s="11"/>
      <c r="R119" s="44">
        <f t="shared" si="11"/>
        <v>0</v>
      </c>
    </row>
    <row r="120" spans="2:18" x14ac:dyDescent="0.25">
      <c r="B120" s="11">
        <v>1100002</v>
      </c>
      <c r="C120" s="21" t="s">
        <v>123</v>
      </c>
      <c r="D120" s="30">
        <f>บ่าย!D120+'เช้า '!D120+'เย็น '!D120</f>
        <v>0</v>
      </c>
      <c r="E120" s="30">
        <f>บ่าย!E120+'เช้า '!E120+'เย็น '!E120</f>
        <v>1</v>
      </c>
      <c r="F120" s="30">
        <f>บ่าย!F120+'เช้า '!F120+'เย็น '!F120</f>
        <v>0</v>
      </c>
      <c r="G120" s="30">
        <f>บ่าย!G120+'เช้า '!G120+'เย็น '!G120</f>
        <v>0</v>
      </c>
      <c r="H120" s="30">
        <f>บ่าย!H120+'เช้า '!H120+'เย็น '!H120</f>
        <v>0</v>
      </c>
      <c r="I120" s="30">
        <f>บ่าย!I120+'เช้า '!I120+'เย็น '!I120</f>
        <v>0</v>
      </c>
      <c r="J120" s="30">
        <f t="shared" si="5"/>
        <v>0</v>
      </c>
      <c r="K120" s="30">
        <f>บ่าย!J120+'เช้า '!J120+'เย็น '!J120</f>
        <v>0</v>
      </c>
      <c r="L120" s="30">
        <f>บ่าย!K120+'เช้า '!K120+'เย็น '!K120</f>
        <v>0</v>
      </c>
      <c r="M120" s="36">
        <f t="shared" si="6"/>
        <v>1</v>
      </c>
      <c r="N120" s="11"/>
      <c r="O120" s="11">
        <v>8</v>
      </c>
      <c r="P120" s="11"/>
      <c r="Q120" s="11"/>
      <c r="R120" s="44">
        <f t="shared" si="11"/>
        <v>7</v>
      </c>
    </row>
    <row r="121" spans="2:18" x14ac:dyDescent="0.25">
      <c r="B121" s="11">
        <v>1200001</v>
      </c>
      <c r="C121" s="21" t="s">
        <v>93</v>
      </c>
      <c r="D121" s="30">
        <f>บ่าย!D121+'เช้า '!D121+'เย็น '!D121</f>
        <v>0</v>
      </c>
      <c r="E121" s="30">
        <f>บ่าย!E121+'เช้า '!E121+'เย็น '!E121</f>
        <v>0</v>
      </c>
      <c r="F121" s="30">
        <f>บ่าย!F121+'เช้า '!F121+'เย็น '!F121</f>
        <v>0</v>
      </c>
      <c r="G121" s="30">
        <f>บ่าย!G121+'เช้า '!G121+'เย็น '!G121</f>
        <v>0</v>
      </c>
      <c r="H121" s="30">
        <f>บ่าย!H121+'เช้า '!H121+'เย็น '!H121</f>
        <v>0</v>
      </c>
      <c r="I121" s="30">
        <f>บ่าย!I121+'เช้า '!I121+'เย็น '!I121</f>
        <v>0</v>
      </c>
      <c r="J121" s="30">
        <f t="shared" si="5"/>
        <v>0</v>
      </c>
      <c r="K121" s="30">
        <f>บ่าย!J121+'เช้า '!J121+'เย็น '!J121</f>
        <v>0</v>
      </c>
      <c r="L121" s="30">
        <f>บ่าย!K121+'เช้า '!K121+'เย็น '!K121</f>
        <v>0</v>
      </c>
      <c r="M121" s="36">
        <f t="shared" si="6"/>
        <v>0</v>
      </c>
      <c r="N121" s="11"/>
      <c r="O121" s="11">
        <v>50</v>
      </c>
      <c r="P121" s="11"/>
      <c r="Q121" s="11"/>
      <c r="R121" s="44">
        <f t="shared" si="11"/>
        <v>50</v>
      </c>
    </row>
    <row r="122" spans="2:18" x14ac:dyDescent="0.25">
      <c r="B122" s="11">
        <v>1005761</v>
      </c>
      <c r="C122" s="21" t="s">
        <v>94</v>
      </c>
      <c r="D122" s="30">
        <f>บ่าย!D122+'เช้า '!D122+'เย็น '!D122</f>
        <v>0</v>
      </c>
      <c r="E122" s="30">
        <f>บ่าย!E122+'เช้า '!E122+'เย็น '!E122</f>
        <v>0</v>
      </c>
      <c r="F122" s="30">
        <f>บ่าย!F122+'เช้า '!F122+'เย็น '!F122</f>
        <v>0</v>
      </c>
      <c r="G122" s="30">
        <f>บ่าย!G122+'เช้า '!G122+'เย็น '!G122</f>
        <v>0</v>
      </c>
      <c r="H122" s="30">
        <f>บ่าย!H122+'เช้า '!H122+'เย็น '!H122</f>
        <v>0</v>
      </c>
      <c r="I122" s="30">
        <f>บ่าย!I122+'เช้า '!I122+'เย็น '!I122</f>
        <v>0</v>
      </c>
      <c r="J122" s="30">
        <f t="shared" si="5"/>
        <v>0</v>
      </c>
      <c r="K122" s="30">
        <f>บ่าย!J122+'เช้า '!J122+'เย็น '!J122</f>
        <v>0</v>
      </c>
      <c r="L122" s="30">
        <f>บ่าย!K122+'เช้า '!K122+'เย็น '!K122</f>
        <v>0</v>
      </c>
      <c r="M122" s="36">
        <f t="shared" si="6"/>
        <v>0</v>
      </c>
      <c r="N122" s="11"/>
      <c r="O122" s="11"/>
      <c r="P122" s="11"/>
      <c r="Q122" s="11"/>
      <c r="R122" s="44">
        <f t="shared" si="11"/>
        <v>0</v>
      </c>
    </row>
    <row r="123" spans="2:18" x14ac:dyDescent="0.25">
      <c r="B123" s="11">
        <v>1114501</v>
      </c>
      <c r="C123" s="21" t="s">
        <v>95</v>
      </c>
      <c r="D123" s="30">
        <f>บ่าย!D123+'เช้า '!D123+'เย็น '!D123</f>
        <v>0</v>
      </c>
      <c r="E123" s="30">
        <f>บ่าย!E123+'เช้า '!E123+'เย็น '!E123</f>
        <v>19</v>
      </c>
      <c r="F123" s="30">
        <f>บ่าย!F123+'เช้า '!F123+'เย็น '!F123</f>
        <v>3</v>
      </c>
      <c r="G123" s="30">
        <f>บ่าย!G123+'เช้า '!G123+'เย็น '!G123</f>
        <v>228</v>
      </c>
      <c r="H123" s="30">
        <f>บ่าย!H123+'เช้า '!H123+'เย็น '!H123</f>
        <v>57</v>
      </c>
      <c r="I123" s="30">
        <f>บ่าย!I123+'เช้า '!I123+'เย็น '!I123</f>
        <v>0</v>
      </c>
      <c r="J123" s="30">
        <f t="shared" si="5"/>
        <v>285</v>
      </c>
      <c r="K123" s="30">
        <f>บ่าย!J123+'เช้า '!J123+'เย็น '!J123</f>
        <v>0</v>
      </c>
      <c r="L123" s="30">
        <f>บ่าย!K123+'เช้า '!K123+'เย็น '!K123</f>
        <v>0</v>
      </c>
      <c r="M123" s="36">
        <f t="shared" si="6"/>
        <v>307</v>
      </c>
      <c r="N123" s="11">
        <v>404</v>
      </c>
      <c r="O123" s="11">
        <v>852</v>
      </c>
      <c r="P123" s="11"/>
      <c r="Q123" s="11">
        <v>500</v>
      </c>
      <c r="R123" s="44">
        <f t="shared" si="11"/>
        <v>1449</v>
      </c>
    </row>
    <row r="124" spans="2:18" x14ac:dyDescent="0.25">
      <c r="B124" s="11">
        <v>1114502</v>
      </c>
      <c r="C124" s="21" t="s">
        <v>96</v>
      </c>
      <c r="D124" s="30">
        <f>บ่าย!D124+'เช้า '!D124+'เย็น '!D124</f>
        <v>0</v>
      </c>
      <c r="E124" s="30">
        <f>บ่าย!E124+'เช้า '!E124+'เย็น '!E124</f>
        <v>7</v>
      </c>
      <c r="F124" s="30">
        <f>บ่าย!F124+'เช้า '!F124+'เย็น '!F124</f>
        <v>0</v>
      </c>
      <c r="G124" s="30">
        <f>บ่าย!G124+'เช้า '!G124+'เย็น '!G124</f>
        <v>210</v>
      </c>
      <c r="H124" s="30">
        <f>บ่าย!H124+'เช้า '!H124+'เย็น '!H124</f>
        <v>54</v>
      </c>
      <c r="I124" s="30">
        <f>บ่าย!I124+'เช้า '!I124+'เย็น '!I124</f>
        <v>0</v>
      </c>
      <c r="J124" s="30">
        <f t="shared" si="5"/>
        <v>264</v>
      </c>
      <c r="K124" s="30">
        <f>บ่าย!J124+'เช้า '!J124+'เย็น '!J124</f>
        <v>0</v>
      </c>
      <c r="L124" s="30">
        <f>บ่าย!K124+'เช้า '!K124+'เย็น '!K124</f>
        <v>0</v>
      </c>
      <c r="M124" s="36">
        <f t="shared" si="6"/>
        <v>271</v>
      </c>
      <c r="N124" s="11">
        <v>207</v>
      </c>
      <c r="O124" s="11">
        <v>753</v>
      </c>
      <c r="P124" s="11"/>
      <c r="Q124" s="11">
        <v>400</v>
      </c>
      <c r="R124" s="44">
        <f t="shared" si="11"/>
        <v>1089</v>
      </c>
    </row>
    <row r="125" spans="2:18" x14ac:dyDescent="0.25">
      <c r="B125" s="11">
        <v>1114503</v>
      </c>
      <c r="C125" s="21" t="s">
        <v>97</v>
      </c>
      <c r="D125" s="30">
        <f>บ่าย!D125+'เช้า '!D125+'เย็น '!D125</f>
        <v>0</v>
      </c>
      <c r="E125" s="30">
        <f>บ่าย!E125+'เช้า '!E125+'เย็น '!E125</f>
        <v>9</v>
      </c>
      <c r="F125" s="30">
        <f>บ่าย!F125+'เช้า '!F125+'เย็น '!F125</f>
        <v>0</v>
      </c>
      <c r="G125" s="30">
        <f>บ่าย!G125+'เช้า '!G125+'เย็น '!G125</f>
        <v>204</v>
      </c>
      <c r="H125" s="30">
        <f>บ่าย!H125+'เช้า '!H125+'เย็น '!H125</f>
        <v>54</v>
      </c>
      <c r="I125" s="30">
        <f>บ่าย!I125+'เช้า '!I125+'เย็น '!I125</f>
        <v>0</v>
      </c>
      <c r="J125" s="30">
        <f t="shared" si="5"/>
        <v>258</v>
      </c>
      <c r="K125" s="30">
        <f>บ่าย!J125+'เช้า '!J125+'เย็น '!J125</f>
        <v>0</v>
      </c>
      <c r="L125" s="30">
        <f>บ่าย!K125+'เช้า '!K125+'เย็น '!K125</f>
        <v>0</v>
      </c>
      <c r="M125" s="36">
        <f t="shared" si="6"/>
        <v>267</v>
      </c>
      <c r="N125" s="11">
        <v>341</v>
      </c>
      <c r="O125" s="11">
        <v>658</v>
      </c>
      <c r="P125" s="11"/>
      <c r="Q125" s="11">
        <v>400</v>
      </c>
      <c r="R125" s="44">
        <f t="shared" si="11"/>
        <v>1132</v>
      </c>
    </row>
    <row r="126" spans="2:18" x14ac:dyDescent="0.25">
      <c r="B126" s="11">
        <v>1124021</v>
      </c>
      <c r="C126" s="21" t="s">
        <v>98</v>
      </c>
      <c r="D126" s="30">
        <f>บ่าย!D126+'เช้า '!D126+'เย็น '!D126</f>
        <v>0</v>
      </c>
      <c r="E126" s="30">
        <f>บ่าย!E126+'เช้า '!E126+'เย็น '!E126</f>
        <v>18</v>
      </c>
      <c r="F126" s="30">
        <f>บ่าย!F126+'เช้า '!F126+'เย็น '!F126</f>
        <v>32</v>
      </c>
      <c r="G126" s="30">
        <f>บ่าย!G126+'เช้า '!G126+'เย็น '!G126</f>
        <v>6</v>
      </c>
      <c r="H126" s="30">
        <f>บ่าย!H126+'เช้า '!H126+'เย็น '!H126</f>
        <v>4</v>
      </c>
      <c r="I126" s="30">
        <f>บ่าย!I126+'เช้า '!I126+'เย็น '!I126</f>
        <v>0</v>
      </c>
      <c r="J126" s="30">
        <f t="shared" si="5"/>
        <v>10</v>
      </c>
      <c r="K126" s="30">
        <f>บ่าย!J126+'เช้า '!J126+'เย็น '!J126</f>
        <v>0</v>
      </c>
      <c r="L126" s="30">
        <f>บ่าย!K126+'เช้า '!K126+'เย็น '!K126</f>
        <v>0</v>
      </c>
      <c r="M126" s="36">
        <f t="shared" si="6"/>
        <v>60</v>
      </c>
      <c r="N126" s="11">
        <v>30</v>
      </c>
      <c r="O126" s="11">
        <v>34</v>
      </c>
      <c r="P126" s="11"/>
      <c r="Q126" s="11">
        <v>40</v>
      </c>
      <c r="R126" s="44">
        <f t="shared" si="11"/>
        <v>44</v>
      </c>
    </row>
    <row r="127" spans="2:18" x14ac:dyDescent="0.25">
      <c r="B127" s="11">
        <v>1113084</v>
      </c>
      <c r="C127" s="21" t="s">
        <v>99</v>
      </c>
      <c r="D127" s="30">
        <f>บ่าย!D127+'เช้า '!D127+'เย็น '!D127</f>
        <v>0</v>
      </c>
      <c r="E127" s="30">
        <f>บ่าย!E127+'เช้า '!E127+'เย็น '!E127</f>
        <v>0</v>
      </c>
      <c r="F127" s="30">
        <f>บ่าย!F127+'เช้า '!F127+'เย็น '!F127</f>
        <v>0</v>
      </c>
      <c r="G127" s="30">
        <f>บ่าย!G127+'เช้า '!G127+'เย็น '!G127</f>
        <v>0</v>
      </c>
      <c r="H127" s="30">
        <f>บ่าย!H127+'เช้า '!H127+'เย็น '!H127</f>
        <v>0</v>
      </c>
      <c r="I127" s="30">
        <f>บ่าย!I127+'เช้า '!I127+'เย็น '!I127</f>
        <v>0</v>
      </c>
      <c r="J127" s="30">
        <f t="shared" si="5"/>
        <v>0</v>
      </c>
      <c r="K127" s="30">
        <f>บ่าย!J127+'เช้า '!J127+'เย็น '!J127</f>
        <v>0</v>
      </c>
      <c r="L127" s="30">
        <f>บ่าย!K127+'เช้า '!K127+'เย็น '!K127</f>
        <v>0</v>
      </c>
      <c r="M127" s="36">
        <f t="shared" si="6"/>
        <v>0</v>
      </c>
      <c r="N127" s="11"/>
      <c r="O127" s="11"/>
      <c r="P127" s="11"/>
      <c r="Q127" s="11"/>
      <c r="R127" s="44">
        <f t="shared" si="11"/>
        <v>0</v>
      </c>
    </row>
    <row r="128" spans="2:18" x14ac:dyDescent="0.25">
      <c r="B128" s="11">
        <v>900003</v>
      </c>
      <c r="C128" s="21" t="s">
        <v>132</v>
      </c>
      <c r="D128" s="30">
        <f>บ่าย!D128+'เช้า '!D128+'เย็น '!D128</f>
        <v>0</v>
      </c>
      <c r="E128" s="30">
        <f>บ่าย!E128+'เช้า '!E128+'เย็น '!E128</f>
        <v>0</v>
      </c>
      <c r="F128" s="30">
        <f>บ่าย!F128+'เช้า '!F128+'เย็น '!F128</f>
        <v>0</v>
      </c>
      <c r="G128" s="30">
        <f>บ่าย!G128+'เช้า '!G128+'เย็น '!G128</f>
        <v>0</v>
      </c>
      <c r="H128" s="30">
        <f>บ่าย!H128+'เช้า '!H128+'เย็น '!H128</f>
        <v>0</v>
      </c>
      <c r="I128" s="30">
        <f>บ่าย!I128+'เช้า '!I128+'เย็น '!I128</f>
        <v>0</v>
      </c>
      <c r="J128" s="30">
        <f t="shared" si="5"/>
        <v>0</v>
      </c>
      <c r="K128" s="30">
        <f>บ่าย!J128+'เช้า '!J128+'เย็น '!J128</f>
        <v>0</v>
      </c>
      <c r="L128" s="30">
        <f>บ่าย!K128+'เช้า '!K128+'เย็น '!K128</f>
        <v>0</v>
      </c>
      <c r="M128" s="36">
        <f t="shared" si="6"/>
        <v>0</v>
      </c>
      <c r="N128" s="11"/>
      <c r="O128" s="11"/>
      <c r="P128" s="11"/>
      <c r="Q128" s="11"/>
      <c r="R128" s="44">
        <f t="shared" si="11"/>
        <v>0</v>
      </c>
    </row>
    <row r="129" spans="2:19" x14ac:dyDescent="0.25">
      <c r="B129" s="11">
        <v>900004</v>
      </c>
      <c r="C129" s="21" t="s">
        <v>100</v>
      </c>
      <c r="D129" s="30">
        <f>บ่าย!D129+'เช้า '!D129+'เย็น '!D129</f>
        <v>0</v>
      </c>
      <c r="E129" s="30">
        <f>บ่าย!E129+'เช้า '!E129+'เย็น '!E129</f>
        <v>0</v>
      </c>
      <c r="F129" s="30">
        <f>บ่าย!F129+'เช้า '!F129+'เย็น '!F129</f>
        <v>0</v>
      </c>
      <c r="G129" s="30">
        <f>บ่าย!G129+'เช้า '!G129+'เย็น '!G129</f>
        <v>0</v>
      </c>
      <c r="H129" s="30">
        <f>บ่าย!H129+'เช้า '!H129+'เย็น '!H129</f>
        <v>0</v>
      </c>
      <c r="I129" s="30">
        <f>บ่าย!I129+'เช้า '!I129+'เย็น '!I129</f>
        <v>0</v>
      </c>
      <c r="J129" s="30">
        <f t="shared" si="5"/>
        <v>0</v>
      </c>
      <c r="K129" s="30">
        <f>บ่าย!J129+'เช้า '!J129+'เย็น '!J129</f>
        <v>0</v>
      </c>
      <c r="L129" s="30">
        <f>บ่าย!K129+'เช้า '!K129+'เย็น '!K129</f>
        <v>0</v>
      </c>
      <c r="M129" s="36">
        <f t="shared" si="6"/>
        <v>0</v>
      </c>
      <c r="N129" s="11"/>
      <c r="O129" s="11"/>
      <c r="P129" s="11"/>
      <c r="Q129" s="11"/>
      <c r="R129" s="44">
        <f t="shared" si="11"/>
        <v>0</v>
      </c>
    </row>
    <row r="130" spans="2:19" x14ac:dyDescent="0.25">
      <c r="B130" s="11">
        <v>1200002</v>
      </c>
      <c r="C130" s="21" t="s">
        <v>101</v>
      </c>
      <c r="D130" s="30">
        <f>บ่าย!D130+'เช้า '!D130+'เย็น '!D130</f>
        <v>0</v>
      </c>
      <c r="E130" s="30">
        <f>บ่าย!E130+'เช้า '!E130+'เย็น '!E130</f>
        <v>0</v>
      </c>
      <c r="F130" s="30">
        <f>บ่าย!F130+'เช้า '!F130+'เย็น '!F130</f>
        <v>0</v>
      </c>
      <c r="G130" s="30">
        <f>บ่าย!G130+'เช้า '!G130+'เย็น '!G130</f>
        <v>0</v>
      </c>
      <c r="H130" s="30">
        <f>บ่าย!H130+'เช้า '!H130+'เย็น '!H130</f>
        <v>0</v>
      </c>
      <c r="I130" s="30">
        <f>บ่าย!I130+'เช้า '!I130+'เย็น '!I130</f>
        <v>0</v>
      </c>
      <c r="J130" s="30">
        <f t="shared" si="5"/>
        <v>0</v>
      </c>
      <c r="K130" s="30">
        <f>บ่าย!J130+'เช้า '!J130+'เย็น '!J130</f>
        <v>0</v>
      </c>
      <c r="L130" s="30">
        <f>บ่าย!K130+'เช้า '!K130+'เย็น '!K130</f>
        <v>0</v>
      </c>
      <c r="M130" s="36">
        <f t="shared" si="6"/>
        <v>0</v>
      </c>
      <c r="N130" s="11"/>
      <c r="O130" s="11"/>
      <c r="P130" s="11"/>
      <c r="Q130" s="11"/>
      <c r="R130" s="44">
        <f t="shared" si="11"/>
        <v>0</v>
      </c>
    </row>
    <row r="131" spans="2:19" x14ac:dyDescent="0.25">
      <c r="B131" s="11">
        <v>1200003</v>
      </c>
      <c r="C131" s="21" t="s">
        <v>102</v>
      </c>
      <c r="D131" s="30">
        <f>บ่าย!D131+'เช้า '!D131+'เย็น '!D131</f>
        <v>0</v>
      </c>
      <c r="E131" s="30">
        <f>บ่าย!E131+'เช้า '!E131+'เย็น '!E131</f>
        <v>0</v>
      </c>
      <c r="F131" s="30">
        <f>บ่าย!F131+'เช้า '!F131+'เย็น '!F131</f>
        <v>0</v>
      </c>
      <c r="G131" s="30">
        <f>บ่าย!G131+'เช้า '!G131+'เย็น '!G131</f>
        <v>0</v>
      </c>
      <c r="H131" s="30">
        <f>บ่าย!H131+'เช้า '!H131+'เย็น '!H131</f>
        <v>0</v>
      </c>
      <c r="I131" s="30">
        <f>บ่าย!I131+'เช้า '!I131+'เย็น '!I131</f>
        <v>0</v>
      </c>
      <c r="J131" s="30">
        <f t="shared" si="5"/>
        <v>0</v>
      </c>
      <c r="K131" s="30">
        <f>บ่าย!J131+'เช้า '!J131+'เย็น '!J131</f>
        <v>0</v>
      </c>
      <c r="L131" s="30">
        <f>บ่าย!K131+'เช้า '!K131+'เย็น '!K131</f>
        <v>0</v>
      </c>
      <c r="M131" s="36">
        <f t="shared" si="6"/>
        <v>0</v>
      </c>
      <c r="N131" s="11"/>
      <c r="O131" s="11"/>
      <c r="P131" s="11"/>
      <c r="Q131" s="11"/>
      <c r="R131" s="44">
        <f t="shared" si="11"/>
        <v>0</v>
      </c>
    </row>
    <row r="132" spans="2:19" x14ac:dyDescent="0.25">
      <c r="B132" s="11">
        <v>1200004</v>
      </c>
      <c r="C132" s="21" t="s">
        <v>103</v>
      </c>
      <c r="D132" s="30">
        <f>บ่าย!D132+'เช้า '!D132+'เย็น '!D132</f>
        <v>0</v>
      </c>
      <c r="E132" s="30">
        <f>บ่าย!E132+'เช้า '!E132+'เย็น '!E132</f>
        <v>0</v>
      </c>
      <c r="F132" s="30">
        <f>บ่าย!F132+'เช้า '!F132+'เย็น '!F132</f>
        <v>0</v>
      </c>
      <c r="G132" s="30">
        <f>บ่าย!G132+'เช้า '!G132+'เย็น '!G132</f>
        <v>0</v>
      </c>
      <c r="H132" s="30">
        <f>บ่าย!H132+'เช้า '!H132+'เย็น '!H132</f>
        <v>0</v>
      </c>
      <c r="I132" s="30">
        <f>บ่าย!I132+'เช้า '!I132+'เย็น '!I132</f>
        <v>0</v>
      </c>
      <c r="J132" s="30">
        <f t="shared" si="5"/>
        <v>0</v>
      </c>
      <c r="K132" s="30">
        <f>บ่าย!J132+'เช้า '!J132+'เย็น '!J132</f>
        <v>0</v>
      </c>
      <c r="L132" s="30">
        <f>บ่าย!K132+'เช้า '!K132+'เย็น '!K132</f>
        <v>0</v>
      </c>
      <c r="M132" s="36">
        <f t="shared" si="6"/>
        <v>0</v>
      </c>
      <c r="N132" s="11"/>
      <c r="O132" s="11"/>
      <c r="P132" s="11"/>
      <c r="Q132" s="11"/>
      <c r="R132" s="44">
        <f t="shared" si="11"/>
        <v>0</v>
      </c>
    </row>
    <row r="133" spans="2:19" x14ac:dyDescent="0.25">
      <c r="B133" s="11">
        <v>1200093</v>
      </c>
      <c r="C133" s="21" t="s">
        <v>91</v>
      </c>
      <c r="D133" s="30">
        <f>บ่าย!D133+'เช้า '!D133+'เย็น '!D133</f>
        <v>0</v>
      </c>
      <c r="E133" s="30">
        <f>บ่าย!E133+'เช้า '!E133+'เย็น '!E133</f>
        <v>0</v>
      </c>
      <c r="F133" s="30">
        <f>บ่าย!F133+'เช้า '!F133+'เย็น '!F133</f>
        <v>0</v>
      </c>
      <c r="G133" s="30">
        <f>บ่าย!G133+'เช้า '!G133+'เย็น '!G133</f>
        <v>0</v>
      </c>
      <c r="H133" s="30">
        <f>บ่าย!H133+'เช้า '!H133+'เย็น '!H133</f>
        <v>0</v>
      </c>
      <c r="I133" s="30">
        <f>บ่าย!I133+'เช้า '!I133+'เย็น '!I133</f>
        <v>0</v>
      </c>
      <c r="J133" s="30">
        <f t="shared" si="5"/>
        <v>0</v>
      </c>
      <c r="K133" s="30">
        <f>บ่าย!J133+'เช้า '!J133+'เย็น '!J133</f>
        <v>0</v>
      </c>
      <c r="L133" s="30">
        <f>บ่าย!K133+'เช้า '!K133+'เย็น '!K133</f>
        <v>0</v>
      </c>
      <c r="M133" s="36">
        <f t="shared" si="6"/>
        <v>0</v>
      </c>
      <c r="N133" s="11"/>
      <c r="O133" s="11"/>
      <c r="P133" s="11"/>
      <c r="Q133" s="11"/>
      <c r="R133" s="44">
        <f t="shared" si="11"/>
        <v>0</v>
      </c>
    </row>
    <row r="134" spans="2:19" x14ac:dyDescent="0.25">
      <c r="B134" s="11">
        <v>1200092</v>
      </c>
      <c r="C134" s="19" t="s">
        <v>92</v>
      </c>
      <c r="D134" s="30">
        <f>บ่าย!D134+'เช้า '!D134+'เย็น '!D134</f>
        <v>0</v>
      </c>
      <c r="E134" s="30">
        <f>บ่าย!E134+'เช้า '!E134+'เย็น '!E134</f>
        <v>0</v>
      </c>
      <c r="F134" s="30">
        <f>บ่าย!F134+'เช้า '!F134+'เย็น '!F134</f>
        <v>0</v>
      </c>
      <c r="G134" s="30">
        <f>บ่าย!G134+'เช้า '!G134+'เย็น '!G134</f>
        <v>0</v>
      </c>
      <c r="H134" s="30">
        <f>บ่าย!H134+'เช้า '!H134+'เย็น '!H134</f>
        <v>0</v>
      </c>
      <c r="I134" s="30">
        <f>บ่าย!I134+'เช้า '!I134+'เย็น '!I134</f>
        <v>0</v>
      </c>
      <c r="J134" s="30">
        <f t="shared" si="5"/>
        <v>0</v>
      </c>
      <c r="K134" s="30">
        <f>บ่าย!J134+'เช้า '!J134+'เย็น '!J134</f>
        <v>0</v>
      </c>
      <c r="L134" s="30">
        <f>บ่าย!K134+'เช้า '!K134+'เย็น '!K134</f>
        <v>0</v>
      </c>
      <c r="M134" s="36">
        <f t="shared" si="6"/>
        <v>0</v>
      </c>
      <c r="N134" s="11"/>
      <c r="O134" s="11"/>
      <c r="P134" s="11"/>
      <c r="Q134" s="11"/>
      <c r="R134" s="44">
        <f t="shared" si="11"/>
        <v>0</v>
      </c>
    </row>
    <row r="135" spans="2:19" x14ac:dyDescent="0.25">
      <c r="B135" s="22"/>
      <c r="C135" s="21" t="s">
        <v>124</v>
      </c>
      <c r="D135" s="30">
        <f>บ่าย!D135+'เช้า '!D135+'เย็น '!D135</f>
        <v>0</v>
      </c>
      <c r="E135" s="30">
        <f>บ่าย!E135+'เช้า '!E135+'เย็น '!E135</f>
        <v>0</v>
      </c>
      <c r="F135" s="30">
        <f>บ่าย!F135+'เช้า '!F135+'เย็น '!F135</f>
        <v>0</v>
      </c>
      <c r="G135" s="30">
        <f>บ่าย!G135+'เช้า '!G135+'เย็น '!G135</f>
        <v>0</v>
      </c>
      <c r="H135" s="30">
        <f>บ่าย!H135+'เช้า '!H135+'เย็น '!H135</f>
        <v>0</v>
      </c>
      <c r="I135" s="30">
        <f>บ่าย!I135+'เช้า '!I135+'เย็น '!I135</f>
        <v>0</v>
      </c>
      <c r="J135" s="30">
        <f t="shared" si="5"/>
        <v>0</v>
      </c>
      <c r="K135" s="30">
        <f>บ่าย!J135+'เช้า '!J135+'เย็น '!J135</f>
        <v>0</v>
      </c>
      <c r="L135" s="30">
        <f>บ่าย!K135+'เช้า '!K135+'เย็น '!K135</f>
        <v>0</v>
      </c>
      <c r="M135" s="36">
        <f t="shared" si="6"/>
        <v>0</v>
      </c>
      <c r="N135" s="11"/>
      <c r="O135" s="11"/>
      <c r="P135" s="11"/>
      <c r="Q135" s="11"/>
      <c r="R135" s="44">
        <f t="shared" si="11"/>
        <v>0</v>
      </c>
    </row>
    <row r="136" spans="2:19" x14ac:dyDescent="0.25">
      <c r="B136" s="22"/>
      <c r="C136" s="21" t="s">
        <v>125</v>
      </c>
      <c r="D136" s="30">
        <f>บ่าย!D136+'เช้า '!D136+'เย็น '!D136</f>
        <v>0</v>
      </c>
      <c r="E136" s="30">
        <f>บ่าย!E136+'เช้า '!E136+'เย็น '!E136</f>
        <v>2</v>
      </c>
      <c r="F136" s="30">
        <f>บ่าย!F136+'เช้า '!F136+'เย็น '!F136</f>
        <v>0</v>
      </c>
      <c r="G136" s="30">
        <f>บ่าย!G136+'เช้า '!G136+'เย็น '!G136</f>
        <v>0</v>
      </c>
      <c r="H136" s="30">
        <f>บ่าย!H136+'เช้า '!H136+'เย็น '!H136</f>
        <v>0</v>
      </c>
      <c r="I136" s="30">
        <f>บ่าย!I136+'เช้า '!I136+'เย็น '!I136</f>
        <v>0</v>
      </c>
      <c r="J136" s="30">
        <f t="shared" ref="J136:J151" si="12">+G136+H136+I136</f>
        <v>0</v>
      </c>
      <c r="K136" s="30">
        <f>บ่าย!J136+'เช้า '!J136+'เย็น '!J136</f>
        <v>0</v>
      </c>
      <c r="L136" s="30">
        <f>บ่าย!K136+'เช้า '!K136+'เย็น '!K136</f>
        <v>0</v>
      </c>
      <c r="M136" s="36">
        <f t="shared" ref="M136:M151" si="13">+D136+E136+F136+J136+K136+L136</f>
        <v>2</v>
      </c>
      <c r="N136" s="11"/>
      <c r="O136" s="11"/>
      <c r="P136" s="11"/>
      <c r="Q136" s="11"/>
      <c r="R136" s="44">
        <f t="shared" si="11"/>
        <v>-2</v>
      </c>
    </row>
    <row r="137" spans="2:19" x14ac:dyDescent="0.25">
      <c r="B137" s="22">
        <v>20052721</v>
      </c>
      <c r="C137" s="21" t="s">
        <v>142</v>
      </c>
      <c r="D137" s="30">
        <f>บ่าย!D137+'เช้า '!D137+'เย็น '!D137</f>
        <v>0</v>
      </c>
      <c r="E137" s="30">
        <f>บ่าย!E137+'เช้า '!E137+'เย็น '!E137</f>
        <v>0</v>
      </c>
      <c r="F137" s="30">
        <f>บ่าย!F137+'เช้า '!F137+'เย็น '!F137</f>
        <v>0</v>
      </c>
      <c r="G137" s="30">
        <f>บ่าย!G137+'เช้า '!G137+'เย็น '!G137</f>
        <v>0</v>
      </c>
      <c r="H137" s="30">
        <f>บ่าย!H137+'เช้า '!H137+'เย็น '!H137</f>
        <v>0</v>
      </c>
      <c r="I137" s="30">
        <f>บ่าย!I137+'เช้า '!I137+'เย็น '!I137</f>
        <v>0</v>
      </c>
      <c r="J137" s="30">
        <f t="shared" si="12"/>
        <v>0</v>
      </c>
      <c r="K137" s="30">
        <f>บ่าย!J137+'เช้า '!J137+'เย็น '!J137</f>
        <v>0</v>
      </c>
      <c r="L137" s="30">
        <f>บ่าย!K137+'เช้า '!K137+'เย็น '!K137</f>
        <v>0</v>
      </c>
      <c r="M137" s="36">
        <f t="shared" si="13"/>
        <v>0</v>
      </c>
      <c r="N137" s="11"/>
      <c r="O137" s="11"/>
      <c r="P137" s="11"/>
      <c r="Q137" s="11"/>
      <c r="R137" s="44">
        <f t="shared" si="11"/>
        <v>0</v>
      </c>
    </row>
    <row r="138" spans="2:19" x14ac:dyDescent="0.25">
      <c r="B138" s="50">
        <v>1004046</v>
      </c>
      <c r="C138" s="49" t="s">
        <v>143</v>
      </c>
      <c r="D138" s="30">
        <f>บ่าย!D138+'เช้า '!D138+'เย็น '!D138</f>
        <v>0</v>
      </c>
      <c r="E138" s="30">
        <f>บ่าย!E138+'เช้า '!E138+'เย็น '!E138</f>
        <v>0</v>
      </c>
      <c r="F138" s="30">
        <f>บ่าย!F138+'เช้า '!F138+'เย็น '!F138</f>
        <v>0</v>
      </c>
      <c r="G138" s="30">
        <f>บ่าย!G138+'เช้า '!G138+'เย็น '!G138</f>
        <v>0</v>
      </c>
      <c r="H138" s="30">
        <f>บ่าย!H138+'เช้า '!H138+'เย็น '!H138</f>
        <v>0</v>
      </c>
      <c r="I138" s="30">
        <f>บ่าย!I138+'เช้า '!I138+'เย็น '!I138</f>
        <v>0</v>
      </c>
      <c r="J138" s="30">
        <f t="shared" si="12"/>
        <v>0</v>
      </c>
      <c r="K138" s="30">
        <f>บ่าย!J138+'เช้า '!J138+'เย็น '!J138</f>
        <v>0</v>
      </c>
      <c r="L138" s="30">
        <f>บ่าย!K138+'เช้า '!K138+'เย็น '!K138</f>
        <v>0</v>
      </c>
      <c r="M138" s="36">
        <f t="shared" si="13"/>
        <v>0</v>
      </c>
      <c r="N138" s="11"/>
      <c r="O138" s="11"/>
      <c r="P138" s="11"/>
      <c r="Q138" s="11"/>
      <c r="R138" s="44">
        <f t="shared" si="11"/>
        <v>0</v>
      </c>
    </row>
    <row r="139" spans="2:19" x14ac:dyDescent="0.25">
      <c r="B139" s="50"/>
      <c r="C139" s="49" t="s">
        <v>138</v>
      </c>
      <c r="D139" s="30">
        <f>บ่าย!D139+'เช้า '!D139+'เย็น '!D139</f>
        <v>0</v>
      </c>
      <c r="E139" s="30">
        <f>บ่าย!E139+'เช้า '!E139+'เย็น '!E139</f>
        <v>0</v>
      </c>
      <c r="F139" s="30">
        <f>บ่าย!F139+'เช้า '!F139+'เย็น '!F139</f>
        <v>0</v>
      </c>
      <c r="G139" s="30">
        <f>บ่าย!G139+'เช้า '!G139+'เย็น '!G139</f>
        <v>0</v>
      </c>
      <c r="H139" s="30">
        <f>บ่าย!H139+'เช้า '!H139+'เย็น '!H139</f>
        <v>0</v>
      </c>
      <c r="I139" s="30">
        <f>บ่าย!I139+'เช้า '!I139+'เย็น '!I139</f>
        <v>0</v>
      </c>
      <c r="J139" s="30">
        <f t="shared" si="12"/>
        <v>0</v>
      </c>
      <c r="K139" s="30">
        <f>บ่าย!J139+'เช้า '!J139+'เย็น '!J139</f>
        <v>0</v>
      </c>
      <c r="L139" s="30">
        <f>บ่าย!K139+'เช้า '!K139+'เย็น '!K139</f>
        <v>0</v>
      </c>
      <c r="M139" s="36">
        <f t="shared" si="13"/>
        <v>0</v>
      </c>
      <c r="N139" s="11"/>
      <c r="O139" s="11"/>
      <c r="P139" s="11"/>
      <c r="Q139" s="11"/>
      <c r="R139" s="44">
        <f t="shared" si="11"/>
        <v>0</v>
      </c>
    </row>
    <row r="140" spans="2:19" x14ac:dyDescent="0.25">
      <c r="B140" s="58"/>
      <c r="C140" s="59" t="s">
        <v>139</v>
      </c>
      <c r="D140" s="30">
        <f>บ่าย!D140+'เช้า '!D140+'เย็น '!D140</f>
        <v>0</v>
      </c>
      <c r="E140" s="30">
        <f>บ่าย!E140+'เช้า '!E140+'เย็น '!E140</f>
        <v>0</v>
      </c>
      <c r="F140" s="30">
        <f>บ่าย!F140+'เช้า '!F140+'เย็น '!F140</f>
        <v>0</v>
      </c>
      <c r="G140" s="30">
        <f>บ่าย!G140+'เช้า '!G140+'เย็น '!G140</f>
        <v>0</v>
      </c>
      <c r="H140" s="30">
        <f>บ่าย!H140+'เช้า '!H140+'เย็น '!H140</f>
        <v>0</v>
      </c>
      <c r="I140" s="30">
        <f>บ่าย!I140+'เช้า '!I140+'เย็น '!I140</f>
        <v>0</v>
      </c>
      <c r="J140" s="30">
        <f t="shared" si="12"/>
        <v>0</v>
      </c>
      <c r="K140" s="30">
        <f>บ่าย!J140+'เช้า '!J140+'เย็น '!J140</f>
        <v>0</v>
      </c>
      <c r="L140" s="30">
        <f>บ่าย!K140+'เช้า '!K140+'เย็น '!K140</f>
        <v>0</v>
      </c>
      <c r="M140" s="36">
        <f t="shared" si="13"/>
        <v>0</v>
      </c>
      <c r="N140" s="57"/>
      <c r="O140" s="57"/>
      <c r="P140" s="57"/>
      <c r="Q140" s="57"/>
      <c r="R140" s="44"/>
    </row>
    <row r="141" spans="2:19" x14ac:dyDescent="0.25">
      <c r="B141" s="50">
        <v>20059548</v>
      </c>
      <c r="C141" s="49" t="s">
        <v>144</v>
      </c>
      <c r="D141" s="30">
        <f>บ่าย!D141+'เช้า '!D141+'เย็น '!D141</f>
        <v>0</v>
      </c>
      <c r="E141" s="30">
        <f>บ่าย!E141+'เช้า '!E141+'เย็น '!E141</f>
        <v>0</v>
      </c>
      <c r="F141" s="30">
        <f>บ่าย!F141+'เช้า '!F141+'เย็น '!F141</f>
        <v>0</v>
      </c>
      <c r="G141" s="30">
        <f>บ่าย!G141+'เช้า '!G141+'เย็น '!G141</f>
        <v>0</v>
      </c>
      <c r="H141" s="30">
        <f>บ่าย!H141+'เช้า '!H141+'เย็น '!H141</f>
        <v>0</v>
      </c>
      <c r="I141" s="30">
        <f>บ่าย!I141+'เช้า '!I141+'เย็น '!I141</f>
        <v>0</v>
      </c>
      <c r="J141" s="30">
        <f t="shared" si="12"/>
        <v>0</v>
      </c>
      <c r="K141" s="30">
        <f>บ่าย!J141+'เช้า '!J141+'เย็น '!J141</f>
        <v>0</v>
      </c>
      <c r="L141" s="30">
        <f>บ่าย!K141+'เช้า '!K141+'เย็น '!K141</f>
        <v>0</v>
      </c>
      <c r="M141" s="36">
        <f t="shared" si="13"/>
        <v>0</v>
      </c>
      <c r="N141" s="11"/>
      <c r="O141" s="11"/>
      <c r="P141" s="11"/>
      <c r="Q141" s="11"/>
      <c r="R141" s="44"/>
      <c r="S141" s="61"/>
    </row>
    <row r="142" spans="2:19" x14ac:dyDescent="0.25">
      <c r="B142" s="50">
        <v>20054646</v>
      </c>
      <c r="C142" s="49" t="s">
        <v>145</v>
      </c>
      <c r="D142" s="30">
        <f>บ่าย!D142+'เช้า '!D142+'เย็น '!D142</f>
        <v>0</v>
      </c>
      <c r="E142" s="30">
        <f>บ่าย!E142+'เช้า '!E142+'เย็น '!E142</f>
        <v>0</v>
      </c>
      <c r="F142" s="30">
        <f>บ่าย!F142+'เช้า '!F142+'เย็น '!F142</f>
        <v>0</v>
      </c>
      <c r="G142" s="30">
        <f>บ่าย!G142+'เช้า '!G142+'เย็น '!G142</f>
        <v>0</v>
      </c>
      <c r="H142" s="30">
        <f>บ่าย!H142+'เช้า '!H142+'เย็น '!H142</f>
        <v>0</v>
      </c>
      <c r="I142" s="30">
        <f>บ่าย!I142+'เช้า '!I142+'เย็น '!I142</f>
        <v>0</v>
      </c>
      <c r="J142" s="30">
        <f t="shared" si="12"/>
        <v>0</v>
      </c>
      <c r="K142" s="30">
        <f>บ่าย!J142+'เช้า '!J142+'เย็น '!J142</f>
        <v>0</v>
      </c>
      <c r="L142" s="30">
        <f>บ่าย!K142+'เช้า '!K142+'เย็น '!K142</f>
        <v>0</v>
      </c>
      <c r="M142" s="36">
        <f t="shared" si="13"/>
        <v>0</v>
      </c>
      <c r="N142" s="11"/>
      <c r="O142" s="11"/>
      <c r="P142" s="11"/>
      <c r="Q142" s="11"/>
      <c r="R142" s="44"/>
    </row>
    <row r="143" spans="2:19" x14ac:dyDescent="0.25">
      <c r="B143" s="50">
        <v>1100044</v>
      </c>
      <c r="C143" s="49" t="s">
        <v>147</v>
      </c>
      <c r="D143" s="30">
        <f>บ่าย!D143+'เช้า '!D143+'เย็น '!D143</f>
        <v>0</v>
      </c>
      <c r="E143" s="30">
        <f>บ่าย!E143+'เช้า '!E143+'เย็น '!E143</f>
        <v>0</v>
      </c>
      <c r="F143" s="30">
        <f>บ่าย!F143+'เช้า '!F143+'เย็น '!F143</f>
        <v>0</v>
      </c>
      <c r="G143" s="30">
        <f>บ่าย!G143+'เช้า '!G143+'เย็น '!G143</f>
        <v>0</v>
      </c>
      <c r="H143" s="30">
        <f>บ่าย!H143+'เช้า '!H143+'เย็น '!H143</f>
        <v>0</v>
      </c>
      <c r="I143" s="30">
        <f>บ่าย!I143+'เช้า '!I143+'เย็น '!I143</f>
        <v>0</v>
      </c>
      <c r="J143" s="30">
        <f t="shared" si="12"/>
        <v>0</v>
      </c>
      <c r="K143" s="30">
        <f>บ่าย!J143+'เช้า '!J143+'เย็น '!J143</f>
        <v>0</v>
      </c>
      <c r="L143" s="30">
        <f>บ่าย!K143+'เช้า '!K143+'เย็น '!K143</f>
        <v>0</v>
      </c>
      <c r="M143" s="36">
        <f t="shared" si="13"/>
        <v>0</v>
      </c>
      <c r="N143" s="11"/>
      <c r="O143" s="11"/>
      <c r="P143" s="11"/>
      <c r="Q143" s="11"/>
      <c r="R143" s="44"/>
    </row>
    <row r="144" spans="2:19" x14ac:dyDescent="0.25">
      <c r="B144" s="50"/>
      <c r="C144" s="49"/>
      <c r="D144" s="30">
        <f>บ่าย!D144+'เช้า '!D144+'เย็น '!D144</f>
        <v>0</v>
      </c>
      <c r="E144" s="30">
        <f>บ่าย!E144+'เช้า '!E144+'เย็น '!E144</f>
        <v>0</v>
      </c>
      <c r="F144" s="30">
        <f>บ่าย!F144+'เช้า '!F144+'เย็น '!F144</f>
        <v>0</v>
      </c>
      <c r="G144" s="30">
        <f>บ่าย!G144+'เช้า '!G144+'เย็น '!G144</f>
        <v>0</v>
      </c>
      <c r="H144" s="30">
        <f>บ่าย!H144+'เช้า '!H144+'เย็น '!H144</f>
        <v>0</v>
      </c>
      <c r="I144" s="30">
        <f>บ่าย!I144+'เช้า '!I144+'เย็น '!I144</f>
        <v>0</v>
      </c>
      <c r="J144" s="30">
        <f t="shared" si="12"/>
        <v>0</v>
      </c>
      <c r="K144" s="30">
        <f>บ่าย!J144+'เช้า '!J144+'เย็น '!J144</f>
        <v>0</v>
      </c>
      <c r="L144" s="30">
        <f>บ่าย!K144+'เช้า '!K144+'เย็น '!K144</f>
        <v>0</v>
      </c>
      <c r="M144" s="36">
        <f t="shared" si="13"/>
        <v>0</v>
      </c>
      <c r="N144" s="11"/>
      <c r="O144" s="11"/>
      <c r="P144" s="11"/>
      <c r="Q144" s="11"/>
      <c r="R144" s="44"/>
    </row>
    <row r="145" spans="2:18" x14ac:dyDescent="0.25">
      <c r="B145" s="50"/>
      <c r="C145" s="49"/>
      <c r="D145" s="30">
        <f>บ่าย!D145+'เช้า '!D145+'เย็น '!D145</f>
        <v>0</v>
      </c>
      <c r="E145" s="30">
        <f>บ่าย!E145+'เช้า '!E145+'เย็น '!E145</f>
        <v>0</v>
      </c>
      <c r="F145" s="30">
        <f>บ่าย!F145+'เช้า '!F145+'เย็น '!F145</f>
        <v>0</v>
      </c>
      <c r="G145" s="30">
        <f>บ่าย!G145+'เช้า '!G145+'เย็น '!G145</f>
        <v>0</v>
      </c>
      <c r="H145" s="30">
        <f>บ่าย!H145+'เช้า '!H145+'เย็น '!H145</f>
        <v>0</v>
      </c>
      <c r="I145" s="30">
        <f>บ่าย!I145+'เช้า '!I145+'เย็น '!I145</f>
        <v>0</v>
      </c>
      <c r="J145" s="30">
        <f t="shared" si="12"/>
        <v>0</v>
      </c>
      <c r="K145" s="30">
        <f>บ่าย!J145+'เช้า '!J145+'เย็น '!J145</f>
        <v>0</v>
      </c>
      <c r="L145" s="30">
        <f>บ่าย!K145+'เช้า '!K145+'เย็น '!K145</f>
        <v>0</v>
      </c>
      <c r="M145" s="36">
        <f t="shared" si="13"/>
        <v>0</v>
      </c>
      <c r="N145" s="11"/>
      <c r="O145" s="11"/>
      <c r="P145" s="11"/>
      <c r="Q145" s="11"/>
      <c r="R145" s="44"/>
    </row>
    <row r="146" spans="2:18" x14ac:dyDescent="0.25">
      <c r="B146" s="50"/>
      <c r="C146" s="49"/>
      <c r="D146" s="30">
        <f>บ่าย!D146+'เช้า '!D146+'เย็น '!D146</f>
        <v>0</v>
      </c>
      <c r="E146" s="30">
        <f>บ่าย!E146+'เช้า '!E146+'เย็น '!E146</f>
        <v>0</v>
      </c>
      <c r="F146" s="30">
        <f>บ่าย!F146+'เช้า '!F146+'เย็น '!F146</f>
        <v>0</v>
      </c>
      <c r="G146" s="30">
        <f>บ่าย!G146+'เช้า '!G146+'เย็น '!G146</f>
        <v>0</v>
      </c>
      <c r="H146" s="30">
        <f>บ่าย!H146+'เช้า '!H146+'เย็น '!H146</f>
        <v>0</v>
      </c>
      <c r="I146" s="30">
        <f>บ่าย!I146+'เช้า '!I146+'เย็น '!I146</f>
        <v>0</v>
      </c>
      <c r="J146" s="30">
        <f t="shared" si="12"/>
        <v>0</v>
      </c>
      <c r="K146" s="30">
        <f>บ่าย!J146+'เช้า '!J146+'เย็น '!J146</f>
        <v>0</v>
      </c>
      <c r="L146" s="30">
        <f>บ่าย!K146+'เช้า '!K146+'เย็น '!K146</f>
        <v>0</v>
      </c>
      <c r="M146" s="36">
        <f t="shared" si="13"/>
        <v>0</v>
      </c>
      <c r="N146" s="11"/>
      <c r="O146" s="11"/>
      <c r="P146" s="11"/>
      <c r="Q146" s="11"/>
      <c r="R146" s="44"/>
    </row>
    <row r="147" spans="2:18" x14ac:dyDescent="0.25">
      <c r="B147" s="50"/>
      <c r="C147" s="49"/>
      <c r="D147" s="30">
        <f>บ่าย!D147+'เช้า '!D147+'เย็น '!D147</f>
        <v>0</v>
      </c>
      <c r="E147" s="30">
        <f>บ่าย!E147+'เช้า '!E147+'เย็น '!E147</f>
        <v>0</v>
      </c>
      <c r="F147" s="30">
        <f>บ่าย!F147+'เช้า '!F147+'เย็น '!F147</f>
        <v>0</v>
      </c>
      <c r="G147" s="30">
        <f>บ่าย!G147+'เช้า '!G147+'เย็น '!G147</f>
        <v>0</v>
      </c>
      <c r="H147" s="30">
        <f>บ่าย!H147+'เช้า '!H147+'เย็น '!H147</f>
        <v>0</v>
      </c>
      <c r="I147" s="30">
        <f>บ่าย!I147+'เช้า '!I147+'เย็น '!I147</f>
        <v>0</v>
      </c>
      <c r="J147" s="30">
        <f t="shared" si="12"/>
        <v>0</v>
      </c>
      <c r="K147" s="30">
        <f>บ่าย!J147+'เช้า '!J147+'เย็น '!J147</f>
        <v>0</v>
      </c>
      <c r="L147" s="30">
        <f>บ่าย!K147+'เช้า '!K147+'เย็น '!K147</f>
        <v>0</v>
      </c>
      <c r="M147" s="36">
        <f t="shared" si="13"/>
        <v>0</v>
      </c>
      <c r="N147" s="11"/>
      <c r="O147" s="11"/>
      <c r="P147" s="11"/>
      <c r="Q147" s="11"/>
      <c r="R147" s="44"/>
    </row>
    <row r="148" spans="2:18" x14ac:dyDescent="0.25">
      <c r="B148" s="50"/>
      <c r="C148" s="49"/>
      <c r="D148" s="30">
        <f>บ่าย!D148+'เช้า '!D148+'เย็น '!D148</f>
        <v>0</v>
      </c>
      <c r="E148" s="30">
        <f>บ่าย!E148+'เช้า '!E148+'เย็น '!E148</f>
        <v>0</v>
      </c>
      <c r="F148" s="30">
        <f>บ่าย!F148+'เช้า '!F148+'เย็น '!F148</f>
        <v>0</v>
      </c>
      <c r="G148" s="30">
        <f>บ่าย!G148+'เช้า '!G148+'เย็น '!G148</f>
        <v>0</v>
      </c>
      <c r="H148" s="30">
        <f>บ่าย!H148+'เช้า '!H148+'เย็น '!H148</f>
        <v>0</v>
      </c>
      <c r="I148" s="30">
        <f>บ่าย!I148+'เช้า '!I148+'เย็น '!I148</f>
        <v>0</v>
      </c>
      <c r="J148" s="30">
        <f t="shared" si="12"/>
        <v>0</v>
      </c>
      <c r="K148" s="30">
        <f>บ่าย!J148+'เช้า '!J148+'เย็น '!J148</f>
        <v>0</v>
      </c>
      <c r="L148" s="30">
        <f>บ่าย!K148+'เช้า '!K148+'เย็น '!K148</f>
        <v>0</v>
      </c>
      <c r="M148" s="36">
        <f t="shared" si="13"/>
        <v>0</v>
      </c>
      <c r="N148" s="11"/>
      <c r="O148" s="11"/>
      <c r="P148" s="11"/>
      <c r="Q148" s="11"/>
      <c r="R148" s="44"/>
    </row>
    <row r="149" spans="2:18" x14ac:dyDescent="0.25">
      <c r="B149" s="50"/>
      <c r="C149" s="49"/>
      <c r="D149" s="30">
        <f>บ่าย!D149+'เช้า '!D149+'เย็น '!D149</f>
        <v>0</v>
      </c>
      <c r="E149" s="30">
        <f>บ่าย!E149+'เช้า '!E149+'เย็น '!E149</f>
        <v>0</v>
      </c>
      <c r="F149" s="30">
        <f>บ่าย!F149+'เช้า '!F149+'เย็น '!F149</f>
        <v>0</v>
      </c>
      <c r="G149" s="30">
        <f>บ่าย!G149+'เช้า '!G149+'เย็น '!G149</f>
        <v>0</v>
      </c>
      <c r="H149" s="30">
        <f>บ่าย!H149+'เช้า '!H149+'เย็น '!H149</f>
        <v>0</v>
      </c>
      <c r="I149" s="30">
        <f>บ่าย!I149+'เช้า '!I149+'เย็น '!I149</f>
        <v>0</v>
      </c>
      <c r="J149" s="30">
        <f t="shared" si="12"/>
        <v>0</v>
      </c>
      <c r="K149" s="30">
        <f>บ่าย!J149+'เช้า '!J149+'เย็น '!J149</f>
        <v>0</v>
      </c>
      <c r="L149" s="30">
        <f>บ่าย!K149+'เช้า '!K149+'เย็น '!K149</f>
        <v>0</v>
      </c>
      <c r="M149" s="36">
        <f t="shared" si="13"/>
        <v>0</v>
      </c>
      <c r="N149" s="11"/>
      <c r="O149" s="11"/>
      <c r="P149" s="11"/>
      <c r="Q149" s="11"/>
      <c r="R149" s="44"/>
    </row>
    <row r="150" spans="2:18" x14ac:dyDescent="0.25">
      <c r="B150" s="50"/>
      <c r="C150" s="49"/>
      <c r="D150" s="30">
        <f>บ่าย!D150+'เช้า '!D150+'เย็น '!D150</f>
        <v>0</v>
      </c>
      <c r="E150" s="30">
        <f>บ่าย!E150+'เช้า '!E150+'เย็น '!E150</f>
        <v>0</v>
      </c>
      <c r="F150" s="30">
        <f>บ่าย!F150+'เช้า '!F150+'เย็น '!F150</f>
        <v>0</v>
      </c>
      <c r="G150" s="30">
        <f>บ่าย!G150+'เช้า '!G150+'เย็น '!G150</f>
        <v>0</v>
      </c>
      <c r="H150" s="30">
        <f>บ่าย!H150+'เช้า '!H150+'เย็น '!H150</f>
        <v>0</v>
      </c>
      <c r="I150" s="30">
        <f>บ่าย!I150+'เช้า '!I150+'เย็น '!I150</f>
        <v>0</v>
      </c>
      <c r="J150" s="30">
        <f t="shared" si="12"/>
        <v>0</v>
      </c>
      <c r="K150" s="30">
        <f>บ่าย!J150+'เช้า '!J150+'เย็น '!J150</f>
        <v>0</v>
      </c>
      <c r="L150" s="30">
        <f>บ่าย!K150+'เช้า '!K150+'เย็น '!K150</f>
        <v>0</v>
      </c>
      <c r="M150" s="36">
        <f t="shared" si="13"/>
        <v>0</v>
      </c>
      <c r="N150" s="11"/>
      <c r="O150" s="11"/>
      <c r="P150" s="11"/>
      <c r="Q150" s="11"/>
      <c r="R150" s="44"/>
    </row>
    <row r="151" spans="2:18" x14ac:dyDescent="0.25">
      <c r="B151" s="50"/>
      <c r="C151" s="49"/>
      <c r="D151" s="30">
        <f>บ่าย!D151+'เช้า '!D151+'เย็น '!D151</f>
        <v>0</v>
      </c>
      <c r="E151" s="30">
        <f>บ่าย!E151+'เช้า '!E151+'เย็น '!E151</f>
        <v>0</v>
      </c>
      <c r="F151" s="30">
        <f>บ่าย!F151+'เช้า '!F151+'เย็น '!F151</f>
        <v>0</v>
      </c>
      <c r="G151" s="30">
        <f>บ่าย!G151+'เช้า '!G151+'เย็น '!G151</f>
        <v>0</v>
      </c>
      <c r="H151" s="30">
        <f>บ่าย!H151+'เช้า '!H151+'เย็น '!H151</f>
        <v>0</v>
      </c>
      <c r="I151" s="30">
        <f>บ่าย!I151+'เช้า '!I151+'เย็น '!I151</f>
        <v>0</v>
      </c>
      <c r="J151" s="30">
        <f t="shared" si="12"/>
        <v>0</v>
      </c>
      <c r="K151" s="30">
        <f>บ่าย!J151+'เช้า '!J151+'เย็น '!J151</f>
        <v>0</v>
      </c>
      <c r="L151" s="30">
        <f>บ่าย!K151+'เช้า '!K151+'เย็น '!K151</f>
        <v>0</v>
      </c>
      <c r="M151" s="36">
        <f t="shared" si="13"/>
        <v>0</v>
      </c>
      <c r="N151" s="11"/>
      <c r="O151" s="11"/>
      <c r="P151" s="11"/>
      <c r="Q151" s="11"/>
      <c r="R151" s="44">
        <f t="shared" si="11"/>
        <v>0</v>
      </c>
    </row>
    <row r="152" spans="2:18" ht="40.5" customHeight="1" x14ac:dyDescent="0.25">
      <c r="B152" s="11"/>
      <c r="C152" s="21"/>
      <c r="D152" s="60">
        <f>SUM(D114:D151,D90:D99,D79:D87,D69:D76,D7:D66,D102:D111)</f>
        <v>46</v>
      </c>
      <c r="E152" s="60">
        <f t="shared" ref="E152:R152" si="14">SUM(E114:E151,E90:E99,E79:E87,E69:E76,E7:E66,E102:E111)</f>
        <v>162</v>
      </c>
      <c r="F152" s="60">
        <f t="shared" si="14"/>
        <v>104</v>
      </c>
      <c r="G152" s="60">
        <f t="shared" si="14"/>
        <v>912</v>
      </c>
      <c r="H152" s="60">
        <f t="shared" si="14"/>
        <v>281</v>
      </c>
      <c r="I152" s="60">
        <f t="shared" si="14"/>
        <v>0</v>
      </c>
      <c r="J152" s="60"/>
      <c r="K152" s="60">
        <f t="shared" si="14"/>
        <v>0</v>
      </c>
      <c r="L152" s="60">
        <f t="shared" si="14"/>
        <v>0</v>
      </c>
      <c r="M152" s="60">
        <f t="shared" si="14"/>
        <v>1505</v>
      </c>
      <c r="N152" s="60">
        <f t="shared" si="14"/>
        <v>1677</v>
      </c>
      <c r="O152" s="60">
        <f t="shared" si="14"/>
        <v>3117</v>
      </c>
      <c r="P152" s="60">
        <f t="shared" si="14"/>
        <v>0</v>
      </c>
      <c r="Q152" s="60">
        <f t="shared" si="14"/>
        <v>2135</v>
      </c>
      <c r="R152" s="60">
        <f t="shared" si="14"/>
        <v>5424</v>
      </c>
    </row>
    <row r="153" spans="2:18" x14ac:dyDescent="0.25">
      <c r="B153" s="37"/>
      <c r="C153" s="35"/>
      <c r="D153" s="38"/>
      <c r="E153" s="38"/>
      <c r="F153" s="38"/>
      <c r="G153" s="38"/>
      <c r="H153" s="38"/>
      <c r="I153" s="38"/>
      <c r="J153" s="38"/>
      <c r="K153" s="38"/>
      <c r="L153" s="38"/>
      <c r="M153" s="39"/>
    </row>
    <row r="154" spans="2:18" x14ac:dyDescent="0.25">
      <c r="B154" s="37"/>
      <c r="C154" s="35"/>
      <c r="D154" s="38"/>
      <c r="E154" s="38"/>
      <c r="F154" s="38"/>
      <c r="G154" s="38"/>
      <c r="H154" s="38"/>
      <c r="I154" s="38"/>
      <c r="J154" s="38"/>
      <c r="K154" s="38"/>
      <c r="L154" s="38"/>
      <c r="M154" s="39"/>
    </row>
    <row r="155" spans="2:18" x14ac:dyDescent="0.25">
      <c r="C155" s="24"/>
      <c r="D155" s="31"/>
      <c r="E155" s="31"/>
      <c r="F155" s="31"/>
      <c r="G155" s="26"/>
      <c r="M155" s="40"/>
    </row>
    <row r="156" spans="2:18" x14ac:dyDescent="0.25">
      <c r="B156" s="31" t="s">
        <v>104</v>
      </c>
      <c r="C156" s="31"/>
      <c r="D156" s="32"/>
      <c r="E156" s="32"/>
      <c r="F156" s="32"/>
      <c r="G156" s="27"/>
      <c r="H156" s="26"/>
      <c r="I156" s="31" t="s">
        <v>104</v>
      </c>
      <c r="J156" s="31"/>
      <c r="K156" s="31"/>
      <c r="L156" s="31"/>
      <c r="M156" s="31"/>
    </row>
    <row r="157" spans="2:18" x14ac:dyDescent="0.25">
      <c r="B157" s="32" t="s">
        <v>105</v>
      </c>
      <c r="C157" s="32"/>
      <c r="D157" s="33"/>
      <c r="E157" s="33"/>
      <c r="F157" s="33"/>
      <c r="G157" s="33"/>
      <c r="H157" s="33"/>
      <c r="I157" s="32" t="s">
        <v>106</v>
      </c>
      <c r="J157" s="32"/>
      <c r="K157" s="32"/>
      <c r="L157" s="32"/>
      <c r="M157" s="32"/>
    </row>
    <row r="158" spans="2:18" x14ac:dyDescent="0.25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1"/>
      <c r="M158" s="34"/>
    </row>
    <row r="159" spans="2:18" ht="20.399999999999999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4"/>
    </row>
    <row r="160" spans="2:18" ht="20.399999999999999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4"/>
    </row>
    <row r="161" spans="2:13" ht="20.399999999999999" x14ac:dyDescent="0.2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4"/>
    </row>
    <row r="162" spans="2:13" ht="20.399999999999999" x14ac:dyDescent="0.25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4"/>
    </row>
    <row r="163" spans="2:13" ht="20.399999999999999" x14ac:dyDescent="0.25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4"/>
    </row>
    <row r="164" spans="2:13" x14ac:dyDescent="0.25">
      <c r="D164" s="31"/>
      <c r="E164" s="31"/>
      <c r="F164" s="31"/>
      <c r="G164" s="31"/>
      <c r="H164" s="31"/>
    </row>
    <row r="165" spans="2:13" x14ac:dyDescent="0.25">
      <c r="D165" s="31"/>
      <c r="E165" s="31"/>
      <c r="F165" s="31"/>
      <c r="G165" s="31"/>
      <c r="H165" s="31"/>
    </row>
    <row r="166" spans="2:13" x14ac:dyDescent="0.25">
      <c r="D166" s="31"/>
      <c r="E166" s="31"/>
      <c r="F166" s="31"/>
      <c r="G166" s="31"/>
      <c r="H166" s="31"/>
    </row>
    <row r="167" spans="2:13" x14ac:dyDescent="0.25">
      <c r="D167" s="31"/>
      <c r="E167" s="31"/>
      <c r="F167" s="31"/>
      <c r="G167" s="31"/>
      <c r="H167" s="31"/>
    </row>
    <row r="168" spans="2:13" x14ac:dyDescent="0.25">
      <c r="D168" s="31"/>
      <c r="E168" s="31"/>
      <c r="F168" s="31"/>
      <c r="G168" s="31"/>
      <c r="H168" s="31"/>
    </row>
    <row r="169" spans="2:13" x14ac:dyDescent="0.25">
      <c r="D169" s="31"/>
      <c r="E169" s="31"/>
      <c r="F169" s="31"/>
      <c r="G169" s="31"/>
      <c r="H169" s="31"/>
    </row>
    <row r="170" spans="2:13" x14ac:dyDescent="0.25">
      <c r="D170" s="31"/>
      <c r="E170" s="31"/>
      <c r="F170" s="31"/>
      <c r="G170" s="31"/>
      <c r="H170" s="31"/>
    </row>
    <row r="171" spans="2:13" x14ac:dyDescent="0.25">
      <c r="D171" s="31"/>
      <c r="E171" s="31"/>
      <c r="F171" s="31"/>
      <c r="G171" s="31"/>
      <c r="H171" s="31"/>
    </row>
    <row r="172" spans="2:13" x14ac:dyDescent="0.25">
      <c r="D172" s="31"/>
      <c r="E172" s="31"/>
      <c r="F172" s="31"/>
      <c r="G172" s="31"/>
      <c r="H172" s="31"/>
    </row>
    <row r="173" spans="2:13" x14ac:dyDescent="0.25">
      <c r="D173" s="31"/>
      <c r="E173" s="31"/>
      <c r="F173" s="31"/>
      <c r="G173" s="31"/>
      <c r="H173" s="31"/>
    </row>
    <row r="174" spans="2:13" x14ac:dyDescent="0.25">
      <c r="D174" s="31"/>
      <c r="E174" s="31"/>
      <c r="F174" s="31"/>
      <c r="G174" s="31"/>
      <c r="H174" s="31"/>
    </row>
  </sheetData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เช้า </vt:lpstr>
      <vt:lpstr>บ่าย</vt:lpstr>
      <vt:lpstr>เย็น 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SupTelesale</cp:lastModifiedBy>
  <cp:lastPrinted>2024-10-30T00:45:46Z</cp:lastPrinted>
  <dcterms:created xsi:type="dcterms:W3CDTF">2024-04-30T05:21:27Z</dcterms:created>
  <dcterms:modified xsi:type="dcterms:W3CDTF">2025-07-16T08:57:10Z</dcterms:modified>
</cp:coreProperties>
</file>