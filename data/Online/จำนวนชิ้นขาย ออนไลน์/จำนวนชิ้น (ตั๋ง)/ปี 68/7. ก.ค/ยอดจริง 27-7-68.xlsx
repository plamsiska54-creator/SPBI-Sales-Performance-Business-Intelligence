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6EF972B-D802-4DFD-A740-FE8332C51F42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2" i="5"/>
  <c r="Q143" i="5"/>
  <c r="Q144" i="5"/>
  <c r="Q145" i="5"/>
  <c r="Q146" i="5"/>
  <c r="Q147" i="5"/>
  <c r="Q148" i="5"/>
  <c r="Q149" i="5"/>
  <c r="Q150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<sst xmlns="http://schemas.openxmlformats.org/spreadsheetml/2006/main" count="633" uniqueCount="151">
  <si>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</si>
  <si>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</si>
  <si>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</si>
  <si>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</si>
  <si>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</si>
  <si>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</si>
  <si>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</si>
  <si>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</si>
  <si>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</si>
  <si>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</si>
  <si>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</si>
  <si>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</si>
  <si>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</si>
  <si>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</si>
  <si>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</si>
  <si>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</si>
  <si>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</si>
  <si>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</si>
  <si>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</si>
  <si>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</si>
  <si>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</si>
  <si>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</si>
  <si>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</si>
  <si>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</si>
  <si>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</si>
  <si>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</si>
  <si>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</si>
  <si>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</si>
  <si>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</si>
  <si>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</si>
  <si>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</si>
  <si>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</si>
  <si>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</si>
  <si>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</si>
  <si>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</si>
  <si>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</si>
  <si>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</si>
  <si>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</si>
  <si>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</si>
  <si>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</si>
  <si>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</si>
  <si>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</si>
  <si>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</si>
  <si>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</si>
  <si>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</si>
  <si>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</si>
  <si>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</si>
  <si>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</si>
  <si>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</si>
  <si>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</si>
  <si>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</si>
  <si>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</si>
  <si>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</si>
  <si>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</si>
  <si>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</si>
  <si>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</si>
  <si>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</si>
  <si>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</si>
  <si>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</si>
  <si>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</si>
  <si>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</si>
  <si>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</si>
  <si>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</si>
  <si>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</si>
  <si>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</si>
  <si>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</si>
  <si>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</si>
  <si>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</si>
  <si>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</si>
  <si>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</si>
  <si>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</si>
  <si>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</si>
  <si>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</si>
  <si>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</si>
  <si>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</si>
  <si>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</si>
  <si>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</si>
  <si>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</si>
  <si>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</si>
  <si>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</si>
  <si>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</si>
  <si>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</si>
  <si>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</si>
  <si>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</si>
  <si>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</si>
  <si>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</si>
  <si>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</si>
  <si>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</si>
  <si>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</si>
  <si>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</si>
  <si>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</si>
  <si>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</si>
  <si>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</si>
  <si>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</si>
  <si>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</si>
  <si>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</si>
  <si>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</si>
  <si>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</si>
  <si>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</si>
  <si>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</si>
  <si>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</si>
  <si>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</si>
  <si>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</si>
  <si>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</si>
  <si>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</si>
  <si>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</si>
  <si>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</si>
  <si>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</si>
  <si>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</si>
  <si>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</si>
  <si>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</si>
  <si>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</si>
  <si>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</si>
  <si>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</si>
  <si>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</si>
  <si>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</si>
  <si>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</si>
  <si>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</si>
  <si>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</si>
  <si>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</si>
  <si>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</si>
  <si>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</si>
  <si>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</si>
  <si>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</si>
  <si>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</si>
  <si>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</si>
  <si>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</si>
  <si>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</si>
  <si>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</si>
  <si>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</si>
  <si>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</si>
  <si>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</si>
  <si>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</si>
  <si>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</si>
  <si>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</si>
  <si>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</si>
  <si>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</si>
  <si>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</si>
  <si>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</si>
  <si>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</si>
  <si>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</si>
  <si>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</si>
  <si>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</si>
  <si>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</si>
  <si>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</si>
  <si>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</si>
  <si>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</si>
  <si>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</si>
  <si>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</si>
  <si>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27/7/68 เช้า</t>
  </si>
  <si>
    <t>ยอดจริง ออนไลน์ วันที่ 27/7/68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</si>
</sst>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1" zoomScale="60" zoomScaleNormal="60" workbookViewId="0">
      <selection activeCell="B1" sqref="B1:L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>
        <v>6</v>
      </c>
      <c r="F7" s="30">
        <v>13</v>
      </c>
      <c r="G7" s="30">
        <v>15</v>
      </c>
      <c r="H7" s="30"/>
      <c r="I7" s="30"/>
      <c r="J7" s="43"/>
      <c r="K7" s="43">
        <v>5</v>
      </c>
      <c r="L7" s="36">
        <f>SUM(D7:K7)</f>
        <v>39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/>
      <c r="G25" s="30">
        <v>1</v>
      </c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9</v>
      </c>
      <c r="H26" s="30"/>
      <c r="I26" s="30"/>
      <c r="J26" s="43"/>
      <c r="K26" s="43"/>
      <c r="L26" s="36">
        <f t="shared" si="0"/>
        <v>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>
      <c r="B44" s="11">
        <v>1111061</v>
      </c>
      <c r="C44" s="15" t="s">
        <v>34</v>
      </c>
      <c r="D44" s="30"/>
      <c r="E44" s="30">
        <v>3</v>
      </c>
      <c r="F44" s="30"/>
      <c r="G44" s="30"/>
      <c r="H44" s="30"/>
      <c r="I44" s="30"/>
      <c r="J44" s="43"/>
      <c r="K44" s="43"/>
      <c r="L44" s="36">
        <f t="shared" si="0"/>
        <v>3</v>
      </c>
    </row>
    <row r="45" spans="2:12">
      <c r="B45" s="11">
        <v>1111062</v>
      </c>
      <c r="C45" s="15" t="s">
        <v>35</v>
      </c>
      <c r="D45" s="30"/>
      <c r="E45" s="30">
        <v>3</v>
      </c>
      <c r="F45" s="30"/>
      <c r="G45" s="30"/>
      <c r="H45" s="30"/>
      <c r="I45" s="30"/>
      <c r="J45" s="43"/>
      <c r="K45" s="43"/>
      <c r="L45" s="36">
        <f t="shared" si="0"/>
        <v>3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>
        <v>2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>
      <c r="B51" s="11">
        <v>1111068</v>
      </c>
      <c r="C51" s="15" t="s">
        <v>41</v>
      </c>
      <c r="D51" s="30"/>
      <c r="E51" s="30">
        <v>2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88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>
        <v>2</v>
      </c>
      <c r="G69" s="30">
        <v>2</v>
      </c>
      <c r="H69" s="30"/>
      <c r="I69" s="30"/>
      <c r="J69" s="43"/>
      <c r="K69" s="43"/>
      <c r="L69" s="36">
        <f t="shared" ref="L69:L76" si="1">SUM(D69:K69)</f>
        <v>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>
        <v>3</v>
      </c>
      <c r="H87" s="30"/>
      <c r="I87" s="30"/>
      <c r="J87" s="43"/>
      <c r="K87" s="43"/>
      <c r="L87" s="36">
        <f t="shared" si="2"/>
        <v>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>
        <v>3</v>
      </c>
      <c r="F90" s="30"/>
      <c r="G90" s="30">
        <v>12</v>
      </c>
      <c r="H90" s="30"/>
      <c r="I90" s="30"/>
      <c r="J90" s="43"/>
      <c r="K90" s="43"/>
      <c r="L90" s="36">
        <f t="shared" ref="L90:L99" si="3">SUM(D90:K90)</f>
        <v>15</v>
      </c>
    </row>
    <row r="91" spans="2:12">
      <c r="B91" s="11">
        <v>1112011</v>
      </c>
      <c r="C91" s="19" t="s">
        <v>76</v>
      </c>
      <c r="D91" s="30"/>
      <c r="E91" s="30">
        <v>3</v>
      </c>
      <c r="F91" s="30"/>
      <c r="G91" s="30">
        <v>12</v>
      </c>
      <c r="H91" s="30"/>
      <c r="I91" s="30"/>
      <c r="J91" s="43"/>
      <c r="K91" s="43"/>
      <c r="L91" s="36">
        <f t="shared" si="3"/>
        <v>15</v>
      </c>
    </row>
    <row r="92" spans="2:12">
      <c r="B92" s="11">
        <v>1112003</v>
      </c>
      <c r="C92" s="19" t="s">
        <v>77</v>
      </c>
      <c r="D92" s="30"/>
      <c r="E92" s="30">
        <v>3</v>
      </c>
      <c r="F92" s="30"/>
      <c r="G92" s="30">
        <v>13</v>
      </c>
      <c r="H92" s="30"/>
      <c r="I92" s="30"/>
      <c r="J92" s="43"/>
      <c r="K92" s="43"/>
      <c r="L92" s="36">
        <f t="shared" si="3"/>
        <v>16</v>
      </c>
    </row>
    <row r="93" spans="2:12">
      <c r="B93" s="11">
        <v>1112005</v>
      </c>
      <c r="C93" s="19" t="s">
        <v>78</v>
      </c>
      <c r="D93" s="30"/>
      <c r="E93" s="30">
        <v>3</v>
      </c>
      <c r="F93" s="30"/>
      <c r="G93" s="30">
        <v>13</v>
      </c>
      <c r="H93" s="30"/>
      <c r="I93" s="30"/>
      <c r="J93" s="43"/>
      <c r="K93" s="43"/>
      <c r="L93" s="36">
        <f t="shared" si="3"/>
        <v>16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4</v>
      </c>
      <c r="F97" s="30"/>
      <c r="G97" s="30">
        <v>12</v>
      </c>
      <c r="H97" s="30"/>
      <c r="I97" s="30"/>
      <c r="J97" s="43"/>
      <c r="K97" s="43"/>
      <c r="L97" s="36">
        <f t="shared" si="3"/>
        <v>16</v>
      </c>
    </row>
    <row r="98" spans="2:12">
      <c r="B98" s="11">
        <v>1112013</v>
      </c>
      <c r="C98" s="19" t="s">
        <v>83</v>
      </c>
      <c r="D98" s="30"/>
      <c r="E98" s="30">
        <v>4</v>
      </c>
      <c r="F98" s="30"/>
      <c r="G98" s="30">
        <v>12</v>
      </c>
      <c r="H98" s="30"/>
      <c r="I98" s="30"/>
      <c r="J98" s="43"/>
      <c r="K98" s="43"/>
      <c r="L98" s="36">
        <f t="shared" si="3"/>
        <v>16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94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4</v>
      </c>
      <c r="F123" s="30"/>
      <c r="G123" s="30"/>
      <c r="H123" s="30"/>
      <c r="I123" s="30"/>
      <c r="J123" s="43"/>
      <c r="K123" s="43"/>
      <c r="L123" s="36">
        <f t="shared" si="5"/>
        <v>4</v>
      </c>
    </row>
    <row r="124" spans="2:12">
      <c r="B124" s="11">
        <v>1114502</v>
      </c>
      <c r="C124" s="21" t="s">
        <v>96</v>
      </c>
      <c r="D124" s="30"/>
      <c r="E124" s="30">
        <v>2</v>
      </c>
      <c r="F124" s="30"/>
      <c r="G124" s="30"/>
      <c r="H124" s="30"/>
      <c r="I124" s="30"/>
      <c r="J124" s="43"/>
      <c r="K124" s="43"/>
      <c r="L124" s="36">
        <f t="shared" si="5"/>
        <v>2</v>
      </c>
    </row>
    <row r="125" spans="2:12">
      <c r="B125" s="11">
        <v>1114503</v>
      </c>
      <c r="C125" s="21" t="s">
        <v>97</v>
      </c>
      <c r="D125" s="30"/>
      <c r="E125" s="30">
        <v>2</v>
      </c>
      <c r="F125" s="30"/>
      <c r="G125" s="30"/>
      <c r="H125" s="30"/>
      <c r="I125" s="30"/>
      <c r="J125" s="43"/>
      <c r="K125" s="43"/>
      <c r="L125" s="36">
        <f t="shared" si="5"/>
        <v>2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AA47" sqref="AA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6</v>
      </c>
      <c r="F7" s="30">
        <f>'เย็น '!F7+'เช้า '!F7+บ่าย!F7</f>
        <v>13</v>
      </c>
      <c r="G7" s="30">
        <f>'เย็น '!G7+'เช้า '!G7+บ่าย!G7</f>
        <v>15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39</v>
      </c>
      <c r="M7" s="11">
        <v>25</v>
      </c>
      <c r="N7" s="11"/>
      <c r="O7" s="11">
        <v>15</v>
      </c>
      <c r="P7" s="11">
        <v>50</v>
      </c>
      <c r="Q7" s="44">
        <f>(M7+N7+O7+P7)-L7</f>
        <v>51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/>
      <c r="N25" s="11"/>
      <c r="O25" s="11"/>
      <c r="P25" s="11"/>
      <c r="Q25" s="44">
        <f t="shared" si="1"/>
        <v>-10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</v>
      </c>
      <c r="M26" s="11">
        <v>30</v>
      </c>
      <c r="N26" s="11"/>
      <c r="O26" s="11"/>
      <c r="P26" s="11">
        <v>40</v>
      </c>
      <c r="Q26" s="44">
        <f t="shared" si="1"/>
        <v>61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3</v>
      </c>
      <c r="M44" s="11"/>
      <c r="N44" s="11"/>
      <c r="O44" s="11"/>
      <c r="P44" s="11"/>
      <c r="Q44" s="44">
        <f t="shared" si="1"/>
        <v>-3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3</v>
      </c>
      <c r="M45" s="11"/>
      <c r="N45" s="11"/>
      <c r="O45" s="11"/>
      <c r="P45" s="11"/>
      <c r="Q45" s="44">
        <f t="shared" si="1"/>
        <v>-3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2</v>
      </c>
      <c r="M50" s="11"/>
      <c r="N50" s="11"/>
      <c r="O50" s="11"/>
      <c r="P50" s="11"/>
      <c r="Q50" s="44">
        <f t="shared" si="1"/>
        <v>-2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2</v>
      </c>
      <c r="M51" s="11"/>
      <c r="N51" s="11"/>
      <c r="O51" s="11"/>
      <c r="P51" s="11"/>
      <c r="Q51" s="44">
        <f t="shared" si="1"/>
        <v>-2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2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4</v>
      </c>
      <c r="M69" s="11"/>
      <c r="N69" s="11">
        <v>10</v>
      </c>
      <c r="O69" s="11"/>
      <c r="P69" s="11">
        <v>10</v>
      </c>
      <c r="Q69" s="44">
        <f t="shared" ref="Q69:Q76" si="5">(M69+N69+O69+P69)-L69</f>
        <v>16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</v>
      </c>
      <c r="M87" s="11"/>
      <c r="N87" s="11">
        <v>76</v>
      </c>
      <c r="O87" s="11"/>
      <c r="P87" s="11"/>
      <c r="Q87" s="44">
        <f t="shared" si="8"/>
        <v>70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3</v>
      </c>
      <c r="F90" s="30">
        <f>'เย็น '!F90+'เช้า '!F90+บ่าย!F90</f>
        <v>0</v>
      </c>
      <c r="G90" s="30">
        <f>'เย็น '!G90+'เช้า '!G90+บ่าย!G90</f>
        <v>12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15</v>
      </c>
      <c r="M90" s="11">
        <v>20</v>
      </c>
      <c r="N90" s="11"/>
      <c r="O90" s="11"/>
      <c r="P90" s="11">
        <v>30</v>
      </c>
      <c r="Q90" s="44">
        <f t="shared" ref="Q90:Q100" si="10">(M90+N90+O90+P90)-L90</f>
        <v>35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3</v>
      </c>
      <c r="F91" s="30">
        <f>'เย็น '!F91+'เช้า '!F91+บ่าย!F91</f>
        <v>0</v>
      </c>
      <c r="G91" s="30">
        <f>'เย็น '!G91+'เช้า '!G91+บ่าย!G91</f>
        <v>12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15</v>
      </c>
      <c r="M91" s="11">
        <v>20</v>
      </c>
      <c r="N91" s="11"/>
      <c r="O91" s="11"/>
      <c r="P91" s="11">
        <v>30</v>
      </c>
      <c r="Q91" s="44">
        <f t="shared" si="10"/>
        <v>35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3</v>
      </c>
      <c r="F92" s="30">
        <f>'เย็น '!F92+'เช้า '!F92+บ่าย!F92</f>
        <v>0</v>
      </c>
      <c r="G92" s="30">
        <f>'เย็น '!G92+'เช้า '!G92+บ่าย!G92</f>
        <v>13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16</v>
      </c>
      <c r="M92" s="11">
        <v>20</v>
      </c>
      <c r="N92" s="11"/>
      <c r="O92" s="11"/>
      <c r="P92" s="11">
        <v>30</v>
      </c>
      <c r="Q92" s="44">
        <f t="shared" si="10"/>
        <v>34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3</v>
      </c>
      <c r="F93" s="30">
        <f>'เย็น '!F93+'เช้า '!F93+บ่าย!F93</f>
        <v>0</v>
      </c>
      <c r="G93" s="30">
        <f>'เย็น '!G93+'เช้า '!G93+บ่าย!G93</f>
        <v>13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16</v>
      </c>
      <c r="M93" s="11">
        <v>20</v>
      </c>
      <c r="N93" s="11"/>
      <c r="O93" s="11"/>
      <c r="P93" s="11">
        <v>30</v>
      </c>
      <c r="Q93" s="44">
        <f t="shared" si="10"/>
        <v>34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4</v>
      </c>
      <c r="F97" s="30">
        <f>'เย็น '!F97+'เช้า '!F97+บ่าย!F97</f>
        <v>0</v>
      </c>
      <c r="G97" s="30">
        <f>'เย็น '!G97+'เช้า '!G97+บ่าย!G97</f>
        <v>12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16</v>
      </c>
      <c r="M97" s="11">
        <v>20</v>
      </c>
      <c r="N97" s="11">
        <v>3</v>
      </c>
      <c r="O97" s="11"/>
      <c r="P97" s="11">
        <v>30</v>
      </c>
      <c r="Q97" s="44">
        <f t="shared" si="10"/>
        <v>37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4</v>
      </c>
      <c r="F98" s="30">
        <f>'เย็น '!F98+'เช้า '!F98+บ่าย!F98</f>
        <v>0</v>
      </c>
      <c r="G98" s="30">
        <f>'เย็น '!G98+'เช้า '!G98+บ่าย!G98</f>
        <v>12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16</v>
      </c>
      <c r="M98" s="11">
        <v>20</v>
      </c>
      <c r="N98" s="11">
        <v>2</v>
      </c>
      <c r="O98" s="11"/>
      <c r="P98" s="11">
        <v>30</v>
      </c>
      <c r="Q98" s="44">
        <f t="shared" si="10"/>
        <v>36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94</v>
      </c>
      <c r="M100" s="11">
        <f>SUM(M90:M99)</f>
        <v>120</v>
      </c>
      <c r="N100" s="11">
        <f>SUM(N90:N99)</f>
        <v>5</v>
      </c>
      <c r="O100" s="11">
        <f>SUM(O90:O99)</f>
        <v>0</v>
      </c>
      <c r="P100" s="11">
        <f>SUM(P90:P99)</f>
        <v>180</v>
      </c>
      <c r="Q100" s="44">
        <f t="shared" si="10"/>
        <v>211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4</v>
      </c>
      <c r="F123" s="30">
        <f>บ่าย!F123+'เช้า '!F123+'เย็น '!F123</f>
        <v>0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</v>
      </c>
      <c r="M123" s="11"/>
      <c r="N123" s="11">
        <v>157</v>
      </c>
      <c r="O123" s="11"/>
      <c r="P123" s="11"/>
      <c r="Q123" s="44">
        <f t="shared" si="14"/>
        <v>153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2</v>
      </c>
      <c r="F124" s="30">
        <f>บ่าย!F124+'เช้า '!F124+'เย็น '!F124</f>
        <v>0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2</v>
      </c>
      <c r="M124" s="11"/>
      <c r="N124" s="11">
        <v>129</v>
      </c>
      <c r="O124" s="11"/>
      <c r="P124" s="11"/>
      <c r="Q124" s="44">
        <f t="shared" si="14"/>
        <v>127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0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2</v>
      </c>
      <c r="M125" s="11"/>
      <c r="N125" s="11">
        <v>145</v>
      </c>
      <c r="O125" s="11"/>
      <c r="P125" s="11"/>
      <c r="Q125" s="44">
        <f t="shared" si="14"/>
        <v>143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0</v>
      </c>
      <c r="M126" s="11"/>
      <c r="N126" s="11"/>
      <c r="O126" s="11"/>
      <c r="P126" s="11">
        <v>15</v>
      </c>
      <c r="Q126" s="44">
        <f t="shared" si="14"/>
        <v>15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4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>
        <v>90</v>
      </c>
      <c r="Q142" s="44">
        <f t="shared" si="14"/>
        <v>90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>
        <f t="shared" si="14"/>
        <v>0</v>
      </c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0</v>
      </c>
      <c r="E152" s="60">
        <f t="shared" ref="E152:Q152" si="15">SUM(E114:E151,E90:E99,E79:E87,E69:E76,E7:E66,E102:E111)</f>
        <v>82</v>
      </c>
      <c r="F152" s="60">
        <f t="shared" si="15"/>
        <v>15</v>
      </c>
      <c r="G152" s="60">
        <f t="shared" si="15"/>
        <v>104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5</v>
      </c>
      <c r="L152" s="60">
        <f t="shared" si="15"/>
        <v>206</v>
      </c>
      <c r="M152" s="60">
        <f t="shared" si="15"/>
        <v>175</v>
      </c>
      <c r="N152" s="60">
        <f t="shared" si="15"/>
        <v>522</v>
      </c>
      <c r="O152" s="60">
        <f t="shared" si="15"/>
        <v>15</v>
      </c>
      <c r="P152" s="60">
        <f t="shared" si="15"/>
        <v>385</v>
      </c>
      <c r="Q152" s="60">
        <f t="shared" si="15"/>
        <v>891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2025-07-27T00:49:15Z</cp:lastPrinted>
  <dcterms:created xsi:type="dcterms:W3CDTF">2024-04-30T05:21:27Z</dcterms:created>
  <dcterms:modified xsi:type="dcterms:W3CDTF">2025-07-27T01:43:22Z</dcterms:modified>
</cp:coreProperties>
</file>