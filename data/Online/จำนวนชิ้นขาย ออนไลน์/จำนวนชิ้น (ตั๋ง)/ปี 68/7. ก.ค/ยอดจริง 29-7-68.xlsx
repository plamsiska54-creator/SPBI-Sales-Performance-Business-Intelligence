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54B621FA-F716-4258-911A-541501D3F933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3" i="5" l="1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D103" i="5"/>
  <c r="E103" i="5"/>
  <c r="F103" i="5"/>
  <c r="G103" i="5"/>
  <c r="H103" i="5"/>
  <c r="I103" i="5"/>
  <c r="J103" i="5"/>
  <c r="K103" i="5"/>
  <c r="D104" i="5"/>
  <c r="E104" i="5"/>
  <c r="F104" i="5"/>
  <c r="G104" i="5"/>
  <c r="H104" i="5"/>
  <c r="I104" i="5"/>
  <c r="J104" i="5"/>
  <c r="K104" i="5"/>
  <c r="D105" i="5"/>
  <c r="E105" i="5"/>
  <c r="F105" i="5"/>
  <c r="G105" i="5"/>
  <c r="H105" i="5"/>
  <c r="I105" i="5"/>
  <c r="J105" i="5"/>
  <c r="K105" i="5"/>
  <c r="D106" i="5"/>
  <c r="E106" i="5"/>
  <c r="F106" i="5"/>
  <c r="G106" i="5"/>
  <c r="H106" i="5"/>
  <c r="I106" i="5"/>
  <c r="J106" i="5"/>
  <c r="K106" i="5"/>
  <c r="D107" i="5"/>
  <c r="E107" i="5"/>
  <c r="F107" i="5"/>
  <c r="G107" i="5"/>
  <c r="H107" i="5"/>
  <c r="I107" i="5"/>
  <c r="J107" i="5"/>
  <c r="K107" i="5"/>
  <c r="D108" i="5"/>
  <c r="E108" i="5"/>
  <c r="F108" i="5"/>
  <c r="G108" i="5"/>
  <c r="H108" i="5"/>
  <c r="I108" i="5"/>
  <c r="J108" i="5"/>
  <c r="K108" i="5"/>
  <c r="D109" i="5"/>
  <c r="E109" i="5"/>
  <c r="F109" i="5"/>
  <c r="G109" i="5"/>
  <c r="H109" i="5"/>
  <c r="I109" i="5"/>
  <c r="J109" i="5"/>
  <c r="K109" i="5"/>
  <c r="D110" i="5"/>
  <c r="E110" i="5"/>
  <c r="F110" i="5"/>
  <c r="G110" i="5"/>
  <c r="H110" i="5"/>
  <c r="I110" i="5"/>
  <c r="J110" i="5"/>
  <c r="K110" i="5"/>
  <c r="D111" i="5"/>
  <c r="E111" i="5"/>
  <c r="F111" i="5"/>
  <c r="G111" i="5"/>
  <c r="H111" i="5"/>
  <c r="I111" i="5"/>
  <c r="J111" i="5"/>
  <c r="K111" i="5"/>
  <c r="E102" i="5"/>
  <c r="F102" i="5"/>
  <c r="G102" i="5"/>
  <c r="H102" i="5"/>
  <c r="I102" i="5"/>
  <c r="J102" i="5"/>
  <c r="K102" i="5"/>
  <c r="D142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K141" i="5"/>
  <c r="E142" i="5"/>
  <c r="F142" i="5"/>
  <c r="G142" i="5"/>
  <c r="H142" i="5"/>
  <c r="I142" i="5"/>
  <c r="J142" i="5"/>
  <c r="K142" i="5"/>
  <c r="D143" i="5"/>
  <c r="E143" i="5"/>
  <c r="F143" i="5"/>
  <c r="G143" i="5"/>
  <c r="H143" i="5"/>
  <c r="I143" i="5"/>
  <c r="J143" i="5"/>
  <c r="K143" i="5"/>
  <c r="D144" i="5"/>
  <c r="E144" i="5"/>
  <c r="F144" i="5"/>
  <c r="G144" i="5"/>
  <c r="H144" i="5"/>
  <c r="I144" i="5"/>
  <c r="J144" i="5"/>
  <c r="K144" i="5"/>
  <c r="D145" i="5"/>
  <c r="E145" i="5"/>
  <c r="F145" i="5"/>
  <c r="G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L151" i="5" s="1"/>
  <c r="Q151" i="5" s="1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P100" i="5"/>
  <c r="O100" i="5"/>
  <c r="N100" i="5"/>
  <c r="M100" i="5"/>
  <c r="P112" i="5"/>
  <c r="O112" i="5"/>
  <c r="N112" i="5"/>
  <c r="M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K152" i="5" l="1"/>
  <c r="H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L131" i="5"/>
  <c r="Q131" i="5" s="1"/>
  <c r="Q132" i="5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2" i="5"/>
  <c r="D99" i="5"/>
  <c r="D152" i="5" s="1"/>
  <c r="E99" i="5"/>
  <c r="E152" i="5" s="1"/>
  <c r="F99" i="5"/>
  <c r="G99" i="5"/>
  <c r="G152" i="5" s="1"/>
  <c r="H99" i="5"/>
  <c r="I99" i="5"/>
  <c r="I152" i="5" s="1"/>
  <c r="J99" i="5"/>
  <c r="J152" i="5" s="1"/>
  <c r="D66" i="5"/>
  <c r="E66" i="5"/>
  <c r="F66" i="5"/>
  <c r="F152" i="5" s="1"/>
  <c r="G66" i="5"/>
  <c r="H66" i="5"/>
  <c r="I66" i="5"/>
  <c r="J66" i="5"/>
  <c r="Q129" i="5" l="1"/>
  <c r="Q114" i="5"/>
  <c r="Q90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52" i="5" l="1"/>
  <c r="L152" i="5"/>
  <c r="L100" i="5"/>
  <c r="Q100" i="5" s="1"/>
  <c r="Q102" i="5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<sst xmlns="http://schemas.openxmlformats.org/spreadsheetml/2006/main" count="633" uniqueCount="151">
  <si>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</si>
  <si>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</si>
  <si>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</si>
  <si>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</si>
  <si>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</si>
  <si>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</si>
  <si>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</si>
  <si>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</si>
  <si>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</si>
  <si>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</si>
  <si>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</si>
  <si>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</si>
  <si>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</si>
  <si>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</si>
  <si>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</si>
  <si>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</si>
  <si>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</si>
  <si>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</si>
  <si>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</si>
  <si>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</si>
  <si>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</si>
  <si>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</si>
  <si>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</si>
  <si>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</si>
  <si>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</si>
  <si>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</si>
  <si>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</si>
  <si>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</si>
  <si>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</si>
  <si>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</si>
  <si>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</si>
  <si>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</si>
  <si>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</si>
  <si>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</si>
  <si>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</si>
  <si>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</si>
  <si>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</si>
  <si>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</si>
  <si>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</si>
  <si>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</si>
  <si>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</si>
  <si>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</si>
  <si>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</si>
  <si>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</si>
  <si>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</si>
  <si>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</si>
  <si>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</si>
  <si>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</si>
  <si>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</si>
  <si>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</si>
  <si>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</si>
  <si>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</si>
  <si>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</si>
  <si>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</si>
  <si>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</si>
  <si>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</si>
  <si>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</si>
  <si>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</si>
  <si>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</si>
  <si>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</si>
  <si>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</si>
  <si>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</si>
  <si>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</si>
  <si>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</si>
  <si>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</si>
  <si>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</si>
  <si>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</si>
  <si>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</si>
  <si>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</si>
  <si>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</si>
  <si>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</si>
  <si>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</si>
  <si>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</si>
  <si>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</si>
  <si>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</si>
  <si>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</si>
  <si>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</si>
  <si>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</si>
  <si>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</si>
  <si>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</si>
  <si>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</si>
  <si>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</si>
  <si>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</si>
  <si>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</si>
  <si>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</si>
  <si>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</si>
  <si>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</si>
  <si>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</si>
  <si>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</si>
  <si>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</si>
  <si>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</si>
  <si>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</si>
  <si>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</si>
  <si>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</si>
  <si>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</si>
  <si>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</si>
  <si>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</si>
  <si>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</si>
  <si>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</si>
  <si>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</si>
  <si>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</si>
  <si>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</si>
  <si>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</si>
  <si>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</si>
  <si>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</si>
  <si>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</si>
  <si>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</si>
  <si>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</si>
  <si>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</si>
  <si>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</si>
  <si>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</si>
  <si>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</si>
  <si>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</si>
  <si>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</si>
  <si>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</si>
  <si>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</si>
  <si>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</si>
  <si>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</si>
  <si>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</si>
  <si>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</si>
  <si>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</si>
  <si>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</si>
  <si>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</si>
  <si>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</si>
  <si>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</si>
  <si>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</si>
  <si>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</si>
  <si>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</si>
  <si>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</si>
  <si>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</si>
  <si>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</si>
  <si>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</si>
  <si>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</si>
  <si>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</si>
  <si>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</si>
  <si>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</si>
  <si>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</si>
  <si>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</si>
  <si>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</si>
  <si>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</si>
  <si>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</si>
  <si>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</si>
  <si>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</si>
  <si>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</si>
  <si>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</si>
  <si>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</si>
  <si>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</si>
  <si>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</si>
  <si>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ชิฟฟ่อน 8 ชิ้น ขนุนล้วน</t>
  </si>
  <si>
    <t>ยอดจริง ออนไลน์ วันที่ 29/7/68 รวม</t>
  </si>
  <si>
    <t>ยอดจริง ออนไลน์ วันที่ 29/7/68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</si>
</sst>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126" zoomScale="60" zoomScaleNormal="60" workbookViewId="0">
      <selection activeCell="B1" sqref="B1:L146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150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>
        <v>35</v>
      </c>
      <c r="E7" s="30">
        <v>10</v>
      </c>
      <c r="F7" s="30">
        <v>24</v>
      </c>
      <c r="G7" s="30">
        <v>9</v>
      </c>
      <c r="H7" s="30"/>
      <c r="I7" s="30"/>
      <c r="J7" s="43"/>
      <c r="K7" s="43">
        <v>20</v>
      </c>
      <c r="L7" s="36">
        <f>SUM(D7:K7)</f>
        <v>98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3</v>
      </c>
      <c r="F25" s="30">
        <v>3</v>
      </c>
      <c r="G25" s="30">
        <v>3</v>
      </c>
      <c r="H25" s="30"/>
      <c r="I25" s="30"/>
      <c r="J25" s="43"/>
      <c r="K25" s="43"/>
      <c r="L25" s="36">
        <f t="shared" si="0"/>
        <v>9</v>
      </c>
    </row>
    <row r="26" spans="2:12">
      <c r="B26" s="11">
        <v>1004055</v>
      </c>
      <c r="C26" s="15" t="s">
        <v>108</v>
      </c>
      <c r="D26" s="30"/>
      <c r="E26" s="30">
        <v>4</v>
      </c>
      <c r="F26" s="30"/>
      <c r="G26" s="30">
        <v>21</v>
      </c>
      <c r="H26" s="30"/>
      <c r="I26" s="30"/>
      <c r="J26" s="43"/>
      <c r="K26" s="43"/>
      <c r="L26" s="36">
        <f t="shared" si="0"/>
        <v>25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>
        <v>1</v>
      </c>
      <c r="G56" s="30"/>
      <c r="H56" s="30"/>
      <c r="I56" s="30"/>
      <c r="J56" s="43"/>
      <c r="K56" s="43"/>
      <c r="L56" s="36">
        <f t="shared" si="0"/>
        <v>1</v>
      </c>
    </row>
    <row r="57" spans="2:12">
      <c r="B57" s="11">
        <v>1111075</v>
      </c>
      <c r="C57" s="15" t="s">
        <v>45</v>
      </c>
      <c r="D57" s="30"/>
      <c r="E57" s="30"/>
      <c r="F57" s="30">
        <v>1</v>
      </c>
      <c r="G57" s="30"/>
      <c r="H57" s="30"/>
      <c r="I57" s="30"/>
      <c r="J57" s="43"/>
      <c r="K57" s="43"/>
      <c r="L57" s="36">
        <f t="shared" si="0"/>
        <v>1</v>
      </c>
    </row>
    <row r="58" spans="2:12">
      <c r="B58" s="11">
        <v>1111076</v>
      </c>
      <c r="C58" s="15" t="s">
        <v>46</v>
      </c>
      <c r="D58" s="30"/>
      <c r="E58" s="30"/>
      <c r="F58" s="30">
        <v>1</v>
      </c>
      <c r="G58" s="30"/>
      <c r="H58" s="30"/>
      <c r="I58" s="30"/>
      <c r="J58" s="43"/>
      <c r="K58" s="43"/>
      <c r="L58" s="36">
        <f t="shared" si="0"/>
        <v>1</v>
      </c>
    </row>
    <row r="59" spans="2:12">
      <c r="B59" s="11">
        <v>1111077</v>
      </c>
      <c r="C59" s="15" t="s">
        <v>47</v>
      </c>
      <c r="D59" s="30"/>
      <c r="E59" s="30"/>
      <c r="F59" s="30">
        <v>1</v>
      </c>
      <c r="G59" s="30"/>
      <c r="H59" s="30"/>
      <c r="I59" s="30"/>
      <c r="J59" s="43"/>
      <c r="K59" s="43"/>
      <c r="L59" s="36">
        <f t="shared" si="0"/>
        <v>1</v>
      </c>
    </row>
    <row r="60" spans="2:12">
      <c r="B60" s="11">
        <v>1111078</v>
      </c>
      <c r="C60" s="15" t="s">
        <v>48</v>
      </c>
      <c r="D60" s="30"/>
      <c r="E60" s="30"/>
      <c r="F60" s="30">
        <v>1</v>
      </c>
      <c r="G60" s="30"/>
      <c r="H60" s="30"/>
      <c r="I60" s="30"/>
      <c r="J60" s="43"/>
      <c r="K60" s="43"/>
      <c r="L60" s="36">
        <f t="shared" si="0"/>
        <v>1</v>
      </c>
    </row>
    <row r="61" spans="2:12">
      <c r="B61" s="11">
        <v>1111079</v>
      </c>
      <c r="C61" s="15" t="s">
        <v>49</v>
      </c>
      <c r="D61" s="30"/>
      <c r="E61" s="30"/>
      <c r="F61" s="30">
        <v>1</v>
      </c>
      <c r="G61" s="30"/>
      <c r="H61" s="30"/>
      <c r="I61" s="30"/>
      <c r="J61" s="43"/>
      <c r="K61" s="43"/>
      <c r="L61" s="36">
        <f t="shared" si="0"/>
        <v>1</v>
      </c>
    </row>
    <row r="62" spans="2:12">
      <c r="B62" s="11">
        <v>1111080</v>
      </c>
      <c r="C62" s="15" t="s">
        <v>50</v>
      </c>
      <c r="D62" s="30"/>
      <c r="E62" s="30"/>
      <c r="F62" s="30">
        <v>1</v>
      </c>
      <c r="G62" s="30"/>
      <c r="H62" s="30"/>
      <c r="I62" s="30"/>
      <c r="J62" s="43"/>
      <c r="K62" s="43"/>
      <c r="L62" s="36">
        <f t="shared" si="0"/>
        <v>1</v>
      </c>
    </row>
    <row r="63" spans="2:12">
      <c r="B63" s="11">
        <v>1111081</v>
      </c>
      <c r="C63" s="15" t="s">
        <v>51</v>
      </c>
      <c r="D63" s="30"/>
      <c r="E63" s="30"/>
      <c r="F63" s="30">
        <v>1</v>
      </c>
      <c r="G63" s="30"/>
      <c r="H63" s="30"/>
      <c r="I63" s="30"/>
      <c r="J63" s="43"/>
      <c r="K63" s="43"/>
      <c r="L63" s="36">
        <f t="shared" si="0"/>
        <v>1</v>
      </c>
    </row>
    <row r="64" spans="2:12">
      <c r="B64" s="11">
        <v>1111082</v>
      </c>
      <c r="C64" s="15" t="s">
        <v>52</v>
      </c>
      <c r="D64" s="30"/>
      <c r="E64" s="30"/>
      <c r="F64" s="30">
        <v>1</v>
      </c>
      <c r="G64" s="30"/>
      <c r="H64" s="30"/>
      <c r="I64" s="30"/>
      <c r="J64" s="43"/>
      <c r="K64" s="43"/>
      <c r="L64" s="36">
        <f t="shared" si="0"/>
        <v>1</v>
      </c>
    </row>
    <row r="65" spans="2:12">
      <c r="B65" s="11">
        <v>1111083</v>
      </c>
      <c r="C65" s="15" t="s">
        <v>53</v>
      </c>
      <c r="D65" s="30"/>
      <c r="E65" s="30"/>
      <c r="F65" s="30">
        <v>1</v>
      </c>
      <c r="G65" s="30"/>
      <c r="H65" s="30"/>
      <c r="I65" s="30"/>
      <c r="J65" s="43"/>
      <c r="K65" s="43"/>
      <c r="L65" s="36">
        <f t="shared" si="0"/>
        <v>1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142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>
        <v>3</v>
      </c>
      <c r="F69" s="30"/>
      <c r="G69" s="30"/>
      <c r="H69" s="30"/>
      <c r="I69" s="30"/>
      <c r="J69" s="43"/>
      <c r="K69" s="43"/>
      <c r="L69" s="36">
        <f t="shared" ref="L69:L76" si="1">SUM(D69:K69)</f>
        <v>3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>
        <v>10</v>
      </c>
      <c r="L71" s="36">
        <f t="shared" si="1"/>
        <v>10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13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>
        <v>3</v>
      </c>
      <c r="F87" s="30"/>
      <c r="G87" s="30">
        <v>21</v>
      </c>
      <c r="H87" s="30"/>
      <c r="I87" s="30"/>
      <c r="J87" s="43"/>
      <c r="K87" s="43"/>
      <c r="L87" s="36">
        <f t="shared" si="2"/>
        <v>24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24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>
        <v>1</v>
      </c>
      <c r="E90" s="30"/>
      <c r="F90" s="30">
        <v>1</v>
      </c>
      <c r="G90" s="30">
        <v>38</v>
      </c>
      <c r="H90" s="30"/>
      <c r="I90" s="30"/>
      <c r="J90" s="43"/>
      <c r="K90" s="43">
        <v>5</v>
      </c>
      <c r="L90" s="36">
        <f t="shared" ref="L90:L99" si="3">SUM(D90:K90)</f>
        <v>45</v>
      </c>
    </row>
    <row r="91" spans="2:12">
      <c r="B91" s="11">
        <v>1112011</v>
      </c>
      <c r="C91" s="19" t="s">
        <v>76</v>
      </c>
      <c r="D91" s="30">
        <v>5</v>
      </c>
      <c r="E91" s="30"/>
      <c r="F91" s="30"/>
      <c r="G91" s="30">
        <v>38</v>
      </c>
      <c r="H91" s="30"/>
      <c r="I91" s="30"/>
      <c r="J91" s="43"/>
      <c r="K91" s="43">
        <v>5</v>
      </c>
      <c r="L91" s="36">
        <f t="shared" si="3"/>
        <v>48</v>
      </c>
    </row>
    <row r="92" spans="2:12">
      <c r="B92" s="11">
        <v>1112003</v>
      </c>
      <c r="C92" s="19" t="s">
        <v>77</v>
      </c>
      <c r="D92" s="30">
        <v>4</v>
      </c>
      <c r="E92" s="30"/>
      <c r="F92" s="30"/>
      <c r="G92" s="30">
        <v>40</v>
      </c>
      <c r="H92" s="30"/>
      <c r="I92" s="30"/>
      <c r="J92" s="43"/>
      <c r="K92" s="43"/>
      <c r="L92" s="36">
        <f t="shared" si="3"/>
        <v>44</v>
      </c>
    </row>
    <row r="93" spans="2:12">
      <c r="B93" s="11">
        <v>1112005</v>
      </c>
      <c r="C93" s="19" t="s">
        <v>78</v>
      </c>
      <c r="D93" s="30">
        <v>4</v>
      </c>
      <c r="E93" s="30"/>
      <c r="F93" s="30"/>
      <c r="G93" s="30">
        <v>36</v>
      </c>
      <c r="H93" s="30"/>
      <c r="I93" s="30"/>
      <c r="J93" s="43"/>
      <c r="K93" s="43">
        <v>5</v>
      </c>
      <c r="L93" s="36">
        <f t="shared" si="3"/>
        <v>45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1</v>
      </c>
      <c r="E97" s="30"/>
      <c r="F97" s="30">
        <v>1</v>
      </c>
      <c r="G97" s="30">
        <v>40</v>
      </c>
      <c r="H97" s="30"/>
      <c r="I97" s="30"/>
      <c r="J97" s="43"/>
      <c r="K97" s="43"/>
      <c r="L97" s="36">
        <f t="shared" si="3"/>
        <v>42</v>
      </c>
    </row>
    <row r="98" spans="2:12">
      <c r="B98" s="11">
        <v>1112013</v>
      </c>
      <c r="C98" s="19" t="s">
        <v>83</v>
      </c>
      <c r="D98" s="30">
        <v>1</v>
      </c>
      <c r="E98" s="30"/>
      <c r="F98" s="30">
        <v>1</v>
      </c>
      <c r="G98" s="30">
        <v>41</v>
      </c>
      <c r="H98" s="30"/>
      <c r="I98" s="30"/>
      <c r="J98" s="43"/>
      <c r="K98" s="43">
        <v>5</v>
      </c>
      <c r="L98" s="36">
        <f t="shared" si="3"/>
        <v>48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272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>
        <v>10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10</v>
      </c>
    </row>
    <row r="115" spans="2:12">
      <c r="B115" s="11">
        <v>1113171</v>
      </c>
      <c r="C115" s="21" t="s">
        <v>88</v>
      </c>
      <c r="D115" s="30">
        <v>10</v>
      </c>
      <c r="E115" s="30"/>
      <c r="F115" s="30"/>
      <c r="G115" s="30"/>
      <c r="H115" s="30"/>
      <c r="I115" s="30"/>
      <c r="J115" s="43"/>
      <c r="K115" s="43"/>
      <c r="L115" s="36">
        <f t="shared" si="5"/>
        <v>10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>
        <v>11</v>
      </c>
      <c r="F123" s="30">
        <v>1</v>
      </c>
      <c r="G123" s="30">
        <v>62</v>
      </c>
      <c r="H123" s="30"/>
      <c r="I123" s="30"/>
      <c r="J123" s="43"/>
      <c r="K123" s="43"/>
      <c r="L123" s="36">
        <f t="shared" si="5"/>
        <v>74</v>
      </c>
    </row>
    <row r="124" spans="2:12">
      <c r="B124" s="11">
        <v>1114502</v>
      </c>
      <c r="C124" s="21" t="s">
        <v>96</v>
      </c>
      <c r="D124" s="30"/>
      <c r="E124" s="30">
        <v>1</v>
      </c>
      <c r="F124" s="30">
        <v>1</v>
      </c>
      <c r="G124" s="30">
        <v>50</v>
      </c>
      <c r="H124" s="30"/>
      <c r="I124" s="30"/>
      <c r="J124" s="43"/>
      <c r="K124" s="43"/>
      <c r="L124" s="36">
        <f t="shared" si="5"/>
        <v>52</v>
      </c>
    </row>
    <row r="125" spans="2:12">
      <c r="B125" s="11">
        <v>1114503</v>
      </c>
      <c r="C125" s="21" t="s">
        <v>97</v>
      </c>
      <c r="D125" s="30"/>
      <c r="E125" s="30">
        <v>2</v>
      </c>
      <c r="F125" s="30">
        <v>4</v>
      </c>
      <c r="G125" s="30">
        <v>50</v>
      </c>
      <c r="H125" s="30"/>
      <c r="I125" s="30"/>
      <c r="J125" s="43"/>
      <c r="K125" s="43"/>
      <c r="L125" s="36">
        <f t="shared" si="5"/>
        <v>56</v>
      </c>
    </row>
    <row r="126" spans="2:12">
      <c r="B126" s="11">
        <v>1124021</v>
      </c>
      <c r="C126" s="21" t="s">
        <v>98</v>
      </c>
      <c r="D126" s="30"/>
      <c r="E126" s="30">
        <v>4</v>
      </c>
      <c r="F126" s="30">
        <v>3</v>
      </c>
      <c r="G126" s="30">
        <v>20</v>
      </c>
      <c r="H126" s="30"/>
      <c r="I126" s="30"/>
      <c r="J126" s="43"/>
      <c r="K126" s="43"/>
      <c r="L126" s="36">
        <f t="shared" si="5"/>
        <v>27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>
      <c r="B142" s="50">
        <v>20054646</v>
      </c>
      <c r="C142" s="49" t="s">
        <v>145</v>
      </c>
      <c r="D142" s="21"/>
      <c r="E142" s="48"/>
      <c r="F142" s="51"/>
      <c r="G142" s="78">
        <v>12</v>
      </c>
      <c r="H142" s="9"/>
      <c r="I142" s="9"/>
      <c r="J142" s="9"/>
      <c r="K142" s="9"/>
      <c r="L142" s="36">
        <f t="shared" si="6"/>
        <v>12</v>
      </c>
    </row>
    <row r="143" spans="2:12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C148" sqref="C14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C147" sqref="C147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topLeftCell="B1" zoomScale="50" zoomScaleNormal="50" workbookViewId="0">
      <selection activeCell="V56" sqref="V56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63" t="s">
        <v>149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7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  <c r="M2" s="72" t="s">
        <v>127</v>
      </c>
      <c r="N2" s="72" t="s">
        <v>130</v>
      </c>
      <c r="O2" s="72" t="s">
        <v>140</v>
      </c>
      <c r="P2" s="72" t="s">
        <v>141</v>
      </c>
      <c r="Q2" s="75" t="s">
        <v>1</v>
      </c>
    </row>
    <row r="3" spans="2:17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  <c r="M3" s="73"/>
      <c r="N3" s="73"/>
      <c r="O3" s="73"/>
      <c r="P3" s="73"/>
      <c r="Q3" s="76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4"/>
      <c r="N4" s="74"/>
      <c r="O4" s="74"/>
      <c r="P4" s="74"/>
      <c r="Q4" s="77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71"/>
    </row>
    <row r="7" spans="2:17">
      <c r="B7" s="11">
        <v>1111002</v>
      </c>
      <c r="C7" s="15" t="s">
        <v>107</v>
      </c>
      <c r="D7" s="30">
        <f>'เย็น '!D7+'เช้า '!D7+บ่าย!D7</f>
        <v>35</v>
      </c>
      <c r="E7" s="30">
        <f>'เย็น '!E7+'เช้า '!E7+บ่าย!E7</f>
        <v>10</v>
      </c>
      <c r="F7" s="30">
        <f>'เย็น '!F7+'เช้า '!F7+บ่าย!F7</f>
        <v>24</v>
      </c>
      <c r="G7" s="30">
        <f>'เย็น '!G7+'เช้า '!G7+บ่าย!G7</f>
        <v>9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20</v>
      </c>
      <c r="L7" s="36">
        <f>SUM(D7:K7)</f>
        <v>98</v>
      </c>
      <c r="M7" s="11">
        <v>70</v>
      </c>
      <c r="N7" s="11">
        <v>12</v>
      </c>
      <c r="O7" s="11">
        <v>20</v>
      </c>
      <c r="P7" s="11">
        <v>50</v>
      </c>
      <c r="Q7" s="44">
        <f>(M7+N7+O7+P7)-L7</f>
        <v>54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3</v>
      </c>
      <c r="F25" s="30">
        <f>'เย็น '!F25+'เช้า '!F25+บ่าย!F25</f>
        <v>3</v>
      </c>
      <c r="G25" s="30">
        <f>'เย็น '!G25+'เช้า '!G25+บ่าย!G25</f>
        <v>3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9</v>
      </c>
      <c r="M25" s="11"/>
      <c r="N25" s="11">
        <v>4</v>
      </c>
      <c r="O25" s="11"/>
      <c r="P25" s="11"/>
      <c r="Q25" s="44">
        <f t="shared" si="1"/>
        <v>-5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4</v>
      </c>
      <c r="F26" s="30">
        <f>'เย็น '!F26+'เช้า '!F26+บ่าย!F26</f>
        <v>0</v>
      </c>
      <c r="G26" s="30">
        <f>'เย็น '!G26+'เช้า '!G26+บ่าย!G26</f>
        <v>21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25</v>
      </c>
      <c r="M26" s="11">
        <v>40</v>
      </c>
      <c r="N26" s="11">
        <v>5</v>
      </c>
      <c r="O26" s="11"/>
      <c r="P26" s="11">
        <v>40</v>
      </c>
      <c r="Q26" s="44">
        <f t="shared" si="1"/>
        <v>60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1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1</v>
      </c>
      <c r="M56" s="11"/>
      <c r="N56" s="11"/>
      <c r="O56" s="11"/>
      <c r="P56" s="11"/>
      <c r="Q56" s="44">
        <f t="shared" si="1"/>
        <v>-1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1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1</v>
      </c>
      <c r="M57" s="11"/>
      <c r="N57" s="11"/>
      <c r="O57" s="11"/>
      <c r="P57" s="11"/>
      <c r="Q57" s="44">
        <f t="shared" si="1"/>
        <v>-1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1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1</v>
      </c>
      <c r="M58" s="11"/>
      <c r="N58" s="11"/>
      <c r="O58" s="11"/>
      <c r="P58" s="11"/>
      <c r="Q58" s="44">
        <f t="shared" si="1"/>
        <v>-1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1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1</v>
      </c>
      <c r="M59" s="11"/>
      <c r="N59" s="11"/>
      <c r="O59" s="11"/>
      <c r="P59" s="11"/>
      <c r="Q59" s="44">
        <f t="shared" si="1"/>
        <v>-1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1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1</v>
      </c>
      <c r="M60" s="11"/>
      <c r="N60" s="11"/>
      <c r="O60" s="11"/>
      <c r="P60" s="11"/>
      <c r="Q60" s="44">
        <f t="shared" si="1"/>
        <v>-1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1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1</v>
      </c>
      <c r="M61" s="11"/>
      <c r="N61" s="11"/>
      <c r="O61" s="11"/>
      <c r="P61" s="11"/>
      <c r="Q61" s="44">
        <f t="shared" si="1"/>
        <v>-1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1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1</v>
      </c>
      <c r="M62" s="11"/>
      <c r="N62" s="11"/>
      <c r="O62" s="11"/>
      <c r="P62" s="11"/>
      <c r="Q62" s="44">
        <f t="shared" si="1"/>
        <v>-1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1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1</v>
      </c>
      <c r="M63" s="11"/>
      <c r="N63" s="11"/>
      <c r="O63" s="11"/>
      <c r="P63" s="11"/>
      <c r="Q63" s="44">
        <f t="shared" si="1"/>
        <v>-1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1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1</v>
      </c>
      <c r="M64" s="11"/>
      <c r="N64" s="11"/>
      <c r="O64" s="11"/>
      <c r="P64" s="11"/>
      <c r="Q64" s="44">
        <f t="shared" si="1"/>
        <v>-1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1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1</v>
      </c>
      <c r="M65" s="11"/>
      <c r="N65" s="11"/>
      <c r="O65" s="11"/>
      <c r="P65" s="11"/>
      <c r="Q65" s="44">
        <f t="shared" si="1"/>
        <v>-1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71"/>
    </row>
    <row r="69" spans="2:20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3</v>
      </c>
      <c r="F69" s="30">
        <f>'เย็น '!F69+'เช้า '!F69+บ่าย!F69</f>
        <v>0</v>
      </c>
      <c r="G69" s="30">
        <f>'เย็น '!G69+'เช้า '!G69+บ่าย!G69</f>
        <v>0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3</v>
      </c>
      <c r="M69" s="11">
        <v>10</v>
      </c>
      <c r="N69" s="11">
        <v>1</v>
      </c>
      <c r="O69" s="11"/>
      <c r="P69" s="11">
        <v>10</v>
      </c>
      <c r="Q69" s="44">
        <f t="shared" ref="Q69:Q76" si="5">(M69+N69+O69+P69)-L69</f>
        <v>18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10</v>
      </c>
      <c r="L71" s="36">
        <f t="shared" si="4"/>
        <v>10</v>
      </c>
      <c r="M71" s="11"/>
      <c r="N71" s="11"/>
      <c r="O71" s="11">
        <v>10</v>
      </c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71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3</v>
      </c>
      <c r="F87" s="30">
        <f>'เย็น '!F87+'เช้า '!F87+บ่าย!F87</f>
        <v>0</v>
      </c>
      <c r="G87" s="30">
        <f>'เย็น '!G87+'เช้า '!G87+บ่าย!G87</f>
        <v>21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24</v>
      </c>
      <c r="M87" s="11">
        <v>40</v>
      </c>
      <c r="N87" s="11"/>
      <c r="O87" s="11"/>
      <c r="P87" s="11">
        <v>40</v>
      </c>
      <c r="Q87" s="44">
        <f t="shared" si="8"/>
        <v>56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71"/>
    </row>
    <row r="90" spans="2:17">
      <c r="B90" s="11">
        <v>1112009</v>
      </c>
      <c r="C90" s="19" t="s">
        <v>75</v>
      </c>
      <c r="D90" s="30">
        <f>'เย็น '!D90+'เช้า '!D90+บ่าย!D90</f>
        <v>1</v>
      </c>
      <c r="E90" s="30">
        <f>'เย็น '!E90+'เช้า '!E90+บ่าย!E90</f>
        <v>0</v>
      </c>
      <c r="F90" s="30">
        <f>'เย็น '!F90+'เช้า '!F90+บ่าย!F90</f>
        <v>1</v>
      </c>
      <c r="G90" s="30">
        <f>'เย็น '!G90+'เช้า '!G90+บ่าย!G90</f>
        <v>38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5</v>
      </c>
      <c r="L90" s="36">
        <f t="shared" ref="L90:L99" si="9">SUM(D90:K90)</f>
        <v>45</v>
      </c>
      <c r="M90" s="11">
        <v>35</v>
      </c>
      <c r="N90" s="11">
        <v>10</v>
      </c>
      <c r="O90" s="11"/>
      <c r="P90" s="11">
        <v>30</v>
      </c>
      <c r="Q90" s="44">
        <f t="shared" ref="Q90:Q100" si="10">(M90+N90+O90+P90)-L90</f>
        <v>30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5</v>
      </c>
      <c r="E91" s="30">
        <f>'เย็น '!E91+'เช้า '!E91+บ่าย!E91</f>
        <v>0</v>
      </c>
      <c r="F91" s="30">
        <f>'เย็น '!F91+'เช้า '!F91+บ่าย!F91</f>
        <v>0</v>
      </c>
      <c r="G91" s="30">
        <f>'เย็น '!G91+'เช้า '!G91+บ่าย!G91</f>
        <v>38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5</v>
      </c>
      <c r="L91" s="36">
        <f t="shared" si="9"/>
        <v>48</v>
      </c>
      <c r="M91" s="11">
        <v>35</v>
      </c>
      <c r="N91" s="11">
        <v>5</v>
      </c>
      <c r="O91" s="11">
        <v>8</v>
      </c>
      <c r="P91" s="11">
        <v>30</v>
      </c>
      <c r="Q91" s="44">
        <f t="shared" si="10"/>
        <v>30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4</v>
      </c>
      <c r="E92" s="30">
        <f>'เย็น '!E92+'เช้า '!E92+บ่าย!E92</f>
        <v>0</v>
      </c>
      <c r="F92" s="30">
        <f>'เย็น '!F92+'เช้า '!F92+บ่าย!F92</f>
        <v>0</v>
      </c>
      <c r="G92" s="30">
        <f>'เย็น '!G92+'เช้า '!G92+บ่าย!G92</f>
        <v>40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44</v>
      </c>
      <c r="M92" s="11">
        <v>30</v>
      </c>
      <c r="N92" s="11">
        <v>6</v>
      </c>
      <c r="O92" s="11">
        <v>8</v>
      </c>
      <c r="P92" s="11">
        <v>30</v>
      </c>
      <c r="Q92" s="44">
        <f t="shared" si="10"/>
        <v>30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4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36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5</v>
      </c>
      <c r="L93" s="36">
        <f t="shared" si="9"/>
        <v>45</v>
      </c>
      <c r="M93" s="11">
        <v>35</v>
      </c>
      <c r="N93" s="11">
        <v>10</v>
      </c>
      <c r="O93" s="11"/>
      <c r="P93" s="11">
        <v>30</v>
      </c>
      <c r="Q93" s="44">
        <f t="shared" si="10"/>
        <v>30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1</v>
      </c>
      <c r="E97" s="30">
        <f>'เย็น '!E97+'เช้า '!E97+บ่าย!E97</f>
        <v>0</v>
      </c>
      <c r="F97" s="30">
        <f>'เย็น '!F97+'เช้า '!F97+บ่าย!F97</f>
        <v>1</v>
      </c>
      <c r="G97" s="30">
        <f>'เย็น '!G97+'เช้า '!G97+บ่าย!G97</f>
        <v>40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42</v>
      </c>
      <c r="M97" s="11">
        <v>30</v>
      </c>
      <c r="N97" s="11">
        <v>7</v>
      </c>
      <c r="O97" s="11">
        <v>5</v>
      </c>
      <c r="P97" s="11">
        <v>30</v>
      </c>
      <c r="Q97" s="44">
        <f t="shared" si="10"/>
        <v>30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1</v>
      </c>
      <c r="E98" s="30">
        <f>'เย็น '!E98+'เช้า '!E98+บ่าย!E98</f>
        <v>0</v>
      </c>
      <c r="F98" s="30">
        <f>'เย็น '!F98+'เช้า '!F98+บ่าย!F98</f>
        <v>1</v>
      </c>
      <c r="G98" s="30">
        <f>'เย็น '!G98+'เช้า '!G98+บ่าย!G98</f>
        <v>41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5</v>
      </c>
      <c r="L98" s="36">
        <f t="shared" si="9"/>
        <v>48</v>
      </c>
      <c r="M98" s="11">
        <v>35</v>
      </c>
      <c r="N98" s="11">
        <v>8</v>
      </c>
      <c r="O98" s="11">
        <v>5</v>
      </c>
      <c r="P98" s="11">
        <v>30</v>
      </c>
      <c r="Q98" s="44">
        <f t="shared" si="10"/>
        <v>30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272</v>
      </c>
      <c r="M100" s="11">
        <f>SUM(M90:M99)</f>
        <v>200</v>
      </c>
      <c r="N100" s="11">
        <f>SUM(N90:N99)</f>
        <v>46</v>
      </c>
      <c r="O100" s="11">
        <f>SUM(O90:O99)</f>
        <v>26</v>
      </c>
      <c r="P100" s="11">
        <f>SUM(P90:P99)</f>
        <v>180</v>
      </c>
      <c r="Q100" s="44">
        <f t="shared" si="10"/>
        <v>180</v>
      </c>
    </row>
    <row r="101" spans="2:17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71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30">
        <f>บ่าย!K102+'เช้า '!K102+'เย็น '!K102</f>
        <v>0</v>
      </c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30">
        <f>บ่าย!K103+'เช้า '!K103+'เย็น '!K103</f>
        <v>0</v>
      </c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30">
        <f>บ่าย!K104+'เช้า '!K104+'เย็น '!K104</f>
        <v>0</v>
      </c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30">
        <f>บ่าย!K105+'เช้า '!K105+'เย็น '!K105</f>
        <v>0</v>
      </c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30">
        <f>บ่าย!K106+'เช้า '!K106+'เย็น '!K106</f>
        <v>0</v>
      </c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30">
        <f>บ่าย!K107+'เช้า '!K107+'เย็น '!K107</f>
        <v>0</v>
      </c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30">
        <f>บ่าย!K108+'เช้า '!K108+'เย็น '!K108</f>
        <v>0</v>
      </c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30">
        <f>บ่าย!K109+'เช้า '!K109+'เย็น '!K109</f>
        <v>0</v>
      </c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30">
        <f>บ่าย!K110+'เช้า '!K110+'เย็น '!K110</f>
        <v>0</v>
      </c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30">
        <f>บ่าย!K111+'เช้า '!K111+'เย็น '!K111</f>
        <v>0</v>
      </c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71"/>
    </row>
    <row r="114" spans="2:17">
      <c r="B114" s="11">
        <v>1113170</v>
      </c>
      <c r="C114" s="21" t="s">
        <v>87</v>
      </c>
      <c r="D114" s="30">
        <f>บ่าย!D114+'เช้า '!D114+'เย็น '!D114</f>
        <v>10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10</v>
      </c>
      <c r="M114" s="11"/>
      <c r="N114" s="11"/>
      <c r="O114" s="11">
        <v>10</v>
      </c>
      <c r="P114" s="11"/>
      <c r="Q114" s="44">
        <f t="shared" ref="Q114:Q151" si="14">(M114+N114+O114+P114)-L114</f>
        <v>0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10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10</v>
      </c>
      <c r="M115" s="11"/>
      <c r="N115" s="11"/>
      <c r="O115" s="11">
        <v>10</v>
      </c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0</v>
      </c>
      <c r="E123" s="30">
        <f>บ่าย!E123+'เช้า '!E123+'เย็น '!E123</f>
        <v>11</v>
      </c>
      <c r="F123" s="30">
        <f>บ่าย!F123+'เช้า '!F123+'เย็น '!F123</f>
        <v>1</v>
      </c>
      <c r="G123" s="30">
        <f>บ่าย!G123+'เช้า '!G123+'เย็น '!G123</f>
        <v>62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74</v>
      </c>
      <c r="M123" s="11"/>
      <c r="N123" s="11">
        <v>20</v>
      </c>
      <c r="O123" s="11">
        <v>54</v>
      </c>
      <c r="P123" s="11">
        <v>146</v>
      </c>
      <c r="Q123" s="44">
        <f t="shared" si="14"/>
        <v>146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0</v>
      </c>
      <c r="E124" s="30">
        <f>บ่าย!E124+'เช้า '!E124+'เย็น '!E124</f>
        <v>1</v>
      </c>
      <c r="F124" s="30">
        <f>บ่าย!F124+'เช้า '!F124+'เย็น '!F124</f>
        <v>1</v>
      </c>
      <c r="G124" s="30">
        <f>บ่าย!G124+'เช้า '!G124+'เย็น '!G124</f>
        <v>50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52</v>
      </c>
      <c r="M124" s="11"/>
      <c r="N124" s="11">
        <v>7</v>
      </c>
      <c r="O124" s="11">
        <v>45</v>
      </c>
      <c r="P124" s="11">
        <v>105</v>
      </c>
      <c r="Q124" s="44">
        <f t="shared" si="14"/>
        <v>105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0</v>
      </c>
      <c r="E125" s="30">
        <f>บ่าย!E125+'เช้า '!E125+'เย็น '!E125</f>
        <v>2</v>
      </c>
      <c r="F125" s="30">
        <f>บ่าย!F125+'เช้า '!F125+'เย็น '!F125</f>
        <v>4</v>
      </c>
      <c r="G125" s="30">
        <f>บ่าย!G125+'เช้า '!G125+'เย็น '!G125</f>
        <v>50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56</v>
      </c>
      <c r="M125" s="11"/>
      <c r="N125" s="11">
        <v>24</v>
      </c>
      <c r="O125" s="11">
        <v>32</v>
      </c>
      <c r="P125" s="11">
        <v>118</v>
      </c>
      <c r="Q125" s="44">
        <f t="shared" si="14"/>
        <v>118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4</v>
      </c>
      <c r="F126" s="30">
        <f>บ่าย!F126+'เช้า '!F126+'เย็น '!F126</f>
        <v>3</v>
      </c>
      <c r="G126" s="30">
        <f>บ่าย!G126+'เช้า '!G126+'เย็น '!G126</f>
        <v>20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27</v>
      </c>
      <c r="M126" s="11">
        <v>15</v>
      </c>
      <c r="N126" s="11">
        <v>4</v>
      </c>
      <c r="O126" s="11">
        <v>8</v>
      </c>
      <c r="P126" s="11">
        <v>15</v>
      </c>
      <c r="Q126" s="44">
        <f t="shared" si="14"/>
        <v>15</v>
      </c>
    </row>
    <row r="127" spans="2:17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8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0</v>
      </c>
      <c r="L137" s="36">
        <f t="shared" si="13"/>
        <v>0</v>
      </c>
      <c r="M137" s="11"/>
      <c r="N137" s="11"/>
      <c r="O137" s="11"/>
      <c r="P137" s="11"/>
      <c r="Q137" s="44">
        <f t="shared" si="14"/>
        <v>0</v>
      </c>
    </row>
    <row r="138" spans="2:18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>
        <f t="shared" si="13"/>
        <v>0</v>
      </c>
      <c r="M140" s="57"/>
      <c r="N140" s="57"/>
      <c r="O140" s="57"/>
      <c r="P140" s="57"/>
      <c r="Q140" s="44">
        <f t="shared" si="14"/>
        <v>0</v>
      </c>
    </row>
    <row r="141" spans="2:18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>
        <f t="shared" si="13"/>
        <v>0</v>
      </c>
      <c r="M141" s="11"/>
      <c r="N141" s="11"/>
      <c r="O141" s="11"/>
      <c r="P141" s="11"/>
      <c r="Q141" s="44">
        <f t="shared" si="14"/>
        <v>0</v>
      </c>
      <c r="R141" s="61"/>
    </row>
    <row r="142" spans="2:18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12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>
        <f t="shared" si="13"/>
        <v>12</v>
      </c>
      <c r="M142" s="11"/>
      <c r="N142" s="11">
        <v>7</v>
      </c>
      <c r="O142" s="11">
        <v>5</v>
      </c>
      <c r="P142" s="11">
        <v>90</v>
      </c>
      <c r="Q142" s="44">
        <f t="shared" si="14"/>
        <v>90</v>
      </c>
    </row>
    <row r="143" spans="2:18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>
        <f t="shared" si="13"/>
        <v>0</v>
      </c>
      <c r="M143" s="11"/>
      <c r="N143" s="11"/>
      <c r="O143" s="11"/>
      <c r="P143" s="11"/>
      <c r="Q143" s="44">
        <f t="shared" si="14"/>
        <v>0</v>
      </c>
    </row>
    <row r="144" spans="2:18">
      <c r="B144" s="50">
        <v>1100045</v>
      </c>
      <c r="C144" s="49" t="s">
        <v>148</v>
      </c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>
        <f t="shared" si="13"/>
        <v>0</v>
      </c>
      <c r="M144" s="11"/>
      <c r="N144" s="11"/>
      <c r="O144" s="11"/>
      <c r="P144" s="11"/>
      <c r="Q144" s="44">
        <f t="shared" si="14"/>
        <v>0</v>
      </c>
    </row>
    <row r="145" spans="2:17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>
        <f t="shared" si="13"/>
        <v>0</v>
      </c>
      <c r="M145" s="11"/>
      <c r="N145" s="11"/>
      <c r="O145" s="11"/>
      <c r="P145" s="11"/>
      <c r="Q145" s="44">
        <f t="shared" si="14"/>
        <v>0</v>
      </c>
    </row>
    <row r="146" spans="2:17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>
        <f t="shared" si="13"/>
        <v>0</v>
      </c>
      <c r="M146" s="11"/>
      <c r="N146" s="11"/>
      <c r="O146" s="11"/>
      <c r="P146" s="11"/>
      <c r="Q146" s="44">
        <f t="shared" si="14"/>
        <v>0</v>
      </c>
    </row>
    <row r="147" spans="2:17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>
        <f t="shared" si="13"/>
        <v>0</v>
      </c>
      <c r="M147" s="11"/>
      <c r="N147" s="11"/>
      <c r="O147" s="11"/>
      <c r="P147" s="11"/>
      <c r="Q147" s="44">
        <f t="shared" si="14"/>
        <v>0</v>
      </c>
    </row>
    <row r="148" spans="2:17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/>
      <c r="M148" s="11"/>
      <c r="N148" s="11"/>
      <c r="O148" s="11"/>
      <c r="P148" s="11"/>
      <c r="Q148" s="44"/>
    </row>
    <row r="149" spans="2:17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/>
      <c r="M149" s="11"/>
      <c r="N149" s="11"/>
      <c r="O149" s="11"/>
      <c r="P149" s="11"/>
      <c r="Q149" s="44"/>
    </row>
    <row r="150" spans="2:17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/>
      <c r="M150" s="11"/>
      <c r="N150" s="11"/>
      <c r="O150" s="11"/>
      <c r="P150" s="11"/>
      <c r="Q150" s="44"/>
    </row>
    <row r="151" spans="2:17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71</v>
      </c>
      <c r="E152" s="60">
        <f t="shared" ref="E152:Q152" si="15">SUM(E114:E151,E90:E99,E79:E87,E69:E76,E7:E66,E102:E111)</f>
        <v>41</v>
      </c>
      <c r="F152" s="60">
        <f t="shared" si="15"/>
        <v>49</v>
      </c>
      <c r="G152" s="60">
        <f t="shared" si="15"/>
        <v>481</v>
      </c>
      <c r="H152" s="60">
        <f t="shared" si="15"/>
        <v>0</v>
      </c>
      <c r="I152" s="60">
        <f t="shared" si="15"/>
        <v>0</v>
      </c>
      <c r="J152" s="60">
        <f t="shared" si="15"/>
        <v>0</v>
      </c>
      <c r="K152" s="60">
        <f t="shared" si="15"/>
        <v>50</v>
      </c>
      <c r="L152" s="60">
        <f t="shared" si="15"/>
        <v>692</v>
      </c>
      <c r="M152" s="60">
        <f t="shared" si="15"/>
        <v>375</v>
      </c>
      <c r="N152" s="60">
        <f t="shared" si="15"/>
        <v>130</v>
      </c>
      <c r="O152" s="60">
        <f t="shared" si="15"/>
        <v>220</v>
      </c>
      <c r="P152" s="60">
        <f t="shared" si="15"/>
        <v>794</v>
      </c>
      <c r="Q152" s="60">
        <f t="shared" si="15"/>
        <v>827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6"/>
      <c r="F155" s="66"/>
      <c r="G155" s="26"/>
      <c r="L155" s="40"/>
    </row>
    <row r="156" spans="2:17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7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157:C157"/>
    <mergeCell ref="I157:L157"/>
    <mergeCell ref="B101:Q101"/>
    <mergeCell ref="B113:Q113"/>
    <mergeCell ref="E155:F155"/>
    <mergeCell ref="B156:C156"/>
    <mergeCell ref="E156:F156"/>
    <mergeCell ref="I156:L156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2025-07-29T00:46:03Z</cp:lastPrinted>
  <dcterms:created xsi:type="dcterms:W3CDTF">2024-04-30T05:21:27Z</dcterms:created>
  <dcterms:modified xsi:type="dcterms:W3CDTF">2025-07-29T01:26:41Z</dcterms:modified>
</cp:coreProperties>
</file>