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nwa\OneDrive\Desktop\"/>
    </mc:Choice>
  </mc:AlternateContent>
  <xr:revisionPtr revIDLastSave="0" documentId="8_{22D5E281-CE82-4177-8DA1-BFB5CD8720AE}" xr6:coauthVersionLast="47" xr6:coauthVersionMax="47" xr10:uidLastSave="{00000000-0000-0000-0000-000000000000}"/>
  <bookViews>
    <workbookView xWindow="-120" yWindow="-120" windowWidth="29040" windowHeight="15720" activeTab="3" xr2:uid="{55C9AAA3-F459-48EC-A639-AACFFC6390F5}"/>
  </bookViews>
  <sheets>
    <sheet name="เช้า " sheetId="3" r:id="rId1"/>
    <sheet name="บ่าย" sheetId="4" state="hidden" r:id="rId2"/>
    <sheet name="เย็น " sheetId="6" state="hidden" r:id="rId3"/>
    <sheet name="รวม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36" i="5" l="1"/>
  <c r="K137" i="5"/>
  <c r="K138" i="5"/>
  <c r="K139" i="5"/>
  <c r="K140" i="5"/>
  <c r="K141" i="5"/>
  <c r="J87" i="5"/>
  <c r="Q140" i="5"/>
  <c r="Q141" i="5"/>
  <c r="Q142" i="5"/>
  <c r="Q143" i="5"/>
  <c r="Q144" i="5"/>
  <c r="Q145" i="5"/>
  <c r="Q146" i="5"/>
  <c r="Q147" i="5"/>
  <c r="D103" i="5" l="1"/>
  <c r="E103" i="5"/>
  <c r="F103" i="5"/>
  <c r="G103" i="5"/>
  <c r="H103" i="5"/>
  <c r="I103" i="5"/>
  <c r="J103" i="5"/>
  <c r="K103" i="5"/>
  <c r="D104" i="5"/>
  <c r="E104" i="5"/>
  <c r="F104" i="5"/>
  <c r="G104" i="5"/>
  <c r="H104" i="5"/>
  <c r="I104" i="5"/>
  <c r="J104" i="5"/>
  <c r="K104" i="5"/>
  <c r="D105" i="5"/>
  <c r="E105" i="5"/>
  <c r="F105" i="5"/>
  <c r="G105" i="5"/>
  <c r="H105" i="5"/>
  <c r="I105" i="5"/>
  <c r="J105" i="5"/>
  <c r="K105" i="5"/>
  <c r="D106" i="5"/>
  <c r="E106" i="5"/>
  <c r="F106" i="5"/>
  <c r="G106" i="5"/>
  <c r="H106" i="5"/>
  <c r="I106" i="5"/>
  <c r="J106" i="5"/>
  <c r="K106" i="5"/>
  <c r="D107" i="5"/>
  <c r="E107" i="5"/>
  <c r="F107" i="5"/>
  <c r="G107" i="5"/>
  <c r="H107" i="5"/>
  <c r="I107" i="5"/>
  <c r="J107" i="5"/>
  <c r="K107" i="5"/>
  <c r="D108" i="5"/>
  <c r="E108" i="5"/>
  <c r="F108" i="5"/>
  <c r="G108" i="5"/>
  <c r="H108" i="5"/>
  <c r="I108" i="5"/>
  <c r="J108" i="5"/>
  <c r="K108" i="5"/>
  <c r="D109" i="5"/>
  <c r="E109" i="5"/>
  <c r="F109" i="5"/>
  <c r="G109" i="5"/>
  <c r="H109" i="5"/>
  <c r="I109" i="5"/>
  <c r="J109" i="5"/>
  <c r="K109" i="5"/>
  <c r="D110" i="5"/>
  <c r="E110" i="5"/>
  <c r="F110" i="5"/>
  <c r="G110" i="5"/>
  <c r="H110" i="5"/>
  <c r="I110" i="5"/>
  <c r="J110" i="5"/>
  <c r="K110" i="5"/>
  <c r="D111" i="5"/>
  <c r="E111" i="5"/>
  <c r="F111" i="5"/>
  <c r="G111" i="5"/>
  <c r="H111" i="5"/>
  <c r="I111" i="5"/>
  <c r="J111" i="5"/>
  <c r="K111" i="5"/>
  <c r="E102" i="5"/>
  <c r="F102" i="5"/>
  <c r="G102" i="5"/>
  <c r="H102" i="5"/>
  <c r="I102" i="5"/>
  <c r="J102" i="5"/>
  <c r="K102" i="5"/>
  <c r="D142" i="5"/>
  <c r="D115" i="5"/>
  <c r="E115" i="5"/>
  <c r="F115" i="5"/>
  <c r="G115" i="5"/>
  <c r="H115" i="5"/>
  <c r="I115" i="5"/>
  <c r="J115" i="5"/>
  <c r="K115" i="5"/>
  <c r="D116" i="5"/>
  <c r="E116" i="5"/>
  <c r="F116" i="5"/>
  <c r="G116" i="5"/>
  <c r="H116" i="5"/>
  <c r="I116" i="5"/>
  <c r="J116" i="5"/>
  <c r="K116" i="5"/>
  <c r="D117" i="5"/>
  <c r="E117" i="5"/>
  <c r="F117" i="5"/>
  <c r="G117" i="5"/>
  <c r="H117" i="5"/>
  <c r="I117" i="5"/>
  <c r="J117" i="5"/>
  <c r="K117" i="5"/>
  <c r="D118" i="5"/>
  <c r="E118" i="5"/>
  <c r="F118" i="5"/>
  <c r="G118" i="5"/>
  <c r="H118" i="5"/>
  <c r="I118" i="5"/>
  <c r="J118" i="5"/>
  <c r="K118" i="5"/>
  <c r="D119" i="5"/>
  <c r="E119" i="5"/>
  <c r="F119" i="5"/>
  <c r="G119" i="5"/>
  <c r="H119" i="5"/>
  <c r="I119" i="5"/>
  <c r="J119" i="5"/>
  <c r="K119" i="5"/>
  <c r="D120" i="5"/>
  <c r="E120" i="5"/>
  <c r="F120" i="5"/>
  <c r="G120" i="5"/>
  <c r="H120" i="5"/>
  <c r="I120" i="5"/>
  <c r="J120" i="5"/>
  <c r="K120" i="5"/>
  <c r="D121" i="5"/>
  <c r="E121" i="5"/>
  <c r="F121" i="5"/>
  <c r="G121" i="5"/>
  <c r="H121" i="5"/>
  <c r="I121" i="5"/>
  <c r="J121" i="5"/>
  <c r="K121" i="5"/>
  <c r="D122" i="5"/>
  <c r="E122" i="5"/>
  <c r="F122" i="5"/>
  <c r="G122" i="5"/>
  <c r="H122" i="5"/>
  <c r="I122" i="5"/>
  <c r="J122" i="5"/>
  <c r="K122" i="5"/>
  <c r="D123" i="5"/>
  <c r="E123" i="5"/>
  <c r="F123" i="5"/>
  <c r="G123" i="5"/>
  <c r="H123" i="5"/>
  <c r="I123" i="5"/>
  <c r="J123" i="5"/>
  <c r="K123" i="5"/>
  <c r="D124" i="5"/>
  <c r="E124" i="5"/>
  <c r="F124" i="5"/>
  <c r="G124" i="5"/>
  <c r="H124" i="5"/>
  <c r="I124" i="5"/>
  <c r="J124" i="5"/>
  <c r="K124" i="5"/>
  <c r="D125" i="5"/>
  <c r="E125" i="5"/>
  <c r="F125" i="5"/>
  <c r="G125" i="5"/>
  <c r="H125" i="5"/>
  <c r="I125" i="5"/>
  <c r="J125" i="5"/>
  <c r="K125" i="5"/>
  <c r="D126" i="5"/>
  <c r="E126" i="5"/>
  <c r="F126" i="5"/>
  <c r="G126" i="5"/>
  <c r="H126" i="5"/>
  <c r="I126" i="5"/>
  <c r="J126" i="5"/>
  <c r="K126" i="5"/>
  <c r="D127" i="5"/>
  <c r="E127" i="5"/>
  <c r="F127" i="5"/>
  <c r="G127" i="5"/>
  <c r="H127" i="5"/>
  <c r="I127" i="5"/>
  <c r="J127" i="5"/>
  <c r="K127" i="5"/>
  <c r="D128" i="5"/>
  <c r="E128" i="5"/>
  <c r="F128" i="5"/>
  <c r="G128" i="5"/>
  <c r="H128" i="5"/>
  <c r="I128" i="5"/>
  <c r="J128" i="5"/>
  <c r="K128" i="5"/>
  <c r="D129" i="5"/>
  <c r="E129" i="5"/>
  <c r="F129" i="5"/>
  <c r="G129" i="5"/>
  <c r="H129" i="5"/>
  <c r="I129" i="5"/>
  <c r="J129" i="5"/>
  <c r="K129" i="5"/>
  <c r="D130" i="5"/>
  <c r="E130" i="5"/>
  <c r="F130" i="5"/>
  <c r="G130" i="5"/>
  <c r="H130" i="5"/>
  <c r="I130" i="5"/>
  <c r="J130" i="5"/>
  <c r="K130" i="5"/>
  <c r="D131" i="5"/>
  <c r="E131" i="5"/>
  <c r="F131" i="5"/>
  <c r="G131" i="5"/>
  <c r="H131" i="5"/>
  <c r="I131" i="5"/>
  <c r="J131" i="5"/>
  <c r="K131" i="5"/>
  <c r="D132" i="5"/>
  <c r="E132" i="5"/>
  <c r="F132" i="5"/>
  <c r="G132" i="5"/>
  <c r="H132" i="5"/>
  <c r="I132" i="5"/>
  <c r="J132" i="5"/>
  <c r="K132" i="5"/>
  <c r="D133" i="5"/>
  <c r="E133" i="5"/>
  <c r="F133" i="5"/>
  <c r="G133" i="5"/>
  <c r="H133" i="5"/>
  <c r="I133" i="5"/>
  <c r="J133" i="5"/>
  <c r="K133" i="5"/>
  <c r="D134" i="5"/>
  <c r="E134" i="5"/>
  <c r="F134" i="5"/>
  <c r="G134" i="5"/>
  <c r="H134" i="5"/>
  <c r="I134" i="5"/>
  <c r="J134" i="5"/>
  <c r="K134" i="5"/>
  <c r="D135" i="5"/>
  <c r="E135" i="5"/>
  <c r="F135" i="5"/>
  <c r="G135" i="5"/>
  <c r="H135" i="5"/>
  <c r="I135" i="5"/>
  <c r="J135" i="5"/>
  <c r="K135" i="5"/>
  <c r="D136" i="5"/>
  <c r="E136" i="5"/>
  <c r="F136" i="5"/>
  <c r="G136" i="5"/>
  <c r="H136" i="5"/>
  <c r="I136" i="5"/>
  <c r="J136" i="5"/>
  <c r="D137" i="5"/>
  <c r="E137" i="5"/>
  <c r="F137" i="5"/>
  <c r="G137" i="5"/>
  <c r="H137" i="5"/>
  <c r="I137" i="5"/>
  <c r="J137" i="5"/>
  <c r="D138" i="5"/>
  <c r="E138" i="5"/>
  <c r="F138" i="5"/>
  <c r="G138" i="5"/>
  <c r="H138" i="5"/>
  <c r="I138" i="5"/>
  <c r="J138" i="5"/>
  <c r="D139" i="5"/>
  <c r="E139" i="5"/>
  <c r="F139" i="5"/>
  <c r="G139" i="5"/>
  <c r="H139" i="5"/>
  <c r="I139" i="5"/>
  <c r="J139" i="5"/>
  <c r="D140" i="5"/>
  <c r="E140" i="5"/>
  <c r="F140" i="5"/>
  <c r="G140" i="5"/>
  <c r="H140" i="5"/>
  <c r="I140" i="5"/>
  <c r="J140" i="5"/>
  <c r="D141" i="5"/>
  <c r="E141" i="5"/>
  <c r="F141" i="5"/>
  <c r="G141" i="5"/>
  <c r="H141" i="5"/>
  <c r="I141" i="5"/>
  <c r="J141" i="5"/>
  <c r="E142" i="5"/>
  <c r="F142" i="5"/>
  <c r="G142" i="5"/>
  <c r="H142" i="5"/>
  <c r="I142" i="5"/>
  <c r="J142" i="5"/>
  <c r="K142" i="5"/>
  <c r="D143" i="5"/>
  <c r="E143" i="5"/>
  <c r="F143" i="5"/>
  <c r="G143" i="5"/>
  <c r="H143" i="5"/>
  <c r="I143" i="5"/>
  <c r="J143" i="5"/>
  <c r="K143" i="5"/>
  <c r="D144" i="5"/>
  <c r="E144" i="5"/>
  <c r="F144" i="5"/>
  <c r="G144" i="5"/>
  <c r="H144" i="5"/>
  <c r="I144" i="5"/>
  <c r="J144" i="5"/>
  <c r="K144" i="5"/>
  <c r="D145" i="5"/>
  <c r="E145" i="5"/>
  <c r="F145" i="5"/>
  <c r="G145" i="5"/>
  <c r="H145" i="5"/>
  <c r="I145" i="5"/>
  <c r="J145" i="5"/>
  <c r="K145" i="5"/>
  <c r="D146" i="5"/>
  <c r="E146" i="5"/>
  <c r="F146" i="5"/>
  <c r="G146" i="5"/>
  <c r="H146" i="5"/>
  <c r="I146" i="5"/>
  <c r="J146" i="5"/>
  <c r="K146" i="5"/>
  <c r="D147" i="5"/>
  <c r="E147" i="5"/>
  <c r="F147" i="5"/>
  <c r="G147" i="5"/>
  <c r="H147" i="5"/>
  <c r="I147" i="5"/>
  <c r="J147" i="5"/>
  <c r="K147" i="5"/>
  <c r="D148" i="5"/>
  <c r="E148" i="5"/>
  <c r="F148" i="5"/>
  <c r="G148" i="5"/>
  <c r="H148" i="5"/>
  <c r="I148" i="5"/>
  <c r="J148" i="5"/>
  <c r="K148" i="5"/>
  <c r="D149" i="5"/>
  <c r="E149" i="5"/>
  <c r="F149" i="5"/>
  <c r="G149" i="5"/>
  <c r="H149" i="5"/>
  <c r="I149" i="5"/>
  <c r="J149" i="5"/>
  <c r="K149" i="5"/>
  <c r="D150" i="5"/>
  <c r="E150" i="5"/>
  <c r="F150" i="5"/>
  <c r="G150" i="5"/>
  <c r="H150" i="5"/>
  <c r="I150" i="5"/>
  <c r="J150" i="5"/>
  <c r="K150" i="5"/>
  <c r="D151" i="5"/>
  <c r="E151" i="5"/>
  <c r="F151" i="5"/>
  <c r="G151" i="5"/>
  <c r="H151" i="5"/>
  <c r="I151" i="5"/>
  <c r="J151" i="5"/>
  <c r="K151" i="5"/>
  <c r="E114" i="5"/>
  <c r="F114" i="5"/>
  <c r="G114" i="5"/>
  <c r="H114" i="5"/>
  <c r="I114" i="5"/>
  <c r="J114" i="5"/>
  <c r="K114" i="5"/>
  <c r="D114" i="5"/>
  <c r="M152" i="5"/>
  <c r="N152" i="5"/>
  <c r="O152" i="5"/>
  <c r="P152" i="5"/>
  <c r="L151" i="6"/>
  <c r="L149" i="3"/>
  <c r="L150" i="3"/>
  <c r="L151" i="3"/>
  <c r="L142" i="4"/>
  <c r="L143" i="4"/>
  <c r="L144" i="4"/>
  <c r="L145" i="4"/>
  <c r="L146" i="4"/>
  <c r="L147" i="4"/>
  <c r="L148" i="4"/>
  <c r="L149" i="4"/>
  <c r="L150" i="4"/>
  <c r="L151" i="4"/>
  <c r="L142" i="6"/>
  <c r="L143" i="6"/>
  <c r="L144" i="6"/>
  <c r="L145" i="6"/>
  <c r="L146" i="6"/>
  <c r="L147" i="6"/>
  <c r="L148" i="6"/>
  <c r="L149" i="6"/>
  <c r="L150" i="6"/>
  <c r="L142" i="3"/>
  <c r="L143" i="3"/>
  <c r="L144" i="3"/>
  <c r="L145" i="3"/>
  <c r="L146" i="3"/>
  <c r="L147" i="3"/>
  <c r="L148" i="3"/>
  <c r="L141" i="4"/>
  <c r="L141" i="3"/>
  <c r="L141" i="6"/>
  <c r="L130" i="4"/>
  <c r="L131" i="4"/>
  <c r="L132" i="4"/>
  <c r="L133" i="4"/>
  <c r="L134" i="4"/>
  <c r="L135" i="4"/>
  <c r="L136" i="4"/>
  <c r="L137" i="4"/>
  <c r="L138" i="4"/>
  <c r="L139" i="4"/>
  <c r="L133" i="6"/>
  <c r="L134" i="6"/>
  <c r="L135" i="6"/>
  <c r="L136" i="6"/>
  <c r="L137" i="6"/>
  <c r="L138" i="6"/>
  <c r="L139" i="6"/>
  <c r="L140" i="6"/>
  <c r="L134" i="3"/>
  <c r="L135" i="3"/>
  <c r="L136" i="3"/>
  <c r="L137" i="3"/>
  <c r="L138" i="3"/>
  <c r="L139" i="3"/>
  <c r="Q77" i="5"/>
  <c r="L132" i="6"/>
  <c r="L131" i="6"/>
  <c r="L130" i="6"/>
  <c r="L129" i="6"/>
  <c r="L128" i="6"/>
  <c r="L127" i="6"/>
  <c r="L126" i="6"/>
  <c r="L125" i="6"/>
  <c r="L124" i="6"/>
  <c r="L123" i="6"/>
  <c r="L122" i="6"/>
  <c r="L121" i="6"/>
  <c r="L120" i="6"/>
  <c r="L119" i="6"/>
  <c r="L118" i="6"/>
  <c r="L117" i="6"/>
  <c r="L116" i="6"/>
  <c r="L115" i="6"/>
  <c r="L114" i="6"/>
  <c r="L111" i="6"/>
  <c r="L110" i="6"/>
  <c r="L109" i="6"/>
  <c r="L108" i="6"/>
  <c r="L107" i="6"/>
  <c r="L106" i="6"/>
  <c r="L105" i="6"/>
  <c r="L104" i="6"/>
  <c r="L103" i="6"/>
  <c r="L102" i="6"/>
  <c r="L99" i="6"/>
  <c r="L98" i="6"/>
  <c r="L97" i="6"/>
  <c r="L96" i="6"/>
  <c r="L95" i="6"/>
  <c r="L94" i="6"/>
  <c r="L93" i="6"/>
  <c r="L92" i="6"/>
  <c r="L91" i="6"/>
  <c r="L90" i="6"/>
  <c r="L87" i="6"/>
  <c r="L86" i="6"/>
  <c r="L85" i="6"/>
  <c r="L84" i="6"/>
  <c r="L83" i="6"/>
  <c r="L82" i="6"/>
  <c r="L81" i="6"/>
  <c r="L80" i="6"/>
  <c r="L79" i="6"/>
  <c r="L76" i="6"/>
  <c r="L75" i="6"/>
  <c r="L74" i="6"/>
  <c r="L73" i="6"/>
  <c r="L72" i="6"/>
  <c r="L71" i="6"/>
  <c r="L70" i="6"/>
  <c r="L69" i="6"/>
  <c r="L66" i="6"/>
  <c r="L65" i="6"/>
  <c r="L64" i="6"/>
  <c r="L63" i="6"/>
  <c r="L62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13" i="6"/>
  <c r="L12" i="6"/>
  <c r="L11" i="6"/>
  <c r="L10" i="6"/>
  <c r="L9" i="6"/>
  <c r="L8" i="6"/>
  <c r="L7" i="6"/>
  <c r="L140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1" i="3"/>
  <c r="L110" i="3"/>
  <c r="L109" i="3"/>
  <c r="L108" i="3"/>
  <c r="L107" i="3"/>
  <c r="L106" i="3"/>
  <c r="L105" i="3"/>
  <c r="L104" i="3"/>
  <c r="L103" i="3"/>
  <c r="L102" i="3"/>
  <c r="L99" i="3"/>
  <c r="L98" i="3"/>
  <c r="L97" i="3"/>
  <c r="L96" i="3"/>
  <c r="L95" i="3"/>
  <c r="L94" i="3"/>
  <c r="L93" i="3"/>
  <c r="L92" i="3"/>
  <c r="L91" i="3"/>
  <c r="L90" i="3"/>
  <c r="L87" i="3"/>
  <c r="L86" i="3"/>
  <c r="L85" i="3"/>
  <c r="L84" i="3"/>
  <c r="L83" i="3"/>
  <c r="L82" i="3"/>
  <c r="L81" i="3"/>
  <c r="L80" i="3"/>
  <c r="L79" i="3"/>
  <c r="L76" i="3"/>
  <c r="L75" i="3"/>
  <c r="L74" i="3"/>
  <c r="L73" i="3"/>
  <c r="L72" i="3"/>
  <c r="L71" i="3"/>
  <c r="L70" i="3"/>
  <c r="L69" i="3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140" i="4"/>
  <c r="D91" i="5"/>
  <c r="E91" i="5"/>
  <c r="F91" i="5"/>
  <c r="G91" i="5"/>
  <c r="H91" i="5"/>
  <c r="I91" i="5"/>
  <c r="J91" i="5"/>
  <c r="K91" i="5"/>
  <c r="D92" i="5"/>
  <c r="E92" i="5"/>
  <c r="F92" i="5"/>
  <c r="G92" i="5"/>
  <c r="H92" i="5"/>
  <c r="I92" i="5"/>
  <c r="J92" i="5"/>
  <c r="K92" i="5"/>
  <c r="D93" i="5"/>
  <c r="E93" i="5"/>
  <c r="F93" i="5"/>
  <c r="G93" i="5"/>
  <c r="H93" i="5"/>
  <c r="I93" i="5"/>
  <c r="J93" i="5"/>
  <c r="K93" i="5"/>
  <c r="D94" i="5"/>
  <c r="E94" i="5"/>
  <c r="F94" i="5"/>
  <c r="G94" i="5"/>
  <c r="H94" i="5"/>
  <c r="I94" i="5"/>
  <c r="J94" i="5"/>
  <c r="K94" i="5"/>
  <c r="D95" i="5"/>
  <c r="E95" i="5"/>
  <c r="F95" i="5"/>
  <c r="G95" i="5"/>
  <c r="H95" i="5"/>
  <c r="I95" i="5"/>
  <c r="J95" i="5"/>
  <c r="K95" i="5"/>
  <c r="D96" i="5"/>
  <c r="E96" i="5"/>
  <c r="F96" i="5"/>
  <c r="G96" i="5"/>
  <c r="H96" i="5"/>
  <c r="I96" i="5"/>
  <c r="J96" i="5"/>
  <c r="K96" i="5"/>
  <c r="D97" i="5"/>
  <c r="E97" i="5"/>
  <c r="F97" i="5"/>
  <c r="G97" i="5"/>
  <c r="H97" i="5"/>
  <c r="I97" i="5"/>
  <c r="J97" i="5"/>
  <c r="K97" i="5"/>
  <c r="D98" i="5"/>
  <c r="E98" i="5"/>
  <c r="F98" i="5"/>
  <c r="G98" i="5"/>
  <c r="H98" i="5"/>
  <c r="I98" i="5"/>
  <c r="J98" i="5"/>
  <c r="K98" i="5"/>
  <c r="E90" i="5"/>
  <c r="F90" i="5"/>
  <c r="G90" i="5"/>
  <c r="H90" i="5"/>
  <c r="I90" i="5"/>
  <c r="J90" i="5"/>
  <c r="K90" i="5"/>
  <c r="D90" i="5"/>
  <c r="D80" i="5"/>
  <c r="E80" i="5"/>
  <c r="F80" i="5"/>
  <c r="G80" i="5"/>
  <c r="H80" i="5"/>
  <c r="I80" i="5"/>
  <c r="J80" i="5"/>
  <c r="K80" i="5"/>
  <c r="D81" i="5"/>
  <c r="E81" i="5"/>
  <c r="F81" i="5"/>
  <c r="G81" i="5"/>
  <c r="H81" i="5"/>
  <c r="I81" i="5"/>
  <c r="J81" i="5"/>
  <c r="K81" i="5"/>
  <c r="D82" i="5"/>
  <c r="E82" i="5"/>
  <c r="F82" i="5"/>
  <c r="G82" i="5"/>
  <c r="H82" i="5"/>
  <c r="I82" i="5"/>
  <c r="J82" i="5"/>
  <c r="K82" i="5"/>
  <c r="D83" i="5"/>
  <c r="E83" i="5"/>
  <c r="F83" i="5"/>
  <c r="G83" i="5"/>
  <c r="H83" i="5"/>
  <c r="I83" i="5"/>
  <c r="J83" i="5"/>
  <c r="K83" i="5"/>
  <c r="D84" i="5"/>
  <c r="E84" i="5"/>
  <c r="F84" i="5"/>
  <c r="G84" i="5"/>
  <c r="H84" i="5"/>
  <c r="I84" i="5"/>
  <c r="J84" i="5"/>
  <c r="K84" i="5"/>
  <c r="D85" i="5"/>
  <c r="E85" i="5"/>
  <c r="F85" i="5"/>
  <c r="G85" i="5"/>
  <c r="H85" i="5"/>
  <c r="I85" i="5"/>
  <c r="J85" i="5"/>
  <c r="K85" i="5"/>
  <c r="D86" i="5"/>
  <c r="E86" i="5"/>
  <c r="F86" i="5"/>
  <c r="G86" i="5"/>
  <c r="H86" i="5"/>
  <c r="I86" i="5"/>
  <c r="J86" i="5"/>
  <c r="K86" i="5"/>
  <c r="D87" i="5"/>
  <c r="E87" i="5"/>
  <c r="F87" i="5"/>
  <c r="G87" i="5"/>
  <c r="H87" i="5"/>
  <c r="I87" i="5"/>
  <c r="E79" i="5"/>
  <c r="F79" i="5"/>
  <c r="G79" i="5"/>
  <c r="H79" i="5"/>
  <c r="I79" i="5"/>
  <c r="J79" i="5"/>
  <c r="K79" i="5"/>
  <c r="D79" i="5"/>
  <c r="D70" i="5"/>
  <c r="E70" i="5"/>
  <c r="F70" i="5"/>
  <c r="G70" i="5"/>
  <c r="H70" i="5"/>
  <c r="I70" i="5"/>
  <c r="J70" i="5"/>
  <c r="K70" i="5"/>
  <c r="D71" i="5"/>
  <c r="E71" i="5"/>
  <c r="F71" i="5"/>
  <c r="G71" i="5"/>
  <c r="H71" i="5"/>
  <c r="I71" i="5"/>
  <c r="J71" i="5"/>
  <c r="K71" i="5"/>
  <c r="D72" i="5"/>
  <c r="E72" i="5"/>
  <c r="F72" i="5"/>
  <c r="G72" i="5"/>
  <c r="H72" i="5"/>
  <c r="I72" i="5"/>
  <c r="J72" i="5"/>
  <c r="K72" i="5"/>
  <c r="D73" i="5"/>
  <c r="E73" i="5"/>
  <c r="F73" i="5"/>
  <c r="G73" i="5"/>
  <c r="H73" i="5"/>
  <c r="I73" i="5"/>
  <c r="J73" i="5"/>
  <c r="K73" i="5"/>
  <c r="D74" i="5"/>
  <c r="E74" i="5"/>
  <c r="F74" i="5"/>
  <c r="G74" i="5"/>
  <c r="H74" i="5"/>
  <c r="I74" i="5"/>
  <c r="J74" i="5"/>
  <c r="K74" i="5"/>
  <c r="D75" i="5"/>
  <c r="E75" i="5"/>
  <c r="F75" i="5"/>
  <c r="G75" i="5"/>
  <c r="H75" i="5"/>
  <c r="I75" i="5"/>
  <c r="J75" i="5"/>
  <c r="K75" i="5"/>
  <c r="D76" i="5"/>
  <c r="E76" i="5"/>
  <c r="F76" i="5"/>
  <c r="G76" i="5"/>
  <c r="H76" i="5"/>
  <c r="I76" i="5"/>
  <c r="J76" i="5"/>
  <c r="K76" i="5"/>
  <c r="E69" i="5"/>
  <c r="F69" i="5"/>
  <c r="G69" i="5"/>
  <c r="H69" i="5"/>
  <c r="I69" i="5"/>
  <c r="J69" i="5"/>
  <c r="K69" i="5"/>
  <c r="D69" i="5"/>
  <c r="D8" i="5"/>
  <c r="E8" i="5"/>
  <c r="F8" i="5"/>
  <c r="G8" i="5"/>
  <c r="H8" i="5"/>
  <c r="I8" i="5"/>
  <c r="J8" i="5"/>
  <c r="K8" i="5"/>
  <c r="D9" i="5"/>
  <c r="E9" i="5"/>
  <c r="F9" i="5"/>
  <c r="G9" i="5"/>
  <c r="H9" i="5"/>
  <c r="I9" i="5"/>
  <c r="J9" i="5"/>
  <c r="K9" i="5"/>
  <c r="D10" i="5"/>
  <c r="E10" i="5"/>
  <c r="F10" i="5"/>
  <c r="G10" i="5"/>
  <c r="H10" i="5"/>
  <c r="I10" i="5"/>
  <c r="J10" i="5"/>
  <c r="K10" i="5"/>
  <c r="D11" i="5"/>
  <c r="E11" i="5"/>
  <c r="F11" i="5"/>
  <c r="G11" i="5"/>
  <c r="H11" i="5"/>
  <c r="I11" i="5"/>
  <c r="J11" i="5"/>
  <c r="K11" i="5"/>
  <c r="D12" i="5"/>
  <c r="E12" i="5"/>
  <c r="F12" i="5"/>
  <c r="G12" i="5"/>
  <c r="H12" i="5"/>
  <c r="I12" i="5"/>
  <c r="J12" i="5"/>
  <c r="K12" i="5"/>
  <c r="D13" i="5"/>
  <c r="E13" i="5"/>
  <c r="F13" i="5"/>
  <c r="G13" i="5"/>
  <c r="H13" i="5"/>
  <c r="I13" i="5"/>
  <c r="J13" i="5"/>
  <c r="K13" i="5"/>
  <c r="D14" i="5"/>
  <c r="E14" i="5"/>
  <c r="F14" i="5"/>
  <c r="G14" i="5"/>
  <c r="H14" i="5"/>
  <c r="I14" i="5"/>
  <c r="J14" i="5"/>
  <c r="K14" i="5"/>
  <c r="D15" i="5"/>
  <c r="E15" i="5"/>
  <c r="F15" i="5"/>
  <c r="G15" i="5"/>
  <c r="H15" i="5"/>
  <c r="I15" i="5"/>
  <c r="J15" i="5"/>
  <c r="K15" i="5"/>
  <c r="D16" i="5"/>
  <c r="E16" i="5"/>
  <c r="F16" i="5"/>
  <c r="G16" i="5"/>
  <c r="H16" i="5"/>
  <c r="I16" i="5"/>
  <c r="J16" i="5"/>
  <c r="K16" i="5"/>
  <c r="D17" i="5"/>
  <c r="E17" i="5"/>
  <c r="F17" i="5"/>
  <c r="G17" i="5"/>
  <c r="H17" i="5"/>
  <c r="I17" i="5"/>
  <c r="J17" i="5"/>
  <c r="K17" i="5"/>
  <c r="D18" i="5"/>
  <c r="E18" i="5"/>
  <c r="F18" i="5"/>
  <c r="G18" i="5"/>
  <c r="H18" i="5"/>
  <c r="I18" i="5"/>
  <c r="J18" i="5"/>
  <c r="K18" i="5"/>
  <c r="D19" i="5"/>
  <c r="E19" i="5"/>
  <c r="F19" i="5"/>
  <c r="G19" i="5"/>
  <c r="H19" i="5"/>
  <c r="I19" i="5"/>
  <c r="J19" i="5"/>
  <c r="K19" i="5"/>
  <c r="D20" i="5"/>
  <c r="E20" i="5"/>
  <c r="F20" i="5"/>
  <c r="G20" i="5"/>
  <c r="H20" i="5"/>
  <c r="I20" i="5"/>
  <c r="J20" i="5"/>
  <c r="K20" i="5"/>
  <c r="D21" i="5"/>
  <c r="E21" i="5"/>
  <c r="F21" i="5"/>
  <c r="G21" i="5"/>
  <c r="H21" i="5"/>
  <c r="I21" i="5"/>
  <c r="J21" i="5"/>
  <c r="K21" i="5"/>
  <c r="D22" i="5"/>
  <c r="E22" i="5"/>
  <c r="F22" i="5"/>
  <c r="G22" i="5"/>
  <c r="H22" i="5"/>
  <c r="I22" i="5"/>
  <c r="J22" i="5"/>
  <c r="K22" i="5"/>
  <c r="D23" i="5"/>
  <c r="E23" i="5"/>
  <c r="F23" i="5"/>
  <c r="G23" i="5"/>
  <c r="H23" i="5"/>
  <c r="I23" i="5"/>
  <c r="J23" i="5"/>
  <c r="K23" i="5"/>
  <c r="D24" i="5"/>
  <c r="E24" i="5"/>
  <c r="F24" i="5"/>
  <c r="G24" i="5"/>
  <c r="H24" i="5"/>
  <c r="I24" i="5"/>
  <c r="J24" i="5"/>
  <c r="K24" i="5"/>
  <c r="D25" i="5"/>
  <c r="E25" i="5"/>
  <c r="F25" i="5"/>
  <c r="G25" i="5"/>
  <c r="H25" i="5"/>
  <c r="I25" i="5"/>
  <c r="J25" i="5"/>
  <c r="K25" i="5"/>
  <c r="D26" i="5"/>
  <c r="E26" i="5"/>
  <c r="F26" i="5"/>
  <c r="G26" i="5"/>
  <c r="H26" i="5"/>
  <c r="I26" i="5"/>
  <c r="J26" i="5"/>
  <c r="K26" i="5"/>
  <c r="D27" i="5"/>
  <c r="E27" i="5"/>
  <c r="F27" i="5"/>
  <c r="G27" i="5"/>
  <c r="H27" i="5"/>
  <c r="I27" i="5"/>
  <c r="J27" i="5"/>
  <c r="K27" i="5"/>
  <c r="D28" i="5"/>
  <c r="E28" i="5"/>
  <c r="F28" i="5"/>
  <c r="G28" i="5"/>
  <c r="H28" i="5"/>
  <c r="I28" i="5"/>
  <c r="J28" i="5"/>
  <c r="K28" i="5"/>
  <c r="D29" i="5"/>
  <c r="E29" i="5"/>
  <c r="F29" i="5"/>
  <c r="G29" i="5"/>
  <c r="H29" i="5"/>
  <c r="I29" i="5"/>
  <c r="J29" i="5"/>
  <c r="K29" i="5"/>
  <c r="D30" i="5"/>
  <c r="E30" i="5"/>
  <c r="F30" i="5"/>
  <c r="G30" i="5"/>
  <c r="H30" i="5"/>
  <c r="I30" i="5"/>
  <c r="J30" i="5"/>
  <c r="K30" i="5"/>
  <c r="D31" i="5"/>
  <c r="E31" i="5"/>
  <c r="F31" i="5"/>
  <c r="G31" i="5"/>
  <c r="H31" i="5"/>
  <c r="I31" i="5"/>
  <c r="J31" i="5"/>
  <c r="K31" i="5"/>
  <c r="D32" i="5"/>
  <c r="E32" i="5"/>
  <c r="F32" i="5"/>
  <c r="G32" i="5"/>
  <c r="H32" i="5"/>
  <c r="I32" i="5"/>
  <c r="J32" i="5"/>
  <c r="K32" i="5"/>
  <c r="D33" i="5"/>
  <c r="E33" i="5"/>
  <c r="F33" i="5"/>
  <c r="G33" i="5"/>
  <c r="H33" i="5"/>
  <c r="I33" i="5"/>
  <c r="J33" i="5"/>
  <c r="K33" i="5"/>
  <c r="D34" i="5"/>
  <c r="E34" i="5"/>
  <c r="F34" i="5"/>
  <c r="G34" i="5"/>
  <c r="H34" i="5"/>
  <c r="I34" i="5"/>
  <c r="J34" i="5"/>
  <c r="K34" i="5"/>
  <c r="D35" i="5"/>
  <c r="E35" i="5"/>
  <c r="F35" i="5"/>
  <c r="G35" i="5"/>
  <c r="H35" i="5"/>
  <c r="I35" i="5"/>
  <c r="J35" i="5"/>
  <c r="K35" i="5"/>
  <c r="D36" i="5"/>
  <c r="E36" i="5"/>
  <c r="F36" i="5"/>
  <c r="G36" i="5"/>
  <c r="H36" i="5"/>
  <c r="I36" i="5"/>
  <c r="J36" i="5"/>
  <c r="K36" i="5"/>
  <c r="D37" i="5"/>
  <c r="E37" i="5"/>
  <c r="F37" i="5"/>
  <c r="G37" i="5"/>
  <c r="H37" i="5"/>
  <c r="I37" i="5"/>
  <c r="J37" i="5"/>
  <c r="K37" i="5"/>
  <c r="D38" i="5"/>
  <c r="E38" i="5"/>
  <c r="F38" i="5"/>
  <c r="G38" i="5"/>
  <c r="H38" i="5"/>
  <c r="I38" i="5"/>
  <c r="J38" i="5"/>
  <c r="K38" i="5"/>
  <c r="D39" i="5"/>
  <c r="E39" i="5"/>
  <c r="F39" i="5"/>
  <c r="G39" i="5"/>
  <c r="H39" i="5"/>
  <c r="I39" i="5"/>
  <c r="J39" i="5"/>
  <c r="K39" i="5"/>
  <c r="D40" i="5"/>
  <c r="E40" i="5"/>
  <c r="F40" i="5"/>
  <c r="G40" i="5"/>
  <c r="H40" i="5"/>
  <c r="I40" i="5"/>
  <c r="J40" i="5"/>
  <c r="K40" i="5"/>
  <c r="D41" i="5"/>
  <c r="E41" i="5"/>
  <c r="F41" i="5"/>
  <c r="G41" i="5"/>
  <c r="H41" i="5"/>
  <c r="I41" i="5"/>
  <c r="J41" i="5"/>
  <c r="K41" i="5"/>
  <c r="D42" i="5"/>
  <c r="E42" i="5"/>
  <c r="F42" i="5"/>
  <c r="G42" i="5"/>
  <c r="H42" i="5"/>
  <c r="I42" i="5"/>
  <c r="J42" i="5"/>
  <c r="K42" i="5"/>
  <c r="D43" i="5"/>
  <c r="E43" i="5"/>
  <c r="F43" i="5"/>
  <c r="G43" i="5"/>
  <c r="H43" i="5"/>
  <c r="I43" i="5"/>
  <c r="J43" i="5"/>
  <c r="K43" i="5"/>
  <c r="D44" i="5"/>
  <c r="E44" i="5"/>
  <c r="F44" i="5"/>
  <c r="G44" i="5"/>
  <c r="H44" i="5"/>
  <c r="I44" i="5"/>
  <c r="J44" i="5"/>
  <c r="K44" i="5"/>
  <c r="D45" i="5"/>
  <c r="E45" i="5"/>
  <c r="F45" i="5"/>
  <c r="G45" i="5"/>
  <c r="H45" i="5"/>
  <c r="I45" i="5"/>
  <c r="J45" i="5"/>
  <c r="K45" i="5"/>
  <c r="D46" i="5"/>
  <c r="E46" i="5"/>
  <c r="F46" i="5"/>
  <c r="G46" i="5"/>
  <c r="H46" i="5"/>
  <c r="I46" i="5"/>
  <c r="J46" i="5"/>
  <c r="K46" i="5"/>
  <c r="D47" i="5"/>
  <c r="E47" i="5"/>
  <c r="F47" i="5"/>
  <c r="G47" i="5"/>
  <c r="H47" i="5"/>
  <c r="I47" i="5"/>
  <c r="J47" i="5"/>
  <c r="K47" i="5"/>
  <c r="D48" i="5"/>
  <c r="E48" i="5"/>
  <c r="F48" i="5"/>
  <c r="G48" i="5"/>
  <c r="H48" i="5"/>
  <c r="I48" i="5"/>
  <c r="J48" i="5"/>
  <c r="K48" i="5"/>
  <c r="D49" i="5"/>
  <c r="E49" i="5"/>
  <c r="F49" i="5"/>
  <c r="G49" i="5"/>
  <c r="H49" i="5"/>
  <c r="I49" i="5"/>
  <c r="J49" i="5"/>
  <c r="K49" i="5"/>
  <c r="D50" i="5"/>
  <c r="E50" i="5"/>
  <c r="F50" i="5"/>
  <c r="G50" i="5"/>
  <c r="H50" i="5"/>
  <c r="I50" i="5"/>
  <c r="J50" i="5"/>
  <c r="K50" i="5"/>
  <c r="D51" i="5"/>
  <c r="E51" i="5"/>
  <c r="F51" i="5"/>
  <c r="G51" i="5"/>
  <c r="H51" i="5"/>
  <c r="I51" i="5"/>
  <c r="J51" i="5"/>
  <c r="K51" i="5"/>
  <c r="D52" i="5"/>
  <c r="E52" i="5"/>
  <c r="F52" i="5"/>
  <c r="G52" i="5"/>
  <c r="H52" i="5"/>
  <c r="I52" i="5"/>
  <c r="J52" i="5"/>
  <c r="K52" i="5"/>
  <c r="D53" i="5"/>
  <c r="E53" i="5"/>
  <c r="F53" i="5"/>
  <c r="G53" i="5"/>
  <c r="H53" i="5"/>
  <c r="I53" i="5"/>
  <c r="J53" i="5"/>
  <c r="K53" i="5"/>
  <c r="D54" i="5"/>
  <c r="E54" i="5"/>
  <c r="F54" i="5"/>
  <c r="G54" i="5"/>
  <c r="H54" i="5"/>
  <c r="I54" i="5"/>
  <c r="J54" i="5"/>
  <c r="K54" i="5"/>
  <c r="D55" i="5"/>
  <c r="E55" i="5"/>
  <c r="F55" i="5"/>
  <c r="G55" i="5"/>
  <c r="H55" i="5"/>
  <c r="I55" i="5"/>
  <c r="J55" i="5"/>
  <c r="K55" i="5"/>
  <c r="D56" i="5"/>
  <c r="E56" i="5"/>
  <c r="F56" i="5"/>
  <c r="G56" i="5"/>
  <c r="H56" i="5"/>
  <c r="I56" i="5"/>
  <c r="J56" i="5"/>
  <c r="K56" i="5"/>
  <c r="D57" i="5"/>
  <c r="E57" i="5"/>
  <c r="F57" i="5"/>
  <c r="G57" i="5"/>
  <c r="H57" i="5"/>
  <c r="I57" i="5"/>
  <c r="J57" i="5"/>
  <c r="K57" i="5"/>
  <c r="D58" i="5"/>
  <c r="E58" i="5"/>
  <c r="F58" i="5"/>
  <c r="G58" i="5"/>
  <c r="H58" i="5"/>
  <c r="I58" i="5"/>
  <c r="J58" i="5"/>
  <c r="K58" i="5"/>
  <c r="D59" i="5"/>
  <c r="E59" i="5"/>
  <c r="F59" i="5"/>
  <c r="G59" i="5"/>
  <c r="H59" i="5"/>
  <c r="I59" i="5"/>
  <c r="J59" i="5"/>
  <c r="K59" i="5"/>
  <c r="D60" i="5"/>
  <c r="E60" i="5"/>
  <c r="F60" i="5"/>
  <c r="G60" i="5"/>
  <c r="H60" i="5"/>
  <c r="I60" i="5"/>
  <c r="J60" i="5"/>
  <c r="K60" i="5"/>
  <c r="D61" i="5"/>
  <c r="E61" i="5"/>
  <c r="F61" i="5"/>
  <c r="G61" i="5"/>
  <c r="H61" i="5"/>
  <c r="I61" i="5"/>
  <c r="J61" i="5"/>
  <c r="K61" i="5"/>
  <c r="D62" i="5"/>
  <c r="E62" i="5"/>
  <c r="F62" i="5"/>
  <c r="G62" i="5"/>
  <c r="H62" i="5"/>
  <c r="I62" i="5"/>
  <c r="J62" i="5"/>
  <c r="K62" i="5"/>
  <c r="D63" i="5"/>
  <c r="E63" i="5"/>
  <c r="F63" i="5"/>
  <c r="G63" i="5"/>
  <c r="H63" i="5"/>
  <c r="I63" i="5"/>
  <c r="J63" i="5"/>
  <c r="K63" i="5"/>
  <c r="D64" i="5"/>
  <c r="E64" i="5"/>
  <c r="F64" i="5"/>
  <c r="G64" i="5"/>
  <c r="H64" i="5"/>
  <c r="I64" i="5"/>
  <c r="J64" i="5"/>
  <c r="K64" i="5"/>
  <c r="D65" i="5"/>
  <c r="E65" i="5"/>
  <c r="F65" i="5"/>
  <c r="G65" i="5"/>
  <c r="H65" i="5"/>
  <c r="I65" i="5"/>
  <c r="J65" i="5"/>
  <c r="K65" i="5"/>
  <c r="E7" i="5"/>
  <c r="F7" i="5"/>
  <c r="G7" i="5"/>
  <c r="H7" i="5"/>
  <c r="I7" i="5"/>
  <c r="J7" i="5"/>
  <c r="K7" i="5"/>
  <c r="D7" i="5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14" i="4"/>
  <c r="L103" i="4"/>
  <c r="L104" i="4"/>
  <c r="L105" i="4"/>
  <c r="L106" i="4"/>
  <c r="L107" i="4"/>
  <c r="L108" i="4"/>
  <c r="L109" i="4"/>
  <c r="L110" i="4"/>
  <c r="L111" i="4"/>
  <c r="L102" i="4"/>
  <c r="L91" i="4"/>
  <c r="L92" i="4"/>
  <c r="L93" i="4"/>
  <c r="L94" i="4"/>
  <c r="L95" i="4"/>
  <c r="L96" i="4"/>
  <c r="L97" i="4"/>
  <c r="L98" i="4"/>
  <c r="L99" i="4"/>
  <c r="L90" i="4"/>
  <c r="L80" i="4"/>
  <c r="L81" i="4"/>
  <c r="L82" i="4"/>
  <c r="L83" i="4"/>
  <c r="L84" i="4"/>
  <c r="L85" i="4"/>
  <c r="L86" i="4"/>
  <c r="L87" i="4"/>
  <c r="L79" i="4"/>
  <c r="L70" i="4"/>
  <c r="L71" i="4"/>
  <c r="L72" i="4"/>
  <c r="L73" i="4"/>
  <c r="L74" i="4"/>
  <c r="L75" i="4"/>
  <c r="L76" i="4"/>
  <c r="L69" i="4"/>
  <c r="L66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7" i="4"/>
  <c r="L151" i="5" l="1"/>
  <c r="Q151" i="5" s="1"/>
  <c r="K152" i="5"/>
  <c r="L100" i="4"/>
  <c r="L77" i="4"/>
  <c r="L88" i="4"/>
  <c r="L67" i="4"/>
  <c r="L112" i="4"/>
  <c r="L112" i="6"/>
  <c r="L77" i="6"/>
  <c r="L67" i="6"/>
  <c r="L100" i="6"/>
  <c r="L88" i="6"/>
  <c r="L100" i="3"/>
  <c r="L77" i="3"/>
  <c r="L88" i="3"/>
  <c r="L112" i="3"/>
  <c r="L67" i="3"/>
  <c r="L137" i="5"/>
  <c r="Q137" i="5" s="1"/>
  <c r="L135" i="5"/>
  <c r="Q135" i="5" s="1"/>
  <c r="L136" i="5"/>
  <c r="Q136" i="5" s="1"/>
  <c r="L131" i="5"/>
  <c r="Q131" i="5" s="1"/>
  <c r="L132" i="5"/>
  <c r="Q132" i="5" s="1"/>
  <c r="L133" i="5"/>
  <c r="Q133" i="5" s="1"/>
  <c r="L134" i="5"/>
  <c r="Q134" i="5" s="1"/>
  <c r="L138" i="5"/>
  <c r="Q138" i="5" s="1"/>
  <c r="L139" i="5"/>
  <c r="Q139" i="5" s="1"/>
  <c r="L130" i="5"/>
  <c r="Q130" i="5" s="1"/>
  <c r="L129" i="5"/>
  <c r="L90" i="5"/>
  <c r="L93" i="5"/>
  <c r="Q93" i="5" s="1"/>
  <c r="L95" i="5"/>
  <c r="Q95" i="5" s="1"/>
  <c r="L127" i="5"/>
  <c r="Q127" i="5" s="1"/>
  <c r="L118" i="5"/>
  <c r="Q118" i="5" s="1"/>
  <c r="L126" i="5"/>
  <c r="Q126" i="5" s="1"/>
  <c r="L119" i="5"/>
  <c r="Q119" i="5" s="1"/>
  <c r="L124" i="5"/>
  <c r="Q124" i="5" s="1"/>
  <c r="L117" i="5"/>
  <c r="Q117" i="5" s="1"/>
  <c r="L94" i="5"/>
  <c r="Q94" i="5" s="1"/>
  <c r="L128" i="5"/>
  <c r="Q128" i="5" s="1"/>
  <c r="L96" i="5"/>
  <c r="Q96" i="5" s="1"/>
  <c r="L125" i="5"/>
  <c r="Q125" i="5" s="1"/>
  <c r="L121" i="5"/>
  <c r="Q121" i="5" s="1"/>
  <c r="L120" i="5"/>
  <c r="Q120" i="5" s="1"/>
  <c r="L87" i="5"/>
  <c r="Q87" i="5" s="1"/>
  <c r="L115" i="5"/>
  <c r="Q115" i="5" s="1"/>
  <c r="L92" i="5"/>
  <c r="Q92" i="5" s="1"/>
  <c r="L98" i="5"/>
  <c r="Q98" i="5" s="1"/>
  <c r="L97" i="5"/>
  <c r="Q97" i="5" s="1"/>
  <c r="L91" i="5"/>
  <c r="Q91" i="5" s="1"/>
  <c r="L123" i="5"/>
  <c r="Q123" i="5" s="1"/>
  <c r="L122" i="5"/>
  <c r="Q122" i="5" s="1"/>
  <c r="L116" i="5"/>
  <c r="Q116" i="5" s="1"/>
  <c r="L114" i="5"/>
  <c r="D102" i="5"/>
  <c r="D99" i="5"/>
  <c r="E99" i="5"/>
  <c r="F99" i="5"/>
  <c r="G99" i="5"/>
  <c r="G152" i="5" s="1"/>
  <c r="H99" i="5"/>
  <c r="H152" i="5" s="1"/>
  <c r="I99" i="5"/>
  <c r="I152" i="5" s="1"/>
  <c r="J99" i="5"/>
  <c r="J152" i="5" s="1"/>
  <c r="D66" i="5"/>
  <c r="E66" i="5"/>
  <c r="F66" i="5"/>
  <c r="G66" i="5"/>
  <c r="H66" i="5"/>
  <c r="I66" i="5"/>
  <c r="J66" i="5"/>
  <c r="E152" i="5" l="1"/>
  <c r="D152" i="5"/>
  <c r="F152" i="5"/>
  <c r="Q129" i="5"/>
  <c r="Q114" i="5"/>
  <c r="Q90" i="5"/>
  <c r="Q99" i="5" s="1"/>
  <c r="L102" i="5"/>
  <c r="L79" i="5"/>
  <c r="Q79" i="5" s="1"/>
  <c r="L70" i="5"/>
  <c r="Q70" i="5" s="1"/>
  <c r="L75" i="5"/>
  <c r="Q75" i="5" s="1"/>
  <c r="L73" i="5"/>
  <c r="Q73" i="5" s="1"/>
  <c r="L27" i="5"/>
  <c r="Q27" i="5" s="1"/>
  <c r="L109" i="5"/>
  <c r="Q109" i="5" s="1"/>
  <c r="L72" i="5"/>
  <c r="Q72" i="5" s="1"/>
  <c r="L11" i="5"/>
  <c r="Q11" i="5" s="1"/>
  <c r="L76" i="5"/>
  <c r="Q76" i="5" s="1"/>
  <c r="L59" i="5"/>
  <c r="Q59" i="5" s="1"/>
  <c r="L43" i="5"/>
  <c r="Q43" i="5" s="1"/>
  <c r="L7" i="5"/>
  <c r="Q7" i="5" s="1"/>
  <c r="L111" i="5"/>
  <c r="Q111" i="5" s="1"/>
  <c r="L54" i="5"/>
  <c r="Q54" i="5" s="1"/>
  <c r="L38" i="5"/>
  <c r="Q38" i="5" s="1"/>
  <c r="L71" i="5"/>
  <c r="Q71" i="5" s="1"/>
  <c r="L47" i="5"/>
  <c r="Q47" i="5" s="1"/>
  <c r="L15" i="5"/>
  <c r="Q15" i="5" s="1"/>
  <c r="L8" i="5"/>
  <c r="Q8" i="5" s="1"/>
  <c r="L49" i="5"/>
  <c r="Q49" i="5" s="1"/>
  <c r="L33" i="5"/>
  <c r="Q33" i="5" s="1"/>
  <c r="L17" i="5"/>
  <c r="Q17" i="5" s="1"/>
  <c r="L81" i="5"/>
  <c r="Q81" i="5" s="1"/>
  <c r="L58" i="5"/>
  <c r="Q58" i="5" s="1"/>
  <c r="L42" i="5"/>
  <c r="Q42" i="5" s="1"/>
  <c r="L26" i="5"/>
  <c r="Q26" i="5" s="1"/>
  <c r="L10" i="5"/>
  <c r="Q10" i="5" s="1"/>
  <c r="L69" i="5"/>
  <c r="Q69" i="5" s="1"/>
  <c r="L108" i="5"/>
  <c r="Q108" i="5" s="1"/>
  <c r="L20" i="5"/>
  <c r="Q20" i="5" s="1"/>
  <c r="L52" i="5"/>
  <c r="Q52" i="5" s="1"/>
  <c r="L61" i="5"/>
  <c r="Q61" i="5" s="1"/>
  <c r="L28" i="5"/>
  <c r="Q28" i="5" s="1"/>
  <c r="L12" i="5"/>
  <c r="Q12" i="5" s="1"/>
  <c r="L110" i="5"/>
  <c r="Q110" i="5" s="1"/>
  <c r="L53" i="5"/>
  <c r="Q53" i="5" s="1"/>
  <c r="L37" i="5"/>
  <c r="Q37" i="5" s="1"/>
  <c r="L21" i="5"/>
  <c r="Q21" i="5" s="1"/>
  <c r="L85" i="5"/>
  <c r="Q85" i="5" s="1"/>
  <c r="L103" i="5"/>
  <c r="Q103" i="5" s="1"/>
  <c r="L84" i="5"/>
  <c r="Q84" i="5" s="1"/>
  <c r="L29" i="5"/>
  <c r="Q29" i="5" s="1"/>
  <c r="L105" i="5"/>
  <c r="Q105" i="5" s="1"/>
  <c r="L31" i="5"/>
  <c r="Q31" i="5" s="1"/>
  <c r="L56" i="5"/>
  <c r="Q56" i="5" s="1"/>
  <c r="L106" i="5"/>
  <c r="Q106" i="5" s="1"/>
  <c r="L51" i="5"/>
  <c r="Q51" i="5" s="1"/>
  <c r="L19" i="5"/>
  <c r="Q19" i="5" s="1"/>
  <c r="L83" i="5"/>
  <c r="Q83" i="5" s="1"/>
  <c r="L46" i="5"/>
  <c r="Q46" i="5" s="1"/>
  <c r="L30" i="5"/>
  <c r="Q30" i="5" s="1"/>
  <c r="L55" i="5"/>
  <c r="Q55" i="5" s="1"/>
  <c r="L39" i="5"/>
  <c r="Q39" i="5" s="1"/>
  <c r="L64" i="5"/>
  <c r="Q64" i="5" s="1"/>
  <c r="L48" i="5"/>
  <c r="Q48" i="5" s="1"/>
  <c r="L32" i="5"/>
  <c r="Q32" i="5" s="1"/>
  <c r="L16" i="5"/>
  <c r="Q16" i="5" s="1"/>
  <c r="L74" i="5"/>
  <c r="Q74" i="5" s="1"/>
  <c r="L80" i="5"/>
  <c r="Q80" i="5" s="1"/>
  <c r="L13" i="5"/>
  <c r="Q13" i="5" s="1"/>
  <c r="L86" i="5"/>
  <c r="Q86" i="5" s="1"/>
  <c r="L40" i="5"/>
  <c r="Q40" i="5" s="1"/>
  <c r="L24" i="5"/>
  <c r="Q24" i="5" s="1"/>
  <c r="L65" i="5"/>
  <c r="Q65" i="5" s="1"/>
  <c r="L60" i="5"/>
  <c r="Q60" i="5" s="1"/>
  <c r="L14" i="5"/>
  <c r="Q14" i="5" s="1"/>
  <c r="L57" i="5"/>
  <c r="Q57" i="5" s="1"/>
  <c r="L41" i="5"/>
  <c r="Q41" i="5" s="1"/>
  <c r="L25" i="5"/>
  <c r="Q25" i="5" s="1"/>
  <c r="L9" i="5"/>
  <c r="Q9" i="5" s="1"/>
  <c r="L107" i="5"/>
  <c r="Q107" i="5" s="1"/>
  <c r="L36" i="5"/>
  <c r="Q36" i="5" s="1"/>
  <c r="L45" i="5"/>
  <c r="Q45" i="5" s="1"/>
  <c r="L22" i="5"/>
  <c r="Q22" i="5" s="1"/>
  <c r="L104" i="5"/>
  <c r="Q104" i="5" s="1"/>
  <c r="L63" i="5"/>
  <c r="Q63" i="5" s="1"/>
  <c r="L99" i="5"/>
  <c r="L35" i="5"/>
  <c r="Q35" i="5" s="1"/>
  <c r="L44" i="5"/>
  <c r="Q44" i="5" s="1"/>
  <c r="L62" i="5"/>
  <c r="Q62" i="5" s="1"/>
  <c r="L23" i="5"/>
  <c r="Q23" i="5" s="1"/>
  <c r="L66" i="5"/>
  <c r="Q66" i="5" s="1"/>
  <c r="L50" i="5"/>
  <c r="Q50" i="5" s="1"/>
  <c r="L34" i="5"/>
  <c r="Q34" i="5" s="1"/>
  <c r="L18" i="5"/>
  <c r="Q18" i="5" s="1"/>
  <c r="L82" i="5"/>
  <c r="Q82" i="5" s="1"/>
  <c r="L152" i="5" l="1"/>
  <c r="L100" i="5"/>
  <c r="Q100" i="5" s="1"/>
  <c r="Q102" i="5"/>
  <c r="Q152" i="5" s="1"/>
  <c r="L112" i="5"/>
  <c r="Q112" i="5" s="1"/>
  <c r="L88" i="5"/>
  <c r="Q88" i="5" s="1"/>
  <c r="L67" i="5"/>
  <c r="Q67" i="5" s="1"/>
</calcChain>
</file>

<file path=xl/sharedStrings.xml><?xml version="1.0" encoding="utf-8"?>
<sst xmlns="http://schemas.openxmlformats.org/spreadsheetml/2006/main" count="629" uniqueCount="150">
  <si>
    <t>ยอดรวมผลิต</t>
  </si>
  <si>
    <t>รวม</t>
  </si>
  <si>
    <t>จำนวน</t>
  </si>
  <si>
    <t>รหัสสินค้า</t>
  </si>
  <si>
    <t>สินค้า</t>
  </si>
  <si>
    <t>ปณ</t>
  </si>
  <si>
    <t>ชอปปี้</t>
  </si>
  <si>
    <t>ลาซาด้า</t>
  </si>
  <si>
    <t>ติ๊กตอก</t>
  </si>
  <si>
    <t>ติ๊กตอก3</t>
  </si>
  <si>
    <t>(กล่อง)</t>
  </si>
  <si>
    <t>ชิฟฟอนรวมรส</t>
  </si>
  <si>
    <t>ชิฟฟอน 8 ชิ้น กาแฟล้วน</t>
  </si>
  <si>
    <t>ชิฟฟอน 8 ชิ้น บลูเบอรี่ล้วน</t>
  </si>
  <si>
    <t>ชิฟฟอน 8 ชิ้น มะพร้าวล้วน</t>
  </si>
  <si>
    <t>ชิฟฟอน 8 ชิ้น สตอเบอรี่ล้วน</t>
  </si>
  <si>
    <t>ชิฟฟอน 8 ชิ้น ส้มล้วน</t>
  </si>
  <si>
    <t>ชิฟฟอน 8 ชิ้น เนยล้วน</t>
  </si>
  <si>
    <t>ชิฟฟอน 8 ชิ้น เผือกล้วน</t>
  </si>
  <si>
    <t>ชิฟฟอน 8 ชิ้น ใบเตยล้วน</t>
  </si>
  <si>
    <t>ชิฟฟอน 8 ชิ้น กล้วยหอม</t>
  </si>
  <si>
    <t>ชิฟฟอน 8 ชิ้น โกโก้ล้วน</t>
  </si>
  <si>
    <t>ชิฟฟอน 8 ชิ้น ชาไทยล้วน</t>
  </si>
  <si>
    <t>ชิฟฟอน 8 ชิ้น ชาเขียวล้วน</t>
  </si>
  <si>
    <t>ชิฟฟอน 8 ชิ้น สับปะรดล้วน</t>
  </si>
  <si>
    <t>ชิฟฟอน 8 ชิ้น ตาลล้วน</t>
  </si>
  <si>
    <t>ชิฟฟอน 8 ชิ้น ทุเรียนล้วน</t>
  </si>
  <si>
    <t>ชิฟฟอน 8 ชิ้น มะลิ</t>
  </si>
  <si>
    <t>ชิฟฟอน 8 ชิ้น รวมรสยอดฮิต</t>
  </si>
  <si>
    <t>ชิฟฟอน 4 ชิ้น เผือกล้วน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</si>
  <si>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</si>
  <si>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</si>
  <si>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</si>
  <si>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</si>
  <si>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</si>
  <si>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</si>
  <si>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</si>
  <si>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</si>
  <si>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</si>
  <si>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</si>
  <si>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</si>
  <si>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</si>
  <si>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</si>
  <si>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ชิฟฟอนแยกชิ้น คละรส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</si>
  <si>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</si>
  <si>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</si>
  <si>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</si>
  <si>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</si>
  <si>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</si>
  <si>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</si>
  <si>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</si>
  <si>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</si>
  <si>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</si>
  <si>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</si>
  <si>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ชิฟฟอนไส้แยมแยกชิ้น คละรส</t>
  </si>
  <si>
    <t>ชิฟฟอนไส้แยม 6 ชิ้น</t>
  </si>
  <si>
    <t>ชิฟฟอนไส้แยมรวมรส 6 ชิ้น</t>
  </si>
  <si>
    <t xml:space="preserve">ชิฟฟอนไส้แยมรสสตอเบอร์รี่ล้วน 6 ชิ้น </t>
  </si>
  <si>
    <t>ชิฟฟอนไส้แยมรสมะพร้าวล้วน 6 ชิ้น</t>
  </si>
  <si>
    <t xml:space="preserve">ชิฟฟอนไส้แยมรสช็อกโกแลตนูเทลล่าล้วน 6 ชิ้น </t>
  </si>
  <si>
    <t>ชิฟฟอนไส้แยมรสส้มล้วน 6 ชิ้น</t>
  </si>
  <si>
    <t>ชิฟฟอนไส้แยมรสบลูเบอร์รี่ล้วน 6 ชิ้น</t>
  </si>
  <si>
    <t>ชิฟฟอนไส้แยมรสนมชมพูฮอกไกโดล้วน 6 ชิ้น</t>
  </si>
  <si>
    <t>ชิฟฟอนไส้แยมฝอยทองไส้ทะลัก 6 ชิ้น</t>
  </si>
  <si>
    <t>ชิฟฟอนไส้แยม 3 ชิ้น</t>
  </si>
  <si>
    <t xml:space="preserve">ชิฟฟอนไส้แยมรสสตอเบอร์รี่ล้วน 3 ชิ้น </t>
  </si>
  <si>
    <t>ชิฟฟอนไส้แยมรสมะพร้าวล้วน 3 ชิ้น</t>
  </si>
  <si>
    <t xml:space="preserve">ชิฟฟอนไส้แยมรสช็อกโกแลตนูเทลล่าล้วน 3 ชิ้น </t>
  </si>
  <si>
    <t>ชิฟฟอนไส้แยมรสส้มล้วน 3 ชิ้น</t>
  </si>
  <si>
    <t>ชิฟฟอนไส้แยมรสบลูเบอร์รี่ล้วน 3 ชิ้น</t>
  </si>
  <si>
    <t>ชิฟฟอนไส้แยมรสนมชมพูฮอกไกโดล้วน 3 ชิ้น</t>
  </si>
  <si>
    <t>ชิฟฟอนไส้แยมฝอยทองไส้ทะลัก 3 ชิ้น</t>
  </si>
  <si>
    <t>ชิฟฟอนไส้แยม วนิลา/ใบเตย/เมล่อน</t>
  </si>
  <si>
    <t>ชิฟฟอนไส้แยมรวมรส 3 ชิ้น</t>
  </si>
  <si>
    <t>เบาหวิว ล 110 กรัม</t>
  </si>
  <si>
    <t xml:space="preserve">มะพร้าว </t>
  </si>
  <si>
    <t xml:space="preserve">ฝอยทอง </t>
  </si>
  <si>
    <t xml:space="preserve">กาแฟ </t>
  </si>
  <si>
    <t xml:space="preserve">เนยนม </t>
  </si>
  <si>
    <t xml:space="preserve">ใบเตย </t>
  </si>
  <si>
    <t>ทุเรียน</t>
  </si>
  <si>
    <t xml:space="preserve">ตาลหอม </t>
  </si>
  <si>
    <t>กล้วยหอมมะพร้าวเผา</t>
  </si>
  <si>
    <t>เผือกมะพร้าวอ่อน</t>
  </si>
  <si>
    <t>เบาหวิว คละรส</t>
  </si>
  <si>
    <t>เบาหวิว ญ 300 กรัม</t>
  </si>
  <si>
    <t>อื่นๆ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</si>
  <si>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</si>
  <si>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</si>
  <si>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</si>
  <si>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</si>
  <si>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</si>
  <si>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ท็อฟฟี่ถั่ว 1 กิโล</t>
  </si>
  <si>
    <t>คอนเฟลค</t>
  </si>
  <si>
    <t>ปังกรอบคาราเมล(ถุง)</t>
  </si>
  <si>
    <t>ครีมฮอร์นไส้เนย วนิลา</t>
  </si>
  <si>
    <t>ครีมฮอร์นไส้เนย ใบเตย</t>
  </si>
  <si>
    <t>ครีมฮอร์นไส้เนย ชอค</t>
  </si>
  <si>
    <t>ขนมปังหั่นสไลด์</t>
  </si>
  <si>
    <t>ปังเนยนิ่ม กล่อง 2 ชิ้น</t>
  </si>
  <si>
    <t>กล่องเปล่าชิฟอน ญ</t>
  </si>
  <si>
    <t>ทอฟฟี่ถั่ว กล่อง</t>
  </si>
  <si>
    <t>ทอฟฟี่ถั่ว กระเช้า</t>
  </si>
  <si>
    <t>ทอฟฟี่ถั่ว กระปุก</t>
  </si>
  <si>
    <t>….....................................................................................</t>
  </si>
  <si>
    <t>ผู้จัดทำ</t>
  </si>
  <si>
    <t>ผู้รับทราบ</t>
  </si>
  <si>
    <t>ชิฟฟอนรวมรส 8 ชิ้น</t>
  </si>
  <si>
    <t>ชิฟฟอนรวมรส 4 ชิ้น</t>
  </si>
  <si>
    <t>ชิฟฟอน 4 ชิ้น โกโก้ล้วน</t>
  </si>
  <si>
    <t>ชิฟฟอน 4 ชิ้น มะพร้าวล้วน</t>
  </si>
  <si>
    <t>ชิฟฟอน 4 ชิ้น เนยล้วน</t>
  </si>
  <si>
    <t>ชิฟฟอน 4 ชิ้น กาแฟล้วน</t>
  </si>
  <si>
    <t>ชิฟฟอน 4 ชิ้น ใบเตยล้วน</t>
  </si>
  <si>
    <t>ชิฟฟอน 4 ชิ้น บลูเบอร์รี่ล้วน</t>
  </si>
  <si>
    <t>ชิฟฟอน 4 ชิ้น ส้มล้วน</t>
  </si>
  <si>
    <t>ชิฟฟอน 4 ชิ้น สตอเบอรี่ล้วน</t>
  </si>
  <si>
    <t>ชิฟฟอน 4 ชิ้น กล้วยหอมล้วน</t>
  </si>
  <si>
    <t>ชิฟฟอน 4 ชิ้น ชาเขียวล้วน</t>
  </si>
  <si>
    <t>ชิฟฟอน 4 ชิ้น ชาไทยล้วน</t>
  </si>
  <si>
    <t>ชิฟฟอน 4 ชิ้น สับปะรดล้วน</t>
  </si>
  <si>
    <t>เมอแรงค์ กระปุก</t>
  </si>
  <si>
    <t>พายสับปรด 1 ชิ้น</t>
  </si>
  <si>
    <t>พายสับปรด 1 กล่อง</t>
  </si>
  <si>
    <t>เศษขนมปังปลา5กก.</t>
  </si>
  <si>
    <t>เศษขนมปังปลา1กก.</t>
  </si>
  <si>
    <t>ชิฟฟอนแบบกล่องสุ่มอะไรก็ได้ที่มี</t>
  </si>
  <si>
    <t>ยอดฟอแคส</t>
  </si>
  <si>
    <t>ชิฟฟอนแยกชิ้น ทุเรียน</t>
  </si>
  <si>
    <t>ชิฟฟอนแยกชิ้น ตาล</t>
  </si>
  <si>
    <t>ยอดสตอค</t>
  </si>
  <si>
    <t>ติ๊กตอก 2</t>
  </si>
  <si>
    <t>กล่องเปล่าชิฟอน ล</t>
  </si>
  <si>
    <t>ชอยส์</t>
  </si>
  <si>
    <t>ติ๊กตอก2</t>
  </si>
  <si>
    <t>ยอดจริง ออนไลน์ วันที่  - บ่าย</t>
  </si>
  <si>
    <t>ยอดเส้น</t>
  </si>
  <si>
    <t>ยอดจริง ออนไลน์ วันที่  - เย็น</t>
  </si>
  <si>
    <t>กล่องเบาหวิว ล</t>
  </si>
  <si>
    <t>กล่องเปี๊ยะ ล</t>
  </si>
  <si>
    <t>ยอดเมโม่</t>
  </si>
  <si>
    <t>ยอดฟอแคสวันพรุ่งนี้</t>
  </si>
  <si>
    <t>แซนวิชโบราณ</t>
  </si>
  <si>
    <t>ปังเนยนิ่ม ถุง</t>
  </si>
  <si>
    <t>มินิบันไก่หยองน้ำสลัด 110 กรัม</t>
  </si>
  <si>
    <t>ปังพิซซ่า</t>
  </si>
  <si>
    <t>หมีกรอบโบราณ</t>
  </si>
  <si>
    <t>หมี่กรอบโบราณ</t>
  </si>
  <si>
    <t>ยอดจริง ออนไลน์ วันที่ 17/7/68 เช้า</t>
  </si>
  <si>
    <t>ยอดจริง ออนไลน์ วันที่ 17/7/68 รวม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</si>
</sst>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\-0;;"/>
  </numFmts>
  <fonts count="12">
    <font>
      <sz val="11"/>
      <color theme="1"/>
      <name val="Calibri"/>
      <family val="2"/>
      <charset val="222"/>
      <scheme val="minor"/>
    </font>
    <font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sz val="18"/>
      <color theme="1"/>
      <name val="Calibri"/>
      <family val="2"/>
      <charset val="222"/>
      <scheme val="minor"/>
    </font>
    <font>
      <sz val="18"/>
      <name val="Calibri"/>
      <family val="2"/>
      <scheme val="minor"/>
    </font>
    <font>
      <sz val="18"/>
      <color rgb="FFFF0000"/>
      <name val="Calibri"/>
      <family val="2"/>
      <scheme val="minor"/>
    </font>
    <font>
      <sz val="18"/>
      <color rgb="FFFF0000"/>
      <name val="Calibri"/>
      <family val="2"/>
      <charset val="222"/>
      <scheme val="minor"/>
    </font>
    <font>
      <sz val="16"/>
      <color rgb="FFFF0000"/>
      <name val="Calibri"/>
      <family val="2"/>
      <scheme val="minor"/>
    </font>
    <font>
      <sz val="8"/>
      <name val="Calibri"/>
      <family val="2"/>
      <charset val="222"/>
      <scheme val="minor"/>
    </font>
    <font>
      <sz val="16"/>
      <color theme="1"/>
      <name val="Calibri"/>
      <family val="2"/>
      <charset val="222"/>
      <scheme val="minor"/>
    </font>
    <font>
      <sz val="16"/>
      <color theme="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6B5B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8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6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164" fontId="3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0" fontId="2" fillId="0" borderId="0" xfId="0" applyFont="1" applyAlignment="1">
      <alignment vertical="center"/>
    </xf>
    <xf numFmtId="164" fontId="6" fillId="5" borderId="3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64" fontId="3" fillId="2" borderId="0" xfId="0" applyNumberFormat="1" applyFont="1" applyFill="1" applyAlignment="1">
      <alignment horizontal="center" vertical="center"/>
    </xf>
    <xf numFmtId="164" fontId="6" fillId="5" borderId="0" xfId="0" applyNumberFormat="1" applyFont="1" applyFill="1" applyAlignment="1">
      <alignment horizontal="center" vertical="center"/>
    </xf>
    <xf numFmtId="164" fontId="6" fillId="10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64" fontId="3" fillId="2" borderId="3" xfId="0" applyNumberFormat="1" applyFont="1" applyFill="1" applyBorder="1" applyAlignment="1">
      <alignment horizontal="center" vertical="center"/>
    </xf>
    <xf numFmtId="164" fontId="8" fillId="9" borderId="2" xfId="0" applyNumberFormat="1" applyFont="1" applyFill="1" applyBorder="1" applyAlignment="1">
      <alignment horizontal="center" vertical="center"/>
    </xf>
    <xf numFmtId="0" fontId="10" fillId="0" borderId="0" xfId="0" applyFont="1"/>
    <xf numFmtId="164" fontId="10" fillId="0" borderId="0" xfId="0" applyNumberFormat="1" applyFont="1"/>
    <xf numFmtId="164" fontId="0" fillId="0" borderId="0" xfId="0" applyNumberFormat="1"/>
    <xf numFmtId="164" fontId="3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0" fontId="1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4" fontId="5" fillId="5" borderId="3" xfId="0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11" fillId="0" borderId="6" xfId="0" applyFont="1" applyBorder="1" applyAlignment="1">
      <alignment vertical="center"/>
    </xf>
    <xf numFmtId="164" fontId="6" fillId="5" borderId="2" xfId="0" applyNumberFormat="1" applyFont="1" applyFill="1" applyBorder="1" applyAlignment="1">
      <alignment horizontal="center" vertical="center"/>
    </xf>
    <xf numFmtId="0" fontId="0" fillId="0" borderId="12" xfId="0" applyBorder="1"/>
    <xf numFmtId="164" fontId="3" fillId="5" borderId="2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8" fillId="9" borderId="6" xfId="0" applyFont="1" applyFill="1" applyBorder="1" applyAlignment="1">
      <alignment horizontal="center" vertical="center"/>
    </xf>
    <xf numFmtId="0" fontId="8" fillId="9" borderId="8" xfId="0" applyFont="1" applyFill="1" applyBorder="1" applyAlignment="1">
      <alignment horizontal="center" vertical="center"/>
    </xf>
    <xf numFmtId="0" fontId="8" fillId="9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C1525-98FB-494E-BC50-15FBBA6E2A97}">
  <sheetPr>
    <pageSetUpPr fitToPage="1"/>
  </sheetPr>
  <dimension ref="B1:L171"/>
  <sheetViews>
    <sheetView topLeftCell="A70" zoomScale="60" zoomScaleNormal="60" workbookViewId="0">
      <selection activeCell="D88" sqref="D88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</cols>
  <sheetData>
    <row r="1" spans="2:12">
      <c r="B1" s="64" t="s">
        <v>148</v>
      </c>
      <c r="C1" s="64"/>
      <c r="D1" s="64"/>
      <c r="E1" s="64"/>
      <c r="F1" s="64"/>
      <c r="G1" s="64"/>
      <c r="H1" s="64"/>
      <c r="I1" s="64"/>
      <c r="J1" s="64"/>
      <c r="K1" s="64"/>
      <c r="L1" s="64"/>
    </row>
    <row r="2" spans="2:12">
      <c r="B2" s="68"/>
      <c r="C2" s="69"/>
      <c r="D2" s="1"/>
      <c r="E2" s="70"/>
      <c r="F2" s="70"/>
      <c r="G2" s="2"/>
      <c r="H2" s="2"/>
      <c r="I2" s="2"/>
      <c r="J2" s="2"/>
      <c r="K2" s="2"/>
      <c r="L2" s="3" t="s">
        <v>0</v>
      </c>
    </row>
    <row r="3" spans="2:12">
      <c r="B3" s="68"/>
      <c r="C3" s="69"/>
      <c r="D3" s="4"/>
      <c r="E3" s="71"/>
      <c r="F3" s="71"/>
      <c r="G3" s="5"/>
      <c r="H3" s="5"/>
      <c r="I3" s="5"/>
      <c r="J3" s="41"/>
      <c r="K3" s="41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1">
      <c r="B6" s="65" t="s">
        <v>11</v>
      </c>
      <c r="C6" s="66"/>
      <c r="D6" s="66"/>
      <c r="E6" s="66"/>
      <c r="F6" s="66"/>
      <c r="G6" s="66"/>
      <c r="H6" s="66"/>
      <c r="I6" s="66"/>
      <c r="J6" s="66"/>
      <c r="K6" s="66"/>
      <c r="L6" s="66"/>
    </row>
    <row r="7" spans="2:12">
      <c r="B7" s="11">
        <v>1111002</v>
      </c>
      <c r="C7" s="15" t="s">
        <v>107</v>
      </c>
      <c r="D7" s="30">
        <v>4</v>
      </c>
      <c r="E7" s="30">
        <v>21</v>
      </c>
      <c r="F7" s="30">
        <v>37</v>
      </c>
      <c r="G7" s="30">
        <v>24</v>
      </c>
      <c r="H7" s="30"/>
      <c r="I7" s="30"/>
      <c r="J7" s="43"/>
      <c r="K7" s="43">
        <v>3</v>
      </c>
      <c r="L7" s="36">
        <f>SUM(D7:K7)</f>
        <v>89</v>
      </c>
    </row>
    <row r="8" spans="2:12" ht="22.5" hidden="1" customHeight="1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>
      <c r="B25" s="11">
        <v>1111056</v>
      </c>
      <c r="C25" s="15" t="s">
        <v>28</v>
      </c>
      <c r="D25" s="30">
        <v>16</v>
      </c>
      <c r="E25" s="30">
        <v>13</v>
      </c>
      <c r="F25" s="30">
        <v>1</v>
      </c>
      <c r="G25" s="30">
        <v>2</v>
      </c>
      <c r="H25" s="30"/>
      <c r="I25" s="30"/>
      <c r="J25" s="43"/>
      <c r="K25" s="43"/>
      <c r="L25" s="36">
        <f t="shared" si="0"/>
        <v>32</v>
      </c>
    </row>
    <row r="26" spans="2:12">
      <c r="B26" s="11">
        <v>1004055</v>
      </c>
      <c r="C26" s="15" t="s">
        <v>108</v>
      </c>
      <c r="D26" s="30"/>
      <c r="E26" s="30"/>
      <c r="F26" s="30"/>
      <c r="G26" s="30">
        <v>24</v>
      </c>
      <c r="H26" s="30"/>
      <c r="I26" s="30"/>
      <c r="J26" s="43"/>
      <c r="K26" s="43"/>
      <c r="L26" s="36">
        <f t="shared" si="0"/>
        <v>24</v>
      </c>
    </row>
    <row r="27" spans="2:12" ht="22.5" hidden="1" customHeight="1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>
      <c r="B40" s="11">
        <v>1111057</v>
      </c>
      <c r="C40" s="15" t="s">
        <v>30</v>
      </c>
      <c r="D40" s="30"/>
      <c r="E40" s="30">
        <v>10</v>
      </c>
      <c r="F40" s="30"/>
      <c r="G40" s="30"/>
      <c r="H40" s="30"/>
      <c r="I40" s="30"/>
      <c r="J40" s="43"/>
      <c r="K40" s="43"/>
      <c r="L40" s="36">
        <f t="shared" si="0"/>
        <v>10</v>
      </c>
    </row>
    <row r="41" spans="2:12">
      <c r="B41" s="11">
        <v>1111058</v>
      </c>
      <c r="C41" s="15" t="s">
        <v>31</v>
      </c>
      <c r="D41" s="30"/>
      <c r="E41" s="30">
        <v>10</v>
      </c>
      <c r="F41" s="30"/>
      <c r="G41" s="30"/>
      <c r="H41" s="30"/>
      <c r="I41" s="30"/>
      <c r="J41" s="43"/>
      <c r="K41" s="43"/>
      <c r="L41" s="36">
        <f t="shared" si="0"/>
        <v>10</v>
      </c>
    </row>
    <row r="42" spans="2:12">
      <c r="B42" s="11">
        <v>1111059</v>
      </c>
      <c r="C42" s="15" t="s">
        <v>32</v>
      </c>
      <c r="D42" s="30"/>
      <c r="E42" s="30">
        <v>10</v>
      </c>
      <c r="F42" s="30"/>
      <c r="G42" s="30"/>
      <c r="H42" s="30"/>
      <c r="I42" s="30"/>
      <c r="J42" s="43"/>
      <c r="K42" s="43"/>
      <c r="L42" s="36">
        <f t="shared" si="0"/>
        <v>10</v>
      </c>
    </row>
    <row r="43" spans="2:12">
      <c r="B43" s="11">
        <v>1111060</v>
      </c>
      <c r="C43" s="15" t="s">
        <v>33</v>
      </c>
      <c r="D43" s="30"/>
      <c r="E43" s="30">
        <v>10</v>
      </c>
      <c r="F43" s="30"/>
      <c r="G43" s="30"/>
      <c r="H43" s="30"/>
      <c r="I43" s="30"/>
      <c r="J43" s="43"/>
      <c r="K43" s="43"/>
      <c r="L43" s="36">
        <f t="shared" si="0"/>
        <v>10</v>
      </c>
    </row>
    <row r="44" spans="2:12">
      <c r="B44" s="11">
        <v>1111061</v>
      </c>
      <c r="C44" s="15" t="s">
        <v>34</v>
      </c>
      <c r="D44" s="30"/>
      <c r="E44" s="30">
        <v>10</v>
      </c>
      <c r="F44" s="30"/>
      <c r="G44" s="30"/>
      <c r="H44" s="30"/>
      <c r="I44" s="30"/>
      <c r="J44" s="43"/>
      <c r="K44" s="43"/>
      <c r="L44" s="36">
        <f t="shared" si="0"/>
        <v>10</v>
      </c>
    </row>
    <row r="45" spans="2:12">
      <c r="B45" s="11">
        <v>1111062</v>
      </c>
      <c r="C45" s="15" t="s">
        <v>35</v>
      </c>
      <c r="D45" s="30"/>
      <c r="E45" s="30">
        <v>10</v>
      </c>
      <c r="F45" s="30"/>
      <c r="G45" s="30"/>
      <c r="H45" s="30"/>
      <c r="I45" s="30"/>
      <c r="J45" s="43"/>
      <c r="K45" s="43"/>
      <c r="L45" s="36">
        <f t="shared" si="0"/>
        <v>10</v>
      </c>
    </row>
    <row r="46" spans="2:12">
      <c r="B46" s="11">
        <v>1111063</v>
      </c>
      <c r="C46" s="15" t="s">
        <v>36</v>
      </c>
      <c r="D46" s="30"/>
      <c r="E46" s="30">
        <v>10</v>
      </c>
      <c r="F46" s="30"/>
      <c r="G46" s="30"/>
      <c r="H46" s="30"/>
      <c r="I46" s="30"/>
      <c r="J46" s="43"/>
      <c r="K46" s="43"/>
      <c r="L46" s="36">
        <f t="shared" si="0"/>
        <v>10</v>
      </c>
    </row>
    <row r="47" spans="2:12">
      <c r="B47" s="11">
        <v>1111064</v>
      </c>
      <c r="C47" s="15" t="s">
        <v>37</v>
      </c>
      <c r="D47" s="30"/>
      <c r="E47" s="30">
        <v>10</v>
      </c>
      <c r="F47" s="30"/>
      <c r="G47" s="30"/>
      <c r="H47" s="30"/>
      <c r="I47" s="30"/>
      <c r="J47" s="43"/>
      <c r="K47" s="43"/>
      <c r="L47" s="36">
        <f t="shared" si="0"/>
        <v>10</v>
      </c>
    </row>
    <row r="48" spans="2:12">
      <c r="B48" s="11">
        <v>1111065</v>
      </c>
      <c r="C48" s="15" t="s">
        <v>38</v>
      </c>
      <c r="D48" s="30"/>
      <c r="E48" s="30">
        <v>10</v>
      </c>
      <c r="F48" s="30"/>
      <c r="G48" s="30"/>
      <c r="H48" s="30"/>
      <c r="I48" s="30"/>
      <c r="J48" s="43"/>
      <c r="K48" s="43"/>
      <c r="L48" s="36">
        <f t="shared" si="0"/>
        <v>10</v>
      </c>
    </row>
    <row r="49" spans="2:12">
      <c r="B49" s="11">
        <v>1111066</v>
      </c>
      <c r="C49" s="15" t="s">
        <v>39</v>
      </c>
      <c r="D49" s="30"/>
      <c r="E49" s="30">
        <v>10</v>
      </c>
      <c r="F49" s="30"/>
      <c r="G49" s="30"/>
      <c r="H49" s="30"/>
      <c r="I49" s="30"/>
      <c r="J49" s="43"/>
      <c r="K49" s="43"/>
      <c r="L49" s="36">
        <f t="shared" si="0"/>
        <v>10</v>
      </c>
    </row>
    <row r="50" spans="2:12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>
      <c r="B56" s="11">
        <v>1111074</v>
      </c>
      <c r="C56" s="15" t="s">
        <v>44</v>
      </c>
      <c r="D56" s="30"/>
      <c r="E56" s="30">
        <v>3</v>
      </c>
      <c r="F56" s="30">
        <v>1</v>
      </c>
      <c r="G56" s="30"/>
      <c r="H56" s="30"/>
      <c r="I56" s="30"/>
      <c r="J56" s="43"/>
      <c r="K56" s="43"/>
      <c r="L56" s="36">
        <f t="shared" si="0"/>
        <v>4</v>
      </c>
    </row>
    <row r="57" spans="2:12">
      <c r="B57" s="11">
        <v>1111075</v>
      </c>
      <c r="C57" s="15" t="s">
        <v>45</v>
      </c>
      <c r="D57" s="30"/>
      <c r="E57" s="30">
        <v>3</v>
      </c>
      <c r="F57" s="30">
        <v>1</v>
      </c>
      <c r="G57" s="30"/>
      <c r="H57" s="30"/>
      <c r="I57" s="30"/>
      <c r="J57" s="43"/>
      <c r="K57" s="43"/>
      <c r="L57" s="36">
        <f t="shared" si="0"/>
        <v>4</v>
      </c>
    </row>
    <row r="58" spans="2:12">
      <c r="B58" s="11">
        <v>1111076</v>
      </c>
      <c r="C58" s="15" t="s">
        <v>46</v>
      </c>
      <c r="D58" s="30"/>
      <c r="E58" s="30">
        <v>3</v>
      </c>
      <c r="F58" s="30">
        <v>1</v>
      </c>
      <c r="G58" s="30"/>
      <c r="H58" s="30"/>
      <c r="I58" s="30"/>
      <c r="J58" s="43"/>
      <c r="K58" s="43"/>
      <c r="L58" s="36">
        <f t="shared" si="0"/>
        <v>4</v>
      </c>
    </row>
    <row r="59" spans="2:12">
      <c r="B59" s="11">
        <v>1111077</v>
      </c>
      <c r="C59" s="15" t="s">
        <v>47</v>
      </c>
      <c r="D59" s="30"/>
      <c r="E59" s="30">
        <v>3</v>
      </c>
      <c r="F59" s="30">
        <v>1</v>
      </c>
      <c r="G59" s="30"/>
      <c r="H59" s="30"/>
      <c r="I59" s="30"/>
      <c r="J59" s="43"/>
      <c r="K59" s="43"/>
      <c r="L59" s="36">
        <f t="shared" si="0"/>
        <v>4</v>
      </c>
    </row>
    <row r="60" spans="2:12">
      <c r="B60" s="11">
        <v>1111078</v>
      </c>
      <c r="C60" s="15" t="s">
        <v>48</v>
      </c>
      <c r="D60" s="30"/>
      <c r="E60" s="30">
        <v>3</v>
      </c>
      <c r="F60" s="30">
        <v>1</v>
      </c>
      <c r="G60" s="30"/>
      <c r="H60" s="30"/>
      <c r="I60" s="30"/>
      <c r="J60" s="43"/>
      <c r="K60" s="43"/>
      <c r="L60" s="36">
        <f t="shared" si="0"/>
        <v>4</v>
      </c>
    </row>
    <row r="61" spans="2:12">
      <c r="B61" s="11">
        <v>1111079</v>
      </c>
      <c r="C61" s="15" t="s">
        <v>49</v>
      </c>
      <c r="D61" s="30"/>
      <c r="E61" s="30">
        <v>3</v>
      </c>
      <c r="F61" s="30">
        <v>1</v>
      </c>
      <c r="G61" s="30"/>
      <c r="H61" s="30"/>
      <c r="I61" s="30"/>
      <c r="J61" s="43"/>
      <c r="K61" s="43"/>
      <c r="L61" s="36">
        <f t="shared" si="0"/>
        <v>4</v>
      </c>
    </row>
    <row r="62" spans="2:12">
      <c r="B62" s="11">
        <v>1111080</v>
      </c>
      <c r="C62" s="15" t="s">
        <v>50</v>
      </c>
      <c r="D62" s="30"/>
      <c r="E62" s="30">
        <v>3</v>
      </c>
      <c r="F62" s="30">
        <v>1</v>
      </c>
      <c r="G62" s="30"/>
      <c r="H62" s="30"/>
      <c r="I62" s="30"/>
      <c r="J62" s="43"/>
      <c r="K62" s="43"/>
      <c r="L62" s="36">
        <f t="shared" si="0"/>
        <v>4</v>
      </c>
    </row>
    <row r="63" spans="2:12">
      <c r="B63" s="11">
        <v>1111081</v>
      </c>
      <c r="C63" s="15" t="s">
        <v>51</v>
      </c>
      <c r="D63" s="30"/>
      <c r="E63" s="30">
        <v>3</v>
      </c>
      <c r="F63" s="30">
        <v>1</v>
      </c>
      <c r="G63" s="30"/>
      <c r="H63" s="30"/>
      <c r="I63" s="30"/>
      <c r="J63" s="43"/>
      <c r="K63" s="43"/>
      <c r="L63" s="36">
        <f t="shared" si="0"/>
        <v>4</v>
      </c>
    </row>
    <row r="64" spans="2:12">
      <c r="B64" s="11">
        <v>1111082</v>
      </c>
      <c r="C64" s="15" t="s">
        <v>52</v>
      </c>
      <c r="D64" s="30"/>
      <c r="E64" s="30">
        <v>3</v>
      </c>
      <c r="F64" s="30">
        <v>1</v>
      </c>
      <c r="G64" s="30"/>
      <c r="H64" s="30"/>
      <c r="I64" s="30"/>
      <c r="J64" s="43"/>
      <c r="K64" s="43"/>
      <c r="L64" s="36">
        <f t="shared" si="0"/>
        <v>4</v>
      </c>
    </row>
    <row r="65" spans="2:12">
      <c r="B65" s="11">
        <v>1111083</v>
      </c>
      <c r="C65" s="15" t="s">
        <v>53</v>
      </c>
      <c r="D65" s="30"/>
      <c r="E65" s="30">
        <v>3</v>
      </c>
      <c r="F65" s="30">
        <v>1</v>
      </c>
      <c r="G65" s="30"/>
      <c r="H65" s="30"/>
      <c r="I65" s="30"/>
      <c r="J65" s="43"/>
      <c r="K65" s="43"/>
      <c r="L65" s="36">
        <f t="shared" si="0"/>
        <v>4</v>
      </c>
    </row>
    <row r="66" spans="2:1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285</v>
      </c>
    </row>
    <row r="68" spans="2:12" ht="21">
      <c r="B68" s="65" t="s">
        <v>55</v>
      </c>
      <c r="C68" s="66"/>
      <c r="D68" s="66"/>
      <c r="E68" s="66"/>
      <c r="F68" s="66"/>
      <c r="G68" s="66"/>
      <c r="H68" s="66"/>
      <c r="I68" s="66"/>
      <c r="J68" s="66"/>
      <c r="K68" s="66"/>
      <c r="L68" s="66"/>
    </row>
    <row r="69" spans="2:12">
      <c r="B69" s="11">
        <v>1111009</v>
      </c>
      <c r="C69" s="19" t="s">
        <v>56</v>
      </c>
      <c r="D69" s="30">
        <v>1</v>
      </c>
      <c r="E69" s="30">
        <v>1</v>
      </c>
      <c r="F69" s="30">
        <v>2</v>
      </c>
      <c r="G69" s="30">
        <v>3</v>
      </c>
      <c r="H69" s="30"/>
      <c r="I69" s="30"/>
      <c r="J69" s="43"/>
      <c r="K69" s="43"/>
      <c r="L69" s="36">
        <f t="shared" ref="L69:L76" si="1">SUM(D69:K69)</f>
        <v>7</v>
      </c>
    </row>
    <row r="70" spans="2:1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7</v>
      </c>
    </row>
    <row r="78" spans="2:12" ht="21">
      <c r="B78" s="65" t="s">
        <v>64</v>
      </c>
      <c r="C78" s="66"/>
      <c r="D78" s="66"/>
      <c r="E78" s="66"/>
      <c r="F78" s="66"/>
      <c r="G78" s="66"/>
      <c r="H78" s="66"/>
      <c r="I78" s="66"/>
      <c r="J78" s="66"/>
      <c r="K78" s="66"/>
      <c r="L78" s="66"/>
    </row>
    <row r="79" spans="2:1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>
      <c r="B87" s="11">
        <v>1111008</v>
      </c>
      <c r="C87" s="19" t="s">
        <v>73</v>
      </c>
      <c r="D87" s="30">
        <v>20</v>
      </c>
      <c r="E87" s="30">
        <v>6</v>
      </c>
      <c r="F87" s="30"/>
      <c r="G87" s="30">
        <v>19</v>
      </c>
      <c r="H87" s="30"/>
      <c r="I87" s="30"/>
      <c r="J87" s="43"/>
      <c r="K87" s="43">
        <v>5</v>
      </c>
      <c r="L87" s="36">
        <f t="shared" si="2"/>
        <v>50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50</v>
      </c>
    </row>
    <row r="89" spans="2:12" ht="21">
      <c r="B89" s="65" t="s">
        <v>74</v>
      </c>
      <c r="C89" s="66"/>
      <c r="D89" s="66"/>
      <c r="E89" s="66"/>
      <c r="F89" s="66"/>
      <c r="G89" s="66"/>
      <c r="H89" s="66"/>
      <c r="I89" s="66"/>
      <c r="J89" s="66"/>
      <c r="K89" s="66"/>
      <c r="L89" s="66"/>
    </row>
    <row r="90" spans="2:12">
      <c r="B90" s="11">
        <v>1112009</v>
      </c>
      <c r="C90" s="19" t="s">
        <v>75</v>
      </c>
      <c r="D90" s="30">
        <v>2</v>
      </c>
      <c r="E90" s="30"/>
      <c r="F90" s="30">
        <v>1</v>
      </c>
      <c r="G90" s="30">
        <v>22</v>
      </c>
      <c r="H90" s="30"/>
      <c r="I90" s="30"/>
      <c r="J90" s="43"/>
      <c r="K90" s="43">
        <v>5</v>
      </c>
      <c r="L90" s="36">
        <f t="shared" ref="L90:L99" si="3">SUM(D90:K90)</f>
        <v>30</v>
      </c>
    </row>
    <row r="91" spans="2:12">
      <c r="B91" s="11">
        <v>1112011</v>
      </c>
      <c r="C91" s="19" t="s">
        <v>76</v>
      </c>
      <c r="D91" s="30">
        <v>1</v>
      </c>
      <c r="E91" s="30"/>
      <c r="F91" s="30">
        <v>5</v>
      </c>
      <c r="G91" s="30">
        <v>22</v>
      </c>
      <c r="H91" s="30"/>
      <c r="I91" s="30"/>
      <c r="J91" s="43"/>
      <c r="K91" s="43">
        <v>5</v>
      </c>
      <c r="L91" s="36">
        <f t="shared" si="3"/>
        <v>33</v>
      </c>
    </row>
    <row r="92" spans="2:12">
      <c r="B92" s="11">
        <v>1112003</v>
      </c>
      <c r="C92" s="19" t="s">
        <v>77</v>
      </c>
      <c r="D92" s="30">
        <v>5</v>
      </c>
      <c r="E92" s="30"/>
      <c r="F92" s="30">
        <v>2</v>
      </c>
      <c r="G92" s="30">
        <v>23</v>
      </c>
      <c r="H92" s="30"/>
      <c r="I92" s="30"/>
      <c r="J92" s="43"/>
      <c r="K92" s="43"/>
      <c r="L92" s="36">
        <f t="shared" si="3"/>
        <v>30</v>
      </c>
    </row>
    <row r="93" spans="2:12">
      <c r="B93" s="11">
        <v>1112005</v>
      </c>
      <c r="C93" s="19" t="s">
        <v>78</v>
      </c>
      <c r="D93" s="30">
        <v>4</v>
      </c>
      <c r="E93" s="30"/>
      <c r="F93" s="30">
        <v>2</v>
      </c>
      <c r="G93" s="30">
        <v>23</v>
      </c>
      <c r="H93" s="30"/>
      <c r="I93" s="30"/>
      <c r="J93" s="43"/>
      <c r="K93" s="43"/>
      <c r="L93" s="36">
        <f t="shared" si="3"/>
        <v>29</v>
      </c>
    </row>
    <row r="94" spans="2:1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>
      <c r="B97" s="11">
        <v>1112015</v>
      </c>
      <c r="C97" s="19" t="s">
        <v>82</v>
      </c>
      <c r="D97" s="30">
        <v>3</v>
      </c>
      <c r="E97" s="30"/>
      <c r="F97" s="30">
        <v>2</v>
      </c>
      <c r="G97" s="30">
        <v>23</v>
      </c>
      <c r="H97" s="30"/>
      <c r="I97" s="30"/>
      <c r="J97" s="43"/>
      <c r="K97" s="43"/>
      <c r="L97" s="36">
        <f t="shared" si="3"/>
        <v>28</v>
      </c>
    </row>
    <row r="98" spans="2:12">
      <c r="B98" s="11">
        <v>1112013</v>
      </c>
      <c r="C98" s="19" t="s">
        <v>83</v>
      </c>
      <c r="D98" s="30">
        <v>4</v>
      </c>
      <c r="E98" s="30"/>
      <c r="F98" s="30">
        <v>1</v>
      </c>
      <c r="G98" s="30">
        <v>22</v>
      </c>
      <c r="H98" s="30"/>
      <c r="I98" s="30"/>
      <c r="J98" s="43"/>
      <c r="K98" s="43"/>
      <c r="L98" s="36">
        <f t="shared" si="3"/>
        <v>27</v>
      </c>
    </row>
    <row r="99" spans="2:1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177</v>
      </c>
    </row>
    <row r="101" spans="2:12" ht="21">
      <c r="B101" s="65" t="s">
        <v>85</v>
      </c>
      <c r="C101" s="66"/>
      <c r="D101" s="66"/>
      <c r="E101" s="66"/>
      <c r="F101" s="66"/>
      <c r="G101" s="66"/>
      <c r="H101" s="66"/>
      <c r="I101" s="66"/>
      <c r="J101" s="66"/>
      <c r="K101" s="66"/>
      <c r="L101" s="66"/>
    </row>
    <row r="102" spans="2:1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1">
      <c r="B113" s="65" t="s">
        <v>86</v>
      </c>
      <c r="C113" s="66"/>
      <c r="D113" s="66"/>
      <c r="E113" s="66"/>
      <c r="F113" s="66"/>
      <c r="G113" s="66"/>
      <c r="H113" s="66"/>
      <c r="I113" s="66"/>
      <c r="J113" s="66"/>
      <c r="K113" s="66"/>
      <c r="L113" s="66"/>
    </row>
    <row r="114" spans="2:12">
      <c r="B114" s="11">
        <v>1113170</v>
      </c>
      <c r="C114" s="21" t="s">
        <v>87</v>
      </c>
      <c r="D114" s="30">
        <v>24</v>
      </c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24</v>
      </c>
    </row>
    <row r="115" spans="2:12">
      <c r="B115" s="11">
        <v>1113171</v>
      </c>
      <c r="C115" s="21" t="s">
        <v>88</v>
      </c>
      <c r="D115" s="30">
        <v>20</v>
      </c>
      <c r="E115" s="30"/>
      <c r="F115" s="30">
        <v>1</v>
      </c>
      <c r="G115" s="30"/>
      <c r="H115" s="30"/>
      <c r="I115" s="30"/>
      <c r="J115" s="43"/>
      <c r="K115" s="43"/>
      <c r="L115" s="36">
        <f t="shared" si="5"/>
        <v>21</v>
      </c>
    </row>
    <row r="116" spans="2:1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>
      <c r="B123" s="11">
        <v>1114501</v>
      </c>
      <c r="C123" s="21" t="s">
        <v>95</v>
      </c>
      <c r="D123" s="30">
        <v>1</v>
      </c>
      <c r="E123" s="30">
        <v>8</v>
      </c>
      <c r="F123" s="30">
        <v>6</v>
      </c>
      <c r="G123" s="30">
        <v>73</v>
      </c>
      <c r="H123" s="30"/>
      <c r="I123" s="30"/>
      <c r="J123" s="43"/>
      <c r="K123" s="43"/>
      <c r="L123" s="36">
        <f t="shared" si="5"/>
        <v>88</v>
      </c>
    </row>
    <row r="124" spans="2:12">
      <c r="B124" s="11">
        <v>1114502</v>
      </c>
      <c r="C124" s="21" t="s">
        <v>96</v>
      </c>
      <c r="D124" s="30">
        <v>1</v>
      </c>
      <c r="E124" s="30"/>
      <c r="F124" s="30">
        <v>7</v>
      </c>
      <c r="G124" s="30">
        <v>70</v>
      </c>
      <c r="H124" s="30"/>
      <c r="I124" s="30"/>
      <c r="J124" s="43"/>
      <c r="K124" s="43"/>
      <c r="L124" s="36">
        <f t="shared" si="5"/>
        <v>78</v>
      </c>
    </row>
    <row r="125" spans="2:12">
      <c r="B125" s="11">
        <v>1114503</v>
      </c>
      <c r="C125" s="21" t="s">
        <v>97</v>
      </c>
      <c r="D125" s="30">
        <v>1</v>
      </c>
      <c r="E125" s="30">
        <v>1</v>
      </c>
      <c r="F125" s="30">
        <v>4</v>
      </c>
      <c r="G125" s="30">
        <v>73</v>
      </c>
      <c r="H125" s="30"/>
      <c r="I125" s="30"/>
      <c r="J125" s="43"/>
      <c r="K125" s="43"/>
      <c r="L125" s="36">
        <f t="shared" si="5"/>
        <v>79</v>
      </c>
    </row>
    <row r="126" spans="2:12">
      <c r="B126" s="11">
        <v>1124021</v>
      </c>
      <c r="C126" s="21" t="s">
        <v>98</v>
      </c>
      <c r="D126" s="30"/>
      <c r="E126" s="30">
        <v>10</v>
      </c>
      <c r="F126" s="30">
        <v>2</v>
      </c>
      <c r="G126" s="30">
        <v>2</v>
      </c>
      <c r="H126" s="30"/>
      <c r="I126" s="30"/>
      <c r="J126" s="43"/>
      <c r="K126" s="43"/>
      <c r="L126" s="36">
        <f t="shared" si="5"/>
        <v>14</v>
      </c>
    </row>
    <row r="127" spans="2:1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>
      <c r="B136" s="22"/>
      <c r="C136" s="21" t="s">
        <v>125</v>
      </c>
      <c r="D136" s="30"/>
      <c r="E136" s="30">
        <v>2</v>
      </c>
      <c r="F136" s="30"/>
      <c r="G136" s="30"/>
      <c r="H136" s="30"/>
      <c r="I136" s="30"/>
      <c r="J136" s="43"/>
      <c r="K136" s="43"/>
      <c r="L136" s="36">
        <f t="shared" si="5"/>
        <v>2</v>
      </c>
    </row>
    <row r="137" spans="2:12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>
      <c r="B140" s="58"/>
      <c r="C140" s="59" t="s">
        <v>139</v>
      </c>
      <c r="D140" s="48"/>
      <c r="E140" s="48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>
      <c r="B141" s="50">
        <v>20059548</v>
      </c>
      <c r="C141" s="49" t="s">
        <v>144</v>
      </c>
      <c r="D141" s="48"/>
      <c r="E141" s="48"/>
      <c r="F141" s="51"/>
      <c r="G141" s="52"/>
      <c r="H141" s="9"/>
      <c r="I141" s="9"/>
      <c r="J141" s="9"/>
      <c r="K141" s="9"/>
      <c r="L141" s="36">
        <f t="shared" ref="L141:L148" si="6">SUM(D141:K141)</f>
        <v>0</v>
      </c>
    </row>
    <row r="142" spans="2:12">
      <c r="B142" s="50">
        <v>20054646</v>
      </c>
      <c r="C142" s="49" t="s">
        <v>145</v>
      </c>
      <c r="D142" s="21"/>
      <c r="E142" s="48"/>
      <c r="F142" s="51"/>
      <c r="G142" s="52"/>
      <c r="H142" s="9"/>
      <c r="I142" s="9"/>
      <c r="J142" s="9"/>
      <c r="K142" s="9"/>
      <c r="L142" s="36">
        <f t="shared" si="6"/>
        <v>0</v>
      </c>
    </row>
    <row r="143" spans="2:12">
      <c r="B143" s="50">
        <v>1100044</v>
      </c>
      <c r="C143" s="49" t="s">
        <v>146</v>
      </c>
      <c r="D143" s="51"/>
      <c r="E143" s="51"/>
      <c r="F143" s="51"/>
      <c r="G143" s="52"/>
      <c r="H143" s="9"/>
      <c r="I143" s="9"/>
      <c r="J143" s="9"/>
      <c r="K143" s="9"/>
      <c r="L143" s="36">
        <f t="shared" si="6"/>
        <v>0</v>
      </c>
    </row>
    <row r="144" spans="2:12">
      <c r="B144" s="50"/>
      <c r="C144" s="49"/>
      <c r="D144" s="51"/>
      <c r="E144" s="51"/>
      <c r="F144" s="51"/>
      <c r="G144" s="52"/>
      <c r="H144" s="9"/>
      <c r="I144" s="9"/>
      <c r="J144" s="9"/>
      <c r="K144" s="9"/>
      <c r="L144" s="36">
        <f t="shared" si="6"/>
        <v>0</v>
      </c>
    </row>
    <row r="145" spans="2:12">
      <c r="B145" s="50"/>
      <c r="C145" s="49"/>
      <c r="D145" s="51"/>
      <c r="E145" s="51"/>
      <c r="F145" s="51"/>
      <c r="G145" s="52"/>
      <c r="H145" s="9"/>
      <c r="I145" s="9"/>
      <c r="J145" s="9"/>
      <c r="K145" s="9"/>
      <c r="L145" s="36">
        <f t="shared" si="6"/>
        <v>0</v>
      </c>
    </row>
    <row r="146" spans="2:12">
      <c r="B146" s="50"/>
      <c r="C146" s="49"/>
      <c r="D146" s="51"/>
      <c r="E146" s="51"/>
      <c r="F146" s="51"/>
      <c r="G146" s="52"/>
      <c r="H146" s="9"/>
      <c r="I146" s="9"/>
      <c r="J146" s="9"/>
      <c r="K146" s="9"/>
      <c r="L146" s="36">
        <f t="shared" si="6"/>
        <v>0</v>
      </c>
    </row>
    <row r="147" spans="2:12">
      <c r="B147" s="50"/>
      <c r="C147" s="49"/>
      <c r="D147" s="51"/>
      <c r="E147" s="51"/>
      <c r="F147" s="51"/>
      <c r="G147" s="52"/>
      <c r="H147" s="9"/>
      <c r="I147" s="9"/>
      <c r="J147" s="9"/>
      <c r="K147" s="9"/>
      <c r="L147" s="36">
        <f t="shared" si="6"/>
        <v>0</v>
      </c>
    </row>
    <row r="148" spans="2:12">
      <c r="B148" s="50"/>
      <c r="C148" s="49"/>
      <c r="D148" s="51"/>
      <c r="E148" s="51"/>
      <c r="F148" s="51"/>
      <c r="G148" s="52"/>
      <c r="H148" s="9"/>
      <c r="I148" s="9"/>
      <c r="J148" s="9"/>
      <c r="K148" s="9"/>
      <c r="L148" s="36">
        <f t="shared" si="6"/>
        <v>0</v>
      </c>
    </row>
    <row r="149" spans="2:12">
      <c r="B149" s="50"/>
      <c r="C149" s="49"/>
      <c r="D149" s="51"/>
      <c r="E149" s="51"/>
      <c r="F149" s="51"/>
      <c r="G149" s="52"/>
      <c r="H149" s="9"/>
      <c r="I149" s="9"/>
      <c r="J149" s="9"/>
      <c r="K149" s="9"/>
      <c r="L149" s="36">
        <f t="shared" ref="L149:L151" si="7">SUM(D149:K149)</f>
        <v>0</v>
      </c>
    </row>
    <row r="150" spans="2:12">
      <c r="B150" s="50"/>
      <c r="C150" s="49"/>
      <c r="D150" s="51"/>
      <c r="E150" s="51"/>
      <c r="F150" s="51"/>
      <c r="G150" s="52"/>
      <c r="H150" s="9"/>
      <c r="I150" s="9"/>
      <c r="J150" s="9"/>
      <c r="K150" s="9"/>
      <c r="L150" s="36">
        <f t="shared" si="7"/>
        <v>0</v>
      </c>
    </row>
    <row r="151" spans="2:12">
      <c r="B151" s="50"/>
      <c r="C151" s="49"/>
      <c r="D151" s="51"/>
      <c r="E151" s="51"/>
      <c r="F151" s="51"/>
      <c r="G151" s="52"/>
      <c r="H151" s="9"/>
      <c r="I151" s="9"/>
      <c r="J151" s="9"/>
      <c r="K151" s="9"/>
      <c r="L151" s="36">
        <f t="shared" si="7"/>
        <v>0</v>
      </c>
    </row>
    <row r="152" spans="2:12">
      <c r="B152" s="53"/>
      <c r="C152" s="54"/>
      <c r="D152" s="31"/>
      <c r="E152" s="31"/>
      <c r="F152" s="31"/>
      <c r="G152" s="26"/>
      <c r="L152" s="39"/>
    </row>
    <row r="153" spans="2:12">
      <c r="B153" s="67" t="s">
        <v>104</v>
      </c>
      <c r="C153" s="67"/>
      <c r="D153" s="32"/>
      <c r="E153" s="63"/>
      <c r="F153" s="63"/>
      <c r="G153" s="27"/>
      <c r="H153" s="26"/>
      <c r="I153" s="67" t="s">
        <v>104</v>
      </c>
      <c r="J153" s="67"/>
      <c r="K153" s="67"/>
      <c r="L153" s="67"/>
    </row>
    <row r="154" spans="2:12">
      <c r="B154" s="63" t="s">
        <v>105</v>
      </c>
      <c r="C154" s="63"/>
      <c r="D154" s="33"/>
      <c r="E154" s="33"/>
      <c r="F154" s="33"/>
      <c r="G154" s="33"/>
      <c r="H154" s="33"/>
      <c r="I154" s="63" t="s">
        <v>106</v>
      </c>
      <c r="J154" s="63"/>
      <c r="K154" s="63"/>
      <c r="L154" s="63"/>
    </row>
    <row r="155" spans="2:12">
      <c r="B155" s="31"/>
      <c r="C155" s="31"/>
      <c r="D155" s="33"/>
      <c r="E155" s="33"/>
      <c r="F155" s="33"/>
      <c r="G155" s="33"/>
      <c r="H155" s="33"/>
      <c r="I155" s="31"/>
      <c r="J155" s="31"/>
      <c r="K155" s="31"/>
      <c r="L155" s="34"/>
    </row>
    <row r="156" spans="2:12" ht="15"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4"/>
    </row>
    <row r="157" spans="2:12" ht="15"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4"/>
    </row>
    <row r="158" spans="2:12" ht="15"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4"/>
    </row>
    <row r="159" spans="2:12" ht="15"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4"/>
    </row>
    <row r="160" spans="2:12" ht="15"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4"/>
    </row>
    <row r="161" spans="4:8">
      <c r="D161" s="31"/>
      <c r="E161" s="31"/>
      <c r="F161" s="31"/>
      <c r="G161" s="31"/>
      <c r="H161" s="31"/>
    </row>
    <row r="162" spans="4:8">
      <c r="D162" s="31"/>
      <c r="E162" s="31"/>
      <c r="F162" s="31"/>
      <c r="G162" s="31"/>
      <c r="H162" s="31"/>
    </row>
    <row r="163" spans="4:8">
      <c r="D163" s="31"/>
      <c r="E163" s="31"/>
      <c r="F163" s="31"/>
      <c r="G163" s="31"/>
      <c r="H163" s="31"/>
    </row>
    <row r="164" spans="4:8">
      <c r="D164" s="31"/>
      <c r="E164" s="31"/>
      <c r="F164" s="31"/>
      <c r="G164" s="31"/>
      <c r="H164" s="31"/>
    </row>
    <row r="165" spans="4:8">
      <c r="D165" s="31"/>
      <c r="E165" s="31"/>
      <c r="F165" s="31"/>
      <c r="G165" s="31"/>
      <c r="H165" s="31"/>
    </row>
    <row r="166" spans="4:8">
      <c r="D166" s="31"/>
      <c r="E166" s="31"/>
      <c r="F166" s="31"/>
      <c r="G166" s="31"/>
      <c r="H166" s="31"/>
    </row>
    <row r="167" spans="4:8">
      <c r="D167" s="31"/>
      <c r="E167" s="31"/>
      <c r="F167" s="31"/>
      <c r="G167" s="31"/>
      <c r="H167" s="31"/>
    </row>
    <row r="168" spans="4:8">
      <c r="D168" s="31"/>
      <c r="E168" s="31"/>
      <c r="F168" s="31"/>
      <c r="G168" s="31"/>
      <c r="H168" s="31"/>
    </row>
    <row r="169" spans="4:8">
      <c r="D169" s="31"/>
      <c r="E169" s="31"/>
      <c r="F169" s="31"/>
      <c r="G169" s="31"/>
      <c r="H169" s="31"/>
    </row>
    <row r="170" spans="4:8">
      <c r="D170" s="31"/>
      <c r="E170" s="31"/>
      <c r="F170" s="31"/>
      <c r="G170" s="31"/>
      <c r="H170" s="31"/>
    </row>
    <row r="171" spans="4:8">
      <c r="D171" s="31"/>
      <c r="E171" s="31"/>
      <c r="F171" s="31"/>
      <c r="G171" s="31"/>
      <c r="H171" s="31"/>
    </row>
  </sheetData>
  <mergeCells count="14">
    <mergeCell ref="B154:C154"/>
    <mergeCell ref="I154:L154"/>
    <mergeCell ref="B1:L1"/>
    <mergeCell ref="B6:L6"/>
    <mergeCell ref="B68:L68"/>
    <mergeCell ref="B153:C153"/>
    <mergeCell ref="E153:F153"/>
    <mergeCell ref="I153:L153"/>
    <mergeCell ref="B78:L78"/>
    <mergeCell ref="B89:L89"/>
    <mergeCell ref="B101:L101"/>
    <mergeCell ref="B113:L113"/>
    <mergeCell ref="B2:C3"/>
    <mergeCell ref="E2:F3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4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E9A24-69F6-46E5-AF1D-6A6BBB797B13}">
  <sheetPr>
    <pageSetUpPr fitToPage="1"/>
  </sheetPr>
  <dimension ref="B1:L171"/>
  <sheetViews>
    <sheetView zoomScale="60" zoomScaleNormal="60" workbookViewId="0">
      <selection activeCell="C143" sqref="C143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</cols>
  <sheetData>
    <row r="1" spans="2:12">
      <c r="B1" s="64" t="s">
        <v>135</v>
      </c>
      <c r="C1" s="64"/>
      <c r="D1" s="64"/>
      <c r="E1" s="64"/>
      <c r="F1" s="64"/>
      <c r="G1" s="64"/>
      <c r="H1" s="64"/>
      <c r="I1" s="64"/>
      <c r="J1" s="64"/>
      <c r="K1" s="64"/>
      <c r="L1" s="64"/>
    </row>
    <row r="2" spans="2:12">
      <c r="B2" s="68"/>
      <c r="C2" s="69"/>
      <c r="D2" s="1"/>
      <c r="E2" s="70"/>
      <c r="F2" s="70"/>
      <c r="G2" s="2"/>
      <c r="H2" s="2"/>
      <c r="I2" s="2"/>
      <c r="J2" s="2"/>
      <c r="K2" s="2"/>
      <c r="L2" s="3" t="s">
        <v>0</v>
      </c>
    </row>
    <row r="3" spans="2:12">
      <c r="B3" s="68"/>
      <c r="C3" s="69"/>
      <c r="D3" s="4"/>
      <c r="E3" s="71"/>
      <c r="F3" s="71"/>
      <c r="G3" s="5"/>
      <c r="H3" s="5"/>
      <c r="I3" s="5"/>
      <c r="J3" s="41"/>
      <c r="K3" s="41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1">
      <c r="B6" s="65" t="s">
        <v>11</v>
      </c>
      <c r="C6" s="66"/>
      <c r="D6" s="66"/>
      <c r="E6" s="66"/>
      <c r="F6" s="66"/>
      <c r="G6" s="66"/>
      <c r="H6" s="66"/>
      <c r="I6" s="66"/>
      <c r="J6" s="66"/>
      <c r="K6" s="66"/>
      <c r="L6" s="66"/>
    </row>
    <row r="7" spans="2:12">
      <c r="B7" s="11">
        <v>1111002</v>
      </c>
      <c r="C7" s="15" t="s">
        <v>107</v>
      </c>
      <c r="D7" s="30"/>
      <c r="E7" s="30"/>
      <c r="F7" s="30"/>
      <c r="G7" s="30"/>
      <c r="H7" s="30"/>
      <c r="I7" s="30"/>
      <c r="J7" s="43"/>
      <c r="K7" s="43"/>
      <c r="L7" s="36">
        <f>SUM(D7:K7)</f>
        <v>0</v>
      </c>
    </row>
    <row r="8" spans="2:12" ht="22.5" hidden="1" customHeight="1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>
      <c r="B25" s="11">
        <v>1111056</v>
      </c>
      <c r="C25" s="15" t="s">
        <v>28</v>
      </c>
      <c r="D25" s="30"/>
      <c r="E25" s="30"/>
      <c r="F25" s="30"/>
      <c r="G25" s="30"/>
      <c r="H25" s="30"/>
      <c r="I25" s="30"/>
      <c r="J25" s="43"/>
      <c r="K25" s="43"/>
      <c r="L25" s="36">
        <f t="shared" si="0"/>
        <v>0</v>
      </c>
    </row>
    <row r="26" spans="2:12">
      <c r="B26" s="11">
        <v>1004055</v>
      </c>
      <c r="C26" s="15" t="s">
        <v>108</v>
      </c>
      <c r="D26" s="30"/>
      <c r="E26" s="30"/>
      <c r="F26" s="30"/>
      <c r="G26" s="30"/>
      <c r="H26" s="30"/>
      <c r="I26" s="30"/>
      <c r="J26" s="43"/>
      <c r="K26" s="43"/>
      <c r="L26" s="36">
        <f t="shared" si="0"/>
        <v>0</v>
      </c>
    </row>
    <row r="27" spans="2:12" ht="22.5" hidden="1" customHeight="1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0</v>
      </c>
    </row>
    <row r="68" spans="2:12" ht="21">
      <c r="B68" s="65" t="s">
        <v>55</v>
      </c>
      <c r="C68" s="66"/>
      <c r="D68" s="66"/>
      <c r="E68" s="66"/>
      <c r="F68" s="66"/>
      <c r="G68" s="66"/>
      <c r="H68" s="66"/>
      <c r="I68" s="66"/>
      <c r="J68" s="66"/>
      <c r="K68" s="66"/>
      <c r="L68" s="66"/>
    </row>
    <row r="69" spans="2:12">
      <c r="B69" s="11">
        <v>1111009</v>
      </c>
      <c r="C69" s="19" t="s">
        <v>56</v>
      </c>
      <c r="D69" s="30"/>
      <c r="E69" s="30"/>
      <c r="F69" s="30"/>
      <c r="G69" s="30"/>
      <c r="H69" s="30"/>
      <c r="I69" s="30"/>
      <c r="J69" s="43"/>
      <c r="K69" s="43"/>
      <c r="L69" s="36">
        <f t="shared" ref="L69:L76" si="1">SUM(D69:K69)</f>
        <v>0</v>
      </c>
    </row>
    <row r="70" spans="2:1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0</v>
      </c>
    </row>
    <row r="78" spans="2:12" ht="21">
      <c r="B78" s="65" t="s">
        <v>64</v>
      </c>
      <c r="C78" s="66"/>
      <c r="D78" s="66"/>
      <c r="E78" s="66"/>
      <c r="F78" s="66"/>
      <c r="G78" s="66"/>
      <c r="H78" s="66"/>
      <c r="I78" s="66"/>
      <c r="J78" s="66"/>
      <c r="K78" s="66"/>
      <c r="L78" s="66"/>
    </row>
    <row r="79" spans="2:1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>
      <c r="B87" s="11">
        <v>1111008</v>
      </c>
      <c r="C87" s="19" t="s">
        <v>73</v>
      </c>
      <c r="D87" s="30"/>
      <c r="E87" s="30"/>
      <c r="F87" s="30"/>
      <c r="G87" s="30"/>
      <c r="H87" s="30"/>
      <c r="I87" s="30"/>
      <c r="J87" s="43"/>
      <c r="K87" s="43"/>
      <c r="L87" s="36">
        <f t="shared" si="2"/>
        <v>0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0</v>
      </c>
    </row>
    <row r="89" spans="2:12" ht="21">
      <c r="B89" s="65" t="s">
        <v>74</v>
      </c>
      <c r="C89" s="66"/>
      <c r="D89" s="66"/>
      <c r="E89" s="66"/>
      <c r="F89" s="66"/>
      <c r="G89" s="66"/>
      <c r="H89" s="66"/>
      <c r="I89" s="66"/>
      <c r="J89" s="66"/>
      <c r="K89" s="66"/>
      <c r="L89" s="66"/>
    </row>
    <row r="90" spans="2:12">
      <c r="B90" s="11">
        <v>1112009</v>
      </c>
      <c r="C90" s="19" t="s">
        <v>75</v>
      </c>
      <c r="D90" s="30"/>
      <c r="E90" s="30"/>
      <c r="F90" s="30"/>
      <c r="G90" s="30"/>
      <c r="H90" s="30"/>
      <c r="I90" s="30"/>
      <c r="J90" s="43"/>
      <c r="K90" s="43"/>
      <c r="L90" s="36">
        <f t="shared" ref="L90:L99" si="3">SUM(D90:K90)</f>
        <v>0</v>
      </c>
    </row>
    <row r="91" spans="2:12">
      <c r="B91" s="11">
        <v>1112011</v>
      </c>
      <c r="C91" s="19" t="s">
        <v>76</v>
      </c>
      <c r="D91" s="30"/>
      <c r="E91" s="30"/>
      <c r="F91" s="30"/>
      <c r="G91" s="30"/>
      <c r="H91" s="30"/>
      <c r="I91" s="30"/>
      <c r="J91" s="43"/>
      <c r="K91" s="43"/>
      <c r="L91" s="36">
        <f t="shared" si="3"/>
        <v>0</v>
      </c>
    </row>
    <row r="92" spans="2:12">
      <c r="B92" s="11">
        <v>1112003</v>
      </c>
      <c r="C92" s="19" t="s">
        <v>77</v>
      </c>
      <c r="D92" s="30"/>
      <c r="E92" s="30"/>
      <c r="F92" s="30"/>
      <c r="G92" s="30"/>
      <c r="H92" s="30"/>
      <c r="I92" s="30"/>
      <c r="J92" s="43"/>
      <c r="K92" s="43"/>
      <c r="L92" s="36">
        <f t="shared" si="3"/>
        <v>0</v>
      </c>
    </row>
    <row r="93" spans="2:12">
      <c r="B93" s="11">
        <v>1112005</v>
      </c>
      <c r="C93" s="19" t="s">
        <v>78</v>
      </c>
      <c r="D93" s="30"/>
      <c r="E93" s="30"/>
      <c r="F93" s="30"/>
      <c r="G93" s="30"/>
      <c r="H93" s="30"/>
      <c r="I93" s="30"/>
      <c r="J93" s="43"/>
      <c r="K93" s="43"/>
      <c r="L93" s="36">
        <f t="shared" si="3"/>
        <v>0</v>
      </c>
    </row>
    <row r="94" spans="2:1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>
      <c r="B97" s="11">
        <v>1112015</v>
      </c>
      <c r="C97" s="19" t="s">
        <v>82</v>
      </c>
      <c r="D97" s="30"/>
      <c r="E97" s="30"/>
      <c r="F97" s="30"/>
      <c r="G97" s="30"/>
      <c r="H97" s="30"/>
      <c r="I97" s="30"/>
      <c r="J97" s="43"/>
      <c r="K97" s="43"/>
      <c r="L97" s="36">
        <f t="shared" si="3"/>
        <v>0</v>
      </c>
    </row>
    <row r="98" spans="2:12">
      <c r="B98" s="11">
        <v>1112013</v>
      </c>
      <c r="C98" s="19" t="s">
        <v>83</v>
      </c>
      <c r="D98" s="30"/>
      <c r="E98" s="30"/>
      <c r="F98" s="30"/>
      <c r="G98" s="30"/>
      <c r="H98" s="30"/>
      <c r="I98" s="30"/>
      <c r="J98" s="43"/>
      <c r="K98" s="43"/>
      <c r="L98" s="36">
        <f t="shared" si="3"/>
        <v>0</v>
      </c>
    </row>
    <row r="99" spans="2:1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0</v>
      </c>
    </row>
    <row r="101" spans="2:12" ht="21">
      <c r="B101" s="65" t="s">
        <v>85</v>
      </c>
      <c r="C101" s="66"/>
      <c r="D101" s="66"/>
      <c r="E101" s="66"/>
      <c r="F101" s="66"/>
      <c r="G101" s="66"/>
      <c r="H101" s="66"/>
      <c r="I101" s="66"/>
      <c r="J101" s="66"/>
      <c r="K101" s="66"/>
      <c r="L101" s="66"/>
    </row>
    <row r="102" spans="2:1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1">
      <c r="B113" s="65" t="s">
        <v>86</v>
      </c>
      <c r="C113" s="66"/>
      <c r="D113" s="66"/>
      <c r="E113" s="66"/>
      <c r="F113" s="66"/>
      <c r="G113" s="66"/>
      <c r="H113" s="66"/>
      <c r="I113" s="66"/>
      <c r="J113" s="66"/>
      <c r="K113" s="66"/>
      <c r="L113" s="66"/>
    </row>
    <row r="114" spans="2:12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0</v>
      </c>
    </row>
    <row r="115" spans="2:12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>
      <c r="B123" s="11">
        <v>1114501</v>
      </c>
      <c r="C123" s="21" t="s">
        <v>95</v>
      </c>
      <c r="D123" s="30"/>
      <c r="E123" s="30"/>
      <c r="F123" s="30"/>
      <c r="G123" s="30"/>
      <c r="H123" s="30"/>
      <c r="I123" s="30"/>
      <c r="J123" s="43"/>
      <c r="K123" s="43"/>
      <c r="L123" s="36">
        <f t="shared" si="5"/>
        <v>0</v>
      </c>
    </row>
    <row r="124" spans="2:12">
      <c r="B124" s="11">
        <v>1114502</v>
      </c>
      <c r="C124" s="21" t="s">
        <v>96</v>
      </c>
      <c r="D124" s="30"/>
      <c r="E124" s="30"/>
      <c r="F124" s="30"/>
      <c r="G124" s="30"/>
      <c r="H124" s="30"/>
      <c r="I124" s="30"/>
      <c r="J124" s="43"/>
      <c r="K124" s="43"/>
      <c r="L124" s="36">
        <f t="shared" si="5"/>
        <v>0</v>
      </c>
    </row>
    <row r="125" spans="2:12">
      <c r="B125" s="11">
        <v>1114503</v>
      </c>
      <c r="C125" s="21" t="s">
        <v>97</v>
      </c>
      <c r="D125" s="30"/>
      <c r="E125" s="30"/>
      <c r="F125" s="30"/>
      <c r="G125" s="30"/>
      <c r="H125" s="30"/>
      <c r="I125" s="30"/>
      <c r="J125" s="43"/>
      <c r="K125" s="43"/>
      <c r="L125" s="36">
        <f t="shared" si="5"/>
        <v>0</v>
      </c>
    </row>
    <row r="126" spans="2:12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>
      <c r="B140" s="58"/>
      <c r="C140" s="59" t="s">
        <v>139</v>
      </c>
      <c r="D140" s="48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>
      <c r="B141" s="50">
        <v>20059548</v>
      </c>
      <c r="C141" s="49" t="s">
        <v>144</v>
      </c>
      <c r="D141" s="48"/>
      <c r="E141" s="51"/>
      <c r="F141" s="51"/>
      <c r="G141" s="52"/>
      <c r="H141" s="9"/>
      <c r="I141" s="9"/>
      <c r="J141" s="9"/>
      <c r="K141" s="9"/>
      <c r="L141" s="36">
        <f t="shared" ref="L141" si="6">SUM(D141:K141)</f>
        <v>0</v>
      </c>
    </row>
    <row r="142" spans="2:12">
      <c r="B142" s="50">
        <v>20054646</v>
      </c>
      <c r="C142" s="49" t="s">
        <v>145</v>
      </c>
      <c r="D142" s="48"/>
      <c r="E142" s="51"/>
      <c r="F142" s="51"/>
      <c r="G142" s="52"/>
      <c r="H142" s="9"/>
      <c r="I142" s="9"/>
      <c r="J142" s="9"/>
      <c r="K142" s="9"/>
      <c r="L142" s="36">
        <f t="shared" ref="L142:L151" si="7">SUM(D142:K142)</f>
        <v>0</v>
      </c>
    </row>
    <row r="143" spans="2:12">
      <c r="B143" s="50">
        <v>1100044</v>
      </c>
      <c r="C143" s="49" t="s">
        <v>147</v>
      </c>
      <c r="D143" s="48"/>
      <c r="E143" s="51"/>
      <c r="F143" s="51"/>
      <c r="G143" s="52"/>
      <c r="H143" s="9"/>
      <c r="I143" s="9"/>
      <c r="J143" s="9"/>
      <c r="K143" s="9"/>
      <c r="L143" s="36">
        <f t="shared" si="7"/>
        <v>0</v>
      </c>
    </row>
    <row r="144" spans="2:12">
      <c r="B144" s="50"/>
      <c r="C144" s="49"/>
      <c r="D144" s="51"/>
      <c r="E144" s="51"/>
      <c r="F144" s="51"/>
      <c r="G144" s="52"/>
      <c r="H144" s="9"/>
      <c r="I144" s="9"/>
      <c r="J144" s="9"/>
      <c r="K144" s="9"/>
      <c r="L144" s="36">
        <f t="shared" si="7"/>
        <v>0</v>
      </c>
    </row>
    <row r="145" spans="2:12">
      <c r="B145" s="50"/>
      <c r="C145" s="49"/>
      <c r="D145" s="51"/>
      <c r="E145" s="51"/>
      <c r="F145" s="51"/>
      <c r="G145" s="52"/>
      <c r="H145" s="9"/>
      <c r="I145" s="9"/>
      <c r="J145" s="9"/>
      <c r="K145" s="9"/>
      <c r="L145" s="36">
        <f t="shared" si="7"/>
        <v>0</v>
      </c>
    </row>
    <row r="146" spans="2:12">
      <c r="B146" s="50"/>
      <c r="C146" s="49"/>
      <c r="D146" s="51"/>
      <c r="E146" s="51"/>
      <c r="F146" s="51"/>
      <c r="G146" s="52"/>
      <c r="H146" s="9"/>
      <c r="I146" s="9"/>
      <c r="J146" s="9"/>
      <c r="K146" s="9"/>
      <c r="L146" s="36">
        <f t="shared" si="7"/>
        <v>0</v>
      </c>
    </row>
    <row r="147" spans="2:12">
      <c r="B147" s="50"/>
      <c r="C147" s="49"/>
      <c r="D147" s="51"/>
      <c r="E147" s="51"/>
      <c r="F147" s="51"/>
      <c r="G147" s="52"/>
      <c r="H147" s="9"/>
      <c r="I147" s="9"/>
      <c r="J147" s="9"/>
      <c r="K147" s="9"/>
      <c r="L147" s="36">
        <f t="shared" si="7"/>
        <v>0</v>
      </c>
    </row>
    <row r="148" spans="2:12">
      <c r="B148" s="50"/>
      <c r="C148" s="49"/>
      <c r="D148" s="51"/>
      <c r="E148" s="51"/>
      <c r="F148" s="51"/>
      <c r="G148" s="52"/>
      <c r="H148" s="9"/>
      <c r="I148" s="9"/>
      <c r="J148" s="9"/>
      <c r="K148" s="9"/>
      <c r="L148" s="36">
        <f t="shared" si="7"/>
        <v>0</v>
      </c>
    </row>
    <row r="149" spans="2:12">
      <c r="B149" s="50"/>
      <c r="C149" s="49"/>
      <c r="D149" s="51"/>
      <c r="E149" s="51"/>
      <c r="F149" s="51"/>
      <c r="G149" s="52"/>
      <c r="H149" s="9"/>
      <c r="I149" s="9"/>
      <c r="J149" s="9"/>
      <c r="K149" s="9"/>
      <c r="L149" s="36">
        <f t="shared" si="7"/>
        <v>0</v>
      </c>
    </row>
    <row r="150" spans="2:12">
      <c r="B150" s="50"/>
      <c r="C150" s="49"/>
      <c r="D150" s="51"/>
      <c r="E150" s="51"/>
      <c r="F150" s="51"/>
      <c r="G150" s="52"/>
      <c r="H150" s="9"/>
      <c r="I150" s="9"/>
      <c r="J150" s="9"/>
      <c r="K150" s="9"/>
      <c r="L150" s="36">
        <f t="shared" si="7"/>
        <v>0</v>
      </c>
    </row>
    <row r="151" spans="2:12">
      <c r="B151" s="50"/>
      <c r="C151" s="49"/>
      <c r="D151" s="51"/>
      <c r="E151" s="51"/>
      <c r="F151" s="51"/>
      <c r="G151" s="52"/>
      <c r="H151" s="9"/>
      <c r="I151" s="9"/>
      <c r="J151" s="9"/>
      <c r="K151" s="9"/>
      <c r="L151" s="36">
        <f t="shared" si="7"/>
        <v>0</v>
      </c>
    </row>
    <row r="152" spans="2:12">
      <c r="B152" s="53"/>
      <c r="C152" s="54"/>
      <c r="D152" s="31"/>
      <c r="E152" s="31"/>
      <c r="F152" s="31"/>
      <c r="G152" s="26"/>
      <c r="L152" s="55"/>
    </row>
    <row r="153" spans="2:12">
      <c r="B153" s="67" t="s">
        <v>104</v>
      </c>
      <c r="C153" s="67"/>
      <c r="D153" s="32"/>
      <c r="E153" s="63"/>
      <c r="F153" s="63"/>
      <c r="G153" s="27"/>
      <c r="H153" s="26"/>
      <c r="I153" s="67" t="s">
        <v>104</v>
      </c>
      <c r="J153" s="67"/>
      <c r="K153" s="67"/>
      <c r="L153" s="67"/>
    </row>
    <row r="154" spans="2:12">
      <c r="B154" s="63" t="s">
        <v>105</v>
      </c>
      <c r="C154" s="63"/>
      <c r="D154" s="33"/>
      <c r="E154" s="33"/>
      <c r="F154" s="33"/>
      <c r="G154" s="33"/>
      <c r="H154" s="33"/>
      <c r="I154" s="63" t="s">
        <v>106</v>
      </c>
      <c r="J154" s="63"/>
      <c r="K154" s="63"/>
      <c r="L154" s="63"/>
    </row>
    <row r="155" spans="2:12">
      <c r="B155" s="31"/>
      <c r="C155" s="31"/>
      <c r="D155" s="33"/>
      <c r="E155" s="33"/>
      <c r="F155" s="33"/>
      <c r="G155" s="33"/>
      <c r="H155" s="33"/>
      <c r="I155" s="31"/>
      <c r="J155" s="31"/>
      <c r="K155" s="31"/>
      <c r="L155" s="34"/>
    </row>
    <row r="156" spans="2:12" ht="15"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4"/>
    </row>
    <row r="157" spans="2:12" ht="15"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4"/>
    </row>
    <row r="158" spans="2:12" ht="15"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4"/>
    </row>
    <row r="159" spans="2:12" ht="15"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4"/>
    </row>
    <row r="160" spans="2:12" ht="15"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4"/>
    </row>
    <row r="161" spans="4:8">
      <c r="D161" s="31"/>
      <c r="E161" s="31"/>
      <c r="F161" s="31"/>
      <c r="G161" s="31"/>
      <c r="H161" s="31"/>
    </row>
    <row r="162" spans="4:8">
      <c r="D162" s="31"/>
      <c r="E162" s="31"/>
      <c r="F162" s="31"/>
      <c r="G162" s="31"/>
      <c r="H162" s="31"/>
    </row>
    <row r="163" spans="4:8">
      <c r="D163" s="31"/>
      <c r="E163" s="31"/>
      <c r="F163" s="31"/>
      <c r="G163" s="31"/>
      <c r="H163" s="31"/>
    </row>
    <row r="164" spans="4:8">
      <c r="D164" s="31"/>
      <c r="E164" s="31"/>
      <c r="F164" s="31"/>
      <c r="G164" s="31"/>
      <c r="H164" s="31"/>
    </row>
    <row r="165" spans="4:8">
      <c r="D165" s="31"/>
      <c r="E165" s="31"/>
      <c r="F165" s="31"/>
      <c r="G165" s="31"/>
      <c r="H165" s="31"/>
    </row>
    <row r="166" spans="4:8">
      <c r="D166" s="31"/>
      <c r="E166" s="31"/>
      <c r="F166" s="31"/>
      <c r="G166" s="31"/>
      <c r="H166" s="31"/>
    </row>
    <row r="167" spans="4:8">
      <c r="D167" s="31"/>
      <c r="E167" s="31"/>
      <c r="F167" s="31"/>
      <c r="G167" s="31"/>
      <c r="H167" s="31"/>
    </row>
    <row r="168" spans="4:8">
      <c r="D168" s="31"/>
      <c r="E168" s="31"/>
      <c r="F168" s="31"/>
      <c r="G168" s="31"/>
      <c r="H168" s="31"/>
    </row>
    <row r="169" spans="4:8">
      <c r="D169" s="31"/>
      <c r="E169" s="31"/>
      <c r="F169" s="31"/>
      <c r="G169" s="31"/>
      <c r="H169" s="31"/>
    </row>
    <row r="170" spans="4:8">
      <c r="D170" s="31"/>
      <c r="E170" s="31"/>
      <c r="F170" s="31"/>
      <c r="G170" s="31"/>
      <c r="H170" s="31"/>
    </row>
    <row r="171" spans="4:8">
      <c r="D171" s="31"/>
      <c r="E171" s="31"/>
      <c r="F171" s="31"/>
      <c r="G171" s="31"/>
      <c r="H171" s="31"/>
    </row>
  </sheetData>
  <mergeCells count="14">
    <mergeCell ref="B78:L78"/>
    <mergeCell ref="B89:L89"/>
    <mergeCell ref="B101:L101"/>
    <mergeCell ref="B113:L113"/>
    <mergeCell ref="B154:C154"/>
    <mergeCell ref="I154:L154"/>
    <mergeCell ref="B153:C153"/>
    <mergeCell ref="E153:F153"/>
    <mergeCell ref="I153:L153"/>
    <mergeCell ref="B6:L6"/>
    <mergeCell ref="B1:L1"/>
    <mergeCell ref="B2:C3"/>
    <mergeCell ref="E2:F3"/>
    <mergeCell ref="B68:L68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3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674B9-1857-448C-B924-85786AB7DE8B}">
  <dimension ref="B1:L174"/>
  <sheetViews>
    <sheetView zoomScale="60" zoomScaleNormal="60" workbookViewId="0">
      <selection activeCell="K90" sqref="K90:K100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</cols>
  <sheetData>
    <row r="1" spans="2:12">
      <c r="B1" s="64" t="s">
        <v>137</v>
      </c>
      <c r="C1" s="64"/>
      <c r="D1" s="64"/>
      <c r="E1" s="64"/>
      <c r="F1" s="64"/>
      <c r="G1" s="64"/>
      <c r="H1" s="64"/>
      <c r="I1" s="64"/>
      <c r="J1" s="64"/>
      <c r="K1" s="64"/>
      <c r="L1" s="64"/>
    </row>
    <row r="2" spans="2:12">
      <c r="B2" s="68"/>
      <c r="C2" s="69"/>
      <c r="D2" s="1"/>
      <c r="E2" s="70"/>
      <c r="F2" s="70"/>
      <c r="G2" s="2"/>
      <c r="H2" s="2"/>
      <c r="I2" s="2"/>
      <c r="J2" s="2"/>
      <c r="K2" s="2"/>
      <c r="L2" s="3" t="s">
        <v>0</v>
      </c>
    </row>
    <row r="3" spans="2:12">
      <c r="B3" s="68"/>
      <c r="C3" s="69"/>
      <c r="D3" s="4"/>
      <c r="E3" s="71"/>
      <c r="F3" s="71"/>
      <c r="G3" s="5"/>
      <c r="H3" s="5"/>
      <c r="I3" s="5"/>
      <c r="J3" s="41"/>
      <c r="K3" s="41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1">
      <c r="B6" s="65" t="s">
        <v>11</v>
      </c>
      <c r="C6" s="66"/>
      <c r="D6" s="66"/>
      <c r="E6" s="66"/>
      <c r="F6" s="66"/>
      <c r="G6" s="66"/>
      <c r="H6" s="66"/>
      <c r="I6" s="66"/>
      <c r="J6" s="66"/>
      <c r="K6" s="66"/>
      <c r="L6" s="66"/>
    </row>
    <row r="7" spans="2:12">
      <c r="B7" s="11">
        <v>1111002</v>
      </c>
      <c r="C7" s="15" t="s">
        <v>107</v>
      </c>
      <c r="D7" s="30"/>
      <c r="E7" s="30"/>
      <c r="F7" s="30"/>
      <c r="G7" s="30"/>
      <c r="H7" s="30"/>
      <c r="I7" s="30"/>
      <c r="J7" s="43"/>
      <c r="K7" s="43"/>
      <c r="L7" s="36">
        <f>SUM(D7:K7)</f>
        <v>0</v>
      </c>
    </row>
    <row r="8" spans="2:12" ht="22.5" hidden="1" customHeight="1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>
      <c r="B25" s="11">
        <v>1111056</v>
      </c>
      <c r="C25" s="15" t="s">
        <v>28</v>
      </c>
      <c r="D25" s="30"/>
      <c r="E25" s="30"/>
      <c r="F25" s="30"/>
      <c r="G25" s="30"/>
      <c r="H25" s="30"/>
      <c r="I25" s="30"/>
      <c r="J25" s="43"/>
      <c r="K25" s="43"/>
      <c r="L25" s="36">
        <f t="shared" si="0"/>
        <v>0</v>
      </c>
    </row>
    <row r="26" spans="2:12">
      <c r="B26" s="11">
        <v>1004055</v>
      </c>
      <c r="C26" s="15" t="s">
        <v>108</v>
      </c>
      <c r="D26" s="30"/>
      <c r="E26" s="30"/>
      <c r="F26" s="30"/>
      <c r="G26" s="30"/>
      <c r="H26" s="30"/>
      <c r="I26" s="30"/>
      <c r="J26" s="43"/>
      <c r="K26" s="43"/>
      <c r="L26" s="36">
        <f t="shared" si="0"/>
        <v>0</v>
      </c>
    </row>
    <row r="27" spans="2:12" ht="22.5" hidden="1" customHeight="1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0</v>
      </c>
    </row>
    <row r="68" spans="2:12" ht="21">
      <c r="B68" s="65" t="s">
        <v>55</v>
      </c>
      <c r="C68" s="66"/>
      <c r="D68" s="66"/>
      <c r="E68" s="66"/>
      <c r="F68" s="66"/>
      <c r="G68" s="66"/>
      <c r="H68" s="66"/>
      <c r="I68" s="66"/>
      <c r="J68" s="66"/>
      <c r="K68" s="66"/>
      <c r="L68" s="66"/>
    </row>
    <row r="69" spans="2:12">
      <c r="B69" s="11">
        <v>1111009</v>
      </c>
      <c r="C69" s="19" t="s">
        <v>56</v>
      </c>
      <c r="D69" s="30"/>
      <c r="E69" s="30"/>
      <c r="F69" s="30"/>
      <c r="G69" s="30"/>
      <c r="H69" s="30"/>
      <c r="I69" s="30"/>
      <c r="J69" s="43"/>
      <c r="K69" s="43"/>
      <c r="L69" s="36">
        <f t="shared" ref="L69:L76" si="1">SUM(D69:K69)</f>
        <v>0</v>
      </c>
    </row>
    <row r="70" spans="2:1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0</v>
      </c>
    </row>
    <row r="78" spans="2:12" ht="21">
      <c r="B78" s="65" t="s">
        <v>64</v>
      </c>
      <c r="C78" s="66"/>
      <c r="D78" s="66"/>
      <c r="E78" s="66"/>
      <c r="F78" s="66"/>
      <c r="G78" s="66"/>
      <c r="H78" s="66"/>
      <c r="I78" s="66"/>
      <c r="J78" s="66"/>
      <c r="K78" s="66"/>
      <c r="L78" s="66"/>
    </row>
    <row r="79" spans="2:1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>
      <c r="B87" s="11">
        <v>1111008</v>
      </c>
      <c r="C87" s="19" t="s">
        <v>73</v>
      </c>
      <c r="D87" s="30"/>
      <c r="E87" s="30"/>
      <c r="F87" s="30"/>
      <c r="G87" s="30"/>
      <c r="H87" s="30"/>
      <c r="I87" s="30"/>
      <c r="J87" s="43"/>
      <c r="K87" s="43"/>
      <c r="L87" s="36">
        <f t="shared" si="2"/>
        <v>0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0</v>
      </c>
    </row>
    <row r="89" spans="2:12" ht="21">
      <c r="B89" s="65" t="s">
        <v>74</v>
      </c>
      <c r="C89" s="66"/>
      <c r="D89" s="66"/>
      <c r="E89" s="66"/>
      <c r="F89" s="66"/>
      <c r="G89" s="66"/>
      <c r="H89" s="66"/>
      <c r="I89" s="66"/>
      <c r="J89" s="66"/>
      <c r="K89" s="66"/>
      <c r="L89" s="66"/>
    </row>
    <row r="90" spans="2:12">
      <c r="B90" s="11">
        <v>1112009</v>
      </c>
      <c r="C90" s="19" t="s">
        <v>75</v>
      </c>
      <c r="D90" s="30"/>
      <c r="E90" s="30"/>
      <c r="F90" s="30"/>
      <c r="G90" s="30"/>
      <c r="H90" s="30"/>
      <c r="I90" s="30"/>
      <c r="J90" s="43"/>
      <c r="K90" s="43"/>
      <c r="L90" s="36">
        <f t="shared" ref="L90:L99" si="3">SUM(D90:K90)</f>
        <v>0</v>
      </c>
    </row>
    <row r="91" spans="2:12">
      <c r="B91" s="11">
        <v>1112011</v>
      </c>
      <c r="C91" s="19" t="s">
        <v>76</v>
      </c>
      <c r="D91" s="30"/>
      <c r="E91" s="30"/>
      <c r="F91" s="30"/>
      <c r="G91" s="30"/>
      <c r="H91" s="30"/>
      <c r="I91" s="30"/>
      <c r="J91" s="43"/>
      <c r="K91" s="43"/>
      <c r="L91" s="36">
        <f t="shared" si="3"/>
        <v>0</v>
      </c>
    </row>
    <row r="92" spans="2:12">
      <c r="B92" s="11">
        <v>1112003</v>
      </c>
      <c r="C92" s="19" t="s">
        <v>77</v>
      </c>
      <c r="D92" s="30"/>
      <c r="E92" s="30"/>
      <c r="F92" s="30"/>
      <c r="G92" s="30"/>
      <c r="H92" s="30"/>
      <c r="I92" s="30"/>
      <c r="J92" s="43"/>
      <c r="K92" s="43"/>
      <c r="L92" s="36">
        <f t="shared" si="3"/>
        <v>0</v>
      </c>
    </row>
    <row r="93" spans="2:12">
      <c r="B93" s="11">
        <v>1112005</v>
      </c>
      <c r="C93" s="19" t="s">
        <v>78</v>
      </c>
      <c r="D93" s="30"/>
      <c r="E93" s="30"/>
      <c r="F93" s="30"/>
      <c r="G93" s="30"/>
      <c r="H93" s="30"/>
      <c r="I93" s="30"/>
      <c r="J93" s="43"/>
      <c r="K93" s="43"/>
      <c r="L93" s="36">
        <f t="shared" si="3"/>
        <v>0</v>
      </c>
    </row>
    <row r="94" spans="2:1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>
      <c r="B97" s="11">
        <v>1112015</v>
      </c>
      <c r="C97" s="19" t="s">
        <v>82</v>
      </c>
      <c r="D97" s="30"/>
      <c r="E97" s="30"/>
      <c r="F97" s="30"/>
      <c r="G97" s="30"/>
      <c r="H97" s="30"/>
      <c r="I97" s="30"/>
      <c r="J97" s="43"/>
      <c r="K97" s="43"/>
      <c r="L97" s="36">
        <f t="shared" si="3"/>
        <v>0</v>
      </c>
    </row>
    <row r="98" spans="2:12">
      <c r="B98" s="11">
        <v>1112013</v>
      </c>
      <c r="C98" s="19" t="s">
        <v>83</v>
      </c>
      <c r="D98" s="30"/>
      <c r="E98" s="30"/>
      <c r="F98" s="30"/>
      <c r="G98" s="30"/>
      <c r="H98" s="30"/>
      <c r="I98" s="30"/>
      <c r="J98" s="43"/>
      <c r="K98" s="43"/>
      <c r="L98" s="36">
        <f t="shared" si="3"/>
        <v>0</v>
      </c>
    </row>
    <row r="99" spans="2:1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0</v>
      </c>
    </row>
    <row r="101" spans="2:12" ht="21">
      <c r="B101" s="65" t="s">
        <v>85</v>
      </c>
      <c r="C101" s="66"/>
      <c r="D101" s="66"/>
      <c r="E101" s="66"/>
      <c r="F101" s="66"/>
      <c r="G101" s="66"/>
      <c r="H101" s="66"/>
      <c r="I101" s="66"/>
      <c r="J101" s="66"/>
      <c r="K101" s="66"/>
      <c r="L101" s="66"/>
    </row>
    <row r="102" spans="2:1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1">
      <c r="B113" s="65" t="s">
        <v>86</v>
      </c>
      <c r="C113" s="66"/>
      <c r="D113" s="66"/>
      <c r="E113" s="66"/>
      <c r="F113" s="66"/>
      <c r="G113" s="66"/>
      <c r="H113" s="66"/>
      <c r="I113" s="66"/>
      <c r="J113" s="66"/>
      <c r="K113" s="66"/>
      <c r="L113" s="66"/>
    </row>
    <row r="114" spans="2:12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1" si="5">SUM(D114:K114)</f>
        <v>0</v>
      </c>
    </row>
    <row r="115" spans="2:12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>
      <c r="B123" s="11">
        <v>1114501</v>
      </c>
      <c r="C123" s="21" t="s">
        <v>95</v>
      </c>
      <c r="D123" s="30"/>
      <c r="E123" s="30"/>
      <c r="F123" s="30"/>
      <c r="G123" s="30"/>
      <c r="H123" s="30"/>
      <c r="I123" s="30"/>
      <c r="J123" s="43"/>
      <c r="K123" s="43"/>
      <c r="L123" s="36">
        <f t="shared" si="5"/>
        <v>0</v>
      </c>
    </row>
    <row r="124" spans="2:12">
      <c r="B124" s="11">
        <v>1114502</v>
      </c>
      <c r="C124" s="21" t="s">
        <v>96</v>
      </c>
      <c r="D124" s="30"/>
      <c r="E124" s="30"/>
      <c r="F124" s="30"/>
      <c r="G124" s="30"/>
      <c r="H124" s="30"/>
      <c r="I124" s="30"/>
      <c r="J124" s="43"/>
      <c r="K124" s="43"/>
      <c r="L124" s="36">
        <f t="shared" si="5"/>
        <v>0</v>
      </c>
    </row>
    <row r="125" spans="2:12">
      <c r="B125" s="11">
        <v>1114503</v>
      </c>
      <c r="C125" s="21" t="s">
        <v>97</v>
      </c>
      <c r="D125" s="30"/>
      <c r="E125" s="30"/>
      <c r="F125" s="30"/>
      <c r="G125" s="30"/>
      <c r="H125" s="30"/>
      <c r="I125" s="30"/>
      <c r="J125" s="43"/>
      <c r="K125" s="43"/>
      <c r="L125" s="36">
        <f t="shared" si="5"/>
        <v>0</v>
      </c>
    </row>
    <row r="126" spans="2:12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>
      <c r="B140" s="58"/>
      <c r="C140" s="59" t="s">
        <v>139</v>
      </c>
      <c r="D140" s="48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>
      <c r="B141" s="50">
        <v>20059548</v>
      </c>
      <c r="C141" s="49" t="s">
        <v>144</v>
      </c>
      <c r="D141" s="48"/>
      <c r="E141" s="51"/>
      <c r="F141" s="51"/>
      <c r="G141" s="52"/>
      <c r="H141" s="9"/>
      <c r="I141" s="9"/>
      <c r="J141" s="9"/>
      <c r="K141" s="9"/>
      <c r="L141" s="36">
        <f t="shared" si="5"/>
        <v>0</v>
      </c>
    </row>
    <row r="142" spans="2:12">
      <c r="B142" s="50">
        <v>20054646</v>
      </c>
      <c r="C142" s="49" t="s">
        <v>145</v>
      </c>
      <c r="D142" s="48"/>
      <c r="E142" s="51"/>
      <c r="F142" s="51"/>
      <c r="G142" s="52"/>
      <c r="H142" s="9"/>
      <c r="I142" s="9"/>
      <c r="J142" s="9"/>
      <c r="K142" s="9"/>
      <c r="L142" s="36">
        <f t="shared" ref="L142:L150" si="6">SUM(D142:K142)</f>
        <v>0</v>
      </c>
    </row>
    <row r="143" spans="2:12">
      <c r="B143" s="50">
        <v>1100044</v>
      </c>
      <c r="C143" s="49" t="s">
        <v>147</v>
      </c>
      <c r="D143" s="48"/>
      <c r="E143" s="51"/>
      <c r="F143" s="51"/>
      <c r="G143" s="52"/>
      <c r="H143" s="9"/>
      <c r="I143" s="9"/>
      <c r="J143" s="9"/>
      <c r="K143" s="9"/>
      <c r="L143" s="36">
        <f t="shared" si="6"/>
        <v>0</v>
      </c>
    </row>
    <row r="144" spans="2:12">
      <c r="B144" s="50"/>
      <c r="C144" s="49"/>
      <c r="D144" s="51"/>
      <c r="E144" s="51"/>
      <c r="F144" s="51"/>
      <c r="G144" s="52"/>
      <c r="H144" s="9"/>
      <c r="I144" s="9"/>
      <c r="J144" s="9"/>
      <c r="K144" s="9"/>
      <c r="L144" s="36">
        <f t="shared" si="6"/>
        <v>0</v>
      </c>
    </row>
    <row r="145" spans="2:12">
      <c r="B145" s="50"/>
      <c r="C145" s="49"/>
      <c r="D145" s="51"/>
      <c r="E145" s="51"/>
      <c r="F145" s="51"/>
      <c r="G145" s="52"/>
      <c r="H145" s="9"/>
      <c r="I145" s="9"/>
      <c r="J145" s="9"/>
      <c r="K145" s="9"/>
      <c r="L145" s="36">
        <f t="shared" si="6"/>
        <v>0</v>
      </c>
    </row>
    <row r="146" spans="2:12">
      <c r="B146" s="50"/>
      <c r="C146" s="49"/>
      <c r="D146" s="51"/>
      <c r="E146" s="51"/>
      <c r="F146" s="51"/>
      <c r="G146" s="52"/>
      <c r="H146" s="9"/>
      <c r="I146" s="9"/>
      <c r="J146" s="9"/>
      <c r="K146" s="9"/>
      <c r="L146" s="36">
        <f t="shared" si="6"/>
        <v>0</v>
      </c>
    </row>
    <row r="147" spans="2:12">
      <c r="B147" s="50"/>
      <c r="C147" s="49"/>
      <c r="D147" s="51"/>
      <c r="E147" s="51"/>
      <c r="F147" s="51"/>
      <c r="G147" s="52"/>
      <c r="H147" s="9"/>
      <c r="I147" s="9"/>
      <c r="J147" s="9"/>
      <c r="K147" s="9"/>
      <c r="L147" s="36">
        <f t="shared" si="6"/>
        <v>0</v>
      </c>
    </row>
    <row r="148" spans="2:12">
      <c r="B148" s="50"/>
      <c r="C148" s="49"/>
      <c r="D148" s="51"/>
      <c r="E148" s="51"/>
      <c r="F148" s="51"/>
      <c r="G148" s="52"/>
      <c r="H148" s="9"/>
      <c r="I148" s="9"/>
      <c r="J148" s="9"/>
      <c r="K148" s="9"/>
      <c r="L148" s="36">
        <f t="shared" si="6"/>
        <v>0</v>
      </c>
    </row>
    <row r="149" spans="2:12">
      <c r="B149" s="50"/>
      <c r="C149" s="49"/>
      <c r="D149" s="51"/>
      <c r="E149" s="51"/>
      <c r="F149" s="51"/>
      <c r="G149" s="52"/>
      <c r="H149" s="9"/>
      <c r="I149" s="9"/>
      <c r="J149" s="9"/>
      <c r="K149" s="9"/>
      <c r="L149" s="36">
        <f t="shared" si="6"/>
        <v>0</v>
      </c>
    </row>
    <row r="150" spans="2:12">
      <c r="B150" s="50"/>
      <c r="C150" s="49"/>
      <c r="D150" s="51"/>
      <c r="E150" s="51"/>
      <c r="F150" s="51"/>
      <c r="G150" s="52"/>
      <c r="H150" s="9"/>
      <c r="I150" s="9"/>
      <c r="J150" s="9"/>
      <c r="K150" s="9"/>
      <c r="L150" s="36">
        <f t="shared" si="6"/>
        <v>0</v>
      </c>
    </row>
    <row r="151" spans="2:12">
      <c r="B151" s="50"/>
      <c r="C151" s="49"/>
      <c r="D151" s="51"/>
      <c r="E151" s="51"/>
      <c r="F151" s="51"/>
      <c r="G151" s="52"/>
      <c r="H151" s="9"/>
      <c r="I151" s="9"/>
      <c r="J151" s="9"/>
      <c r="K151" s="9"/>
      <c r="L151" s="36">
        <f t="shared" ref="L151" si="7">SUM(D151:K151)</f>
        <v>0</v>
      </c>
    </row>
    <row r="152" spans="2:12">
      <c r="B152" s="53"/>
      <c r="C152" s="54"/>
      <c r="D152" s="31"/>
      <c r="E152" s="31"/>
      <c r="F152" s="31"/>
      <c r="G152" s="26"/>
      <c r="L152" s="39"/>
    </row>
    <row r="153" spans="2:12">
      <c r="B153" s="53"/>
      <c r="C153" s="54"/>
      <c r="D153" s="31"/>
      <c r="E153" s="31"/>
      <c r="F153" s="31"/>
      <c r="G153" s="26"/>
      <c r="L153" s="39"/>
    </row>
    <row r="154" spans="2:12">
      <c r="B154" s="53"/>
      <c r="C154" s="54"/>
      <c r="D154" s="31"/>
      <c r="E154" s="31"/>
      <c r="F154" s="31"/>
      <c r="G154" s="26"/>
      <c r="L154" s="39"/>
    </row>
    <row r="155" spans="2:12">
      <c r="B155" s="53"/>
      <c r="C155" s="54"/>
      <c r="D155" s="31"/>
      <c r="E155" s="31"/>
      <c r="F155" s="31"/>
      <c r="G155" s="26"/>
      <c r="L155" s="55"/>
    </row>
    <row r="156" spans="2:12">
      <c r="B156" s="67" t="s">
        <v>104</v>
      </c>
      <c r="C156" s="67"/>
      <c r="D156" s="32"/>
      <c r="E156" s="63"/>
      <c r="F156" s="63"/>
      <c r="G156" s="27"/>
      <c r="H156" s="26"/>
      <c r="I156" s="67" t="s">
        <v>104</v>
      </c>
      <c r="J156" s="67"/>
      <c r="K156" s="67"/>
      <c r="L156" s="67"/>
    </row>
    <row r="157" spans="2:12">
      <c r="B157" s="63" t="s">
        <v>105</v>
      </c>
      <c r="C157" s="63"/>
      <c r="D157" s="33"/>
      <c r="E157" s="33"/>
      <c r="F157" s="33"/>
      <c r="G157" s="33"/>
      <c r="H157" s="33"/>
      <c r="I157" s="63" t="s">
        <v>106</v>
      </c>
      <c r="J157" s="63"/>
      <c r="K157" s="63"/>
      <c r="L157" s="63"/>
    </row>
    <row r="158" spans="2:12">
      <c r="B158" s="31"/>
      <c r="C158" s="31"/>
      <c r="D158" s="33"/>
      <c r="E158" s="33"/>
      <c r="F158" s="33"/>
      <c r="G158" s="33"/>
      <c r="H158" s="33"/>
      <c r="I158" s="31"/>
      <c r="J158" s="31"/>
      <c r="K158" s="31"/>
      <c r="L158" s="34"/>
    </row>
    <row r="159" spans="2:12" ht="15"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4"/>
    </row>
    <row r="160" spans="2:12" ht="15"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4"/>
    </row>
    <row r="161" spans="2:12" ht="15"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4"/>
    </row>
    <row r="162" spans="2:12" ht="15"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4"/>
    </row>
    <row r="163" spans="2:12" ht="15"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4"/>
    </row>
    <row r="164" spans="2:12">
      <c r="D164" s="31"/>
      <c r="E164" s="31"/>
      <c r="F164" s="31"/>
      <c r="G164" s="31"/>
      <c r="H164" s="31"/>
    </row>
    <row r="165" spans="2:12">
      <c r="D165" s="31"/>
      <c r="E165" s="31"/>
      <c r="F165" s="31"/>
      <c r="G165" s="31"/>
      <c r="H165" s="31"/>
    </row>
    <row r="166" spans="2:12">
      <c r="D166" s="31"/>
      <c r="E166" s="31"/>
      <c r="F166" s="31"/>
      <c r="G166" s="31"/>
      <c r="H166" s="31"/>
    </row>
    <row r="167" spans="2:12">
      <c r="D167" s="31"/>
      <c r="E167" s="31"/>
      <c r="F167" s="31"/>
      <c r="G167" s="31"/>
      <c r="H167" s="31"/>
    </row>
    <row r="168" spans="2:12">
      <c r="D168" s="31"/>
      <c r="E168" s="31"/>
      <c r="F168" s="31"/>
      <c r="G168" s="31"/>
      <c r="H168" s="31"/>
    </row>
    <row r="169" spans="2:12">
      <c r="D169" s="31"/>
      <c r="E169" s="31"/>
      <c r="F169" s="31"/>
      <c r="G169" s="31"/>
      <c r="H169" s="31"/>
    </row>
    <row r="170" spans="2:12">
      <c r="D170" s="31"/>
      <c r="E170" s="31"/>
      <c r="F170" s="31"/>
      <c r="G170" s="31"/>
      <c r="H170" s="31"/>
    </row>
    <row r="171" spans="2:12">
      <c r="D171" s="31"/>
      <c r="E171" s="31"/>
      <c r="F171" s="31"/>
      <c r="G171" s="31"/>
      <c r="H171" s="31"/>
    </row>
    <row r="172" spans="2:12">
      <c r="D172" s="31"/>
      <c r="E172" s="31"/>
      <c r="F172" s="31"/>
      <c r="G172" s="31"/>
      <c r="H172" s="31"/>
    </row>
    <row r="173" spans="2:12">
      <c r="D173" s="31"/>
      <c r="E173" s="31"/>
      <c r="F173" s="31"/>
      <c r="G173" s="31"/>
      <c r="H173" s="31"/>
    </row>
    <row r="174" spans="2:12">
      <c r="D174" s="31"/>
      <c r="E174" s="31"/>
      <c r="F174" s="31"/>
      <c r="G174" s="31"/>
      <c r="H174" s="31"/>
    </row>
  </sheetData>
  <mergeCells count="14">
    <mergeCell ref="B157:C157"/>
    <mergeCell ref="I157:L157"/>
    <mergeCell ref="B1:L1"/>
    <mergeCell ref="B6:L6"/>
    <mergeCell ref="B68:L68"/>
    <mergeCell ref="B156:C156"/>
    <mergeCell ref="E156:F156"/>
    <mergeCell ref="I156:L156"/>
    <mergeCell ref="B89:L89"/>
    <mergeCell ref="B101:L101"/>
    <mergeCell ref="B113:L113"/>
    <mergeCell ref="B78:L78"/>
    <mergeCell ref="B2:C3"/>
    <mergeCell ref="E2:F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7631F-A4FA-44D7-ADD8-57CE043BB388}">
  <sheetPr>
    <pageSetUpPr fitToPage="1"/>
  </sheetPr>
  <dimension ref="B1:T174"/>
  <sheetViews>
    <sheetView tabSelected="1" topLeftCell="B7" zoomScale="50" zoomScaleNormal="50" workbookViewId="0">
      <selection activeCell="D87" sqref="D87"/>
    </sheetView>
  </sheetViews>
  <sheetFormatPr defaultRowHeight="23.25"/>
  <cols>
    <col min="2" max="2" width="22.140625" style="23" customWidth="1"/>
    <col min="3" max="3" width="59.140625" style="23" customWidth="1"/>
    <col min="4" max="7" width="14.42578125" style="16" customWidth="1"/>
    <col min="8" max="10" width="14.42578125" style="16" hidden="1" customWidth="1"/>
    <col min="11" max="11" width="14.42578125" style="16" customWidth="1"/>
    <col min="12" max="12" width="17.5703125" style="25" customWidth="1"/>
    <col min="13" max="13" width="16.140625" style="23" hidden="1" customWidth="1"/>
    <col min="14" max="15" width="15.42578125" style="23" hidden="1" customWidth="1"/>
    <col min="16" max="16" width="25.42578125" style="23" hidden="1" customWidth="1"/>
    <col min="17" max="17" width="14.42578125" style="28" hidden="1" customWidth="1"/>
    <col min="18" max="18" width="9.140625" customWidth="1"/>
    <col min="19" max="19" width="7.42578125" customWidth="1"/>
    <col min="20" max="20" width="22.7109375" customWidth="1"/>
  </cols>
  <sheetData>
    <row r="1" spans="2:17">
      <c r="B1" s="64" t="s">
        <v>149</v>
      </c>
      <c r="C1" s="64"/>
      <c r="D1" s="64"/>
      <c r="E1" s="64"/>
      <c r="F1" s="64"/>
      <c r="G1" s="64"/>
      <c r="H1" s="64"/>
      <c r="I1" s="64"/>
      <c r="J1" s="64"/>
      <c r="K1" s="64"/>
      <c r="L1" s="64"/>
    </row>
    <row r="2" spans="2:17">
      <c r="B2" s="68"/>
      <c r="C2" s="69"/>
      <c r="D2" s="1"/>
      <c r="E2" s="70"/>
      <c r="F2" s="70"/>
      <c r="G2" s="2"/>
      <c r="H2" s="2"/>
      <c r="I2" s="2"/>
      <c r="J2" s="2"/>
      <c r="K2" s="2"/>
      <c r="L2" s="3" t="s">
        <v>0</v>
      </c>
      <c r="M2" s="73" t="s">
        <v>127</v>
      </c>
      <c r="N2" s="73" t="s">
        <v>130</v>
      </c>
      <c r="O2" s="73" t="s">
        <v>140</v>
      </c>
      <c r="P2" s="73" t="s">
        <v>141</v>
      </c>
      <c r="Q2" s="76" t="s">
        <v>1</v>
      </c>
    </row>
    <row r="3" spans="2:17">
      <c r="B3" s="68"/>
      <c r="C3" s="69"/>
      <c r="D3" s="4"/>
      <c r="E3" s="71"/>
      <c r="F3" s="71"/>
      <c r="G3" s="5"/>
      <c r="H3" s="5"/>
      <c r="I3" s="5"/>
      <c r="J3" s="41"/>
      <c r="K3" s="41"/>
      <c r="L3" s="6" t="s">
        <v>2</v>
      </c>
      <c r="M3" s="74"/>
      <c r="N3" s="74"/>
      <c r="O3" s="74"/>
      <c r="P3" s="74"/>
      <c r="Q3" s="77"/>
    </row>
    <row r="4" spans="2:17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134</v>
      </c>
      <c r="I4" s="9" t="s">
        <v>9</v>
      </c>
      <c r="J4" s="42" t="s">
        <v>133</v>
      </c>
      <c r="K4" s="42" t="s">
        <v>136</v>
      </c>
      <c r="L4" s="10" t="s">
        <v>10</v>
      </c>
      <c r="M4" s="75"/>
      <c r="N4" s="75"/>
      <c r="O4" s="75"/>
      <c r="P4" s="75"/>
      <c r="Q4" s="78"/>
    </row>
    <row r="5" spans="2:17">
      <c r="B5" s="11"/>
      <c r="C5" s="12"/>
      <c r="D5" s="13"/>
      <c r="E5" s="9"/>
      <c r="F5" s="9"/>
      <c r="G5" s="9"/>
      <c r="H5" s="9"/>
      <c r="I5" s="9"/>
      <c r="J5" s="42"/>
      <c r="K5" s="42"/>
      <c r="L5" s="14"/>
      <c r="M5" s="11"/>
      <c r="N5" s="11"/>
      <c r="O5" s="11"/>
      <c r="P5" s="11"/>
      <c r="Q5" s="29"/>
    </row>
    <row r="6" spans="2:17" ht="21">
      <c r="B6" s="65" t="s">
        <v>11</v>
      </c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6"/>
      <c r="Q6" s="72"/>
    </row>
    <row r="7" spans="2:17">
      <c r="B7" s="11">
        <v>1111002</v>
      </c>
      <c r="C7" s="15" t="s">
        <v>107</v>
      </c>
      <c r="D7" s="30">
        <f>'เย็น '!D7+'เช้า '!D7+บ่าย!D7</f>
        <v>4</v>
      </c>
      <c r="E7" s="30">
        <f>'เย็น '!E7+'เช้า '!E7+บ่าย!E7</f>
        <v>21</v>
      </c>
      <c r="F7" s="30">
        <f>'เย็น '!F7+'เช้า '!F7+บ่าย!F7</f>
        <v>37</v>
      </c>
      <c r="G7" s="30">
        <f>'เย็น '!G7+'เช้า '!G7+บ่าย!G7</f>
        <v>24</v>
      </c>
      <c r="H7" s="30">
        <f>'เย็น '!H7+'เช้า '!H7+บ่าย!H7</f>
        <v>0</v>
      </c>
      <c r="I7" s="30">
        <f>'เย็น '!I7+'เช้า '!I7+บ่าย!I7</f>
        <v>0</v>
      </c>
      <c r="J7" s="30">
        <f>'เย็น '!J7+'เช้า '!J7+บ่าย!J7</f>
        <v>0</v>
      </c>
      <c r="K7" s="30">
        <f>'เย็น '!K7+'เช้า '!K7+บ่าย!K7</f>
        <v>3</v>
      </c>
      <c r="L7" s="36">
        <f>SUM(D7:K7)</f>
        <v>89</v>
      </c>
      <c r="M7" s="11">
        <v>3</v>
      </c>
      <c r="N7" s="11">
        <v>196</v>
      </c>
      <c r="O7" s="11"/>
      <c r="P7" s="11"/>
      <c r="Q7" s="44">
        <f>(M7+N7+O7+P7)-L7</f>
        <v>110</v>
      </c>
    </row>
    <row r="8" spans="2:17" hidden="1">
      <c r="B8" s="11"/>
      <c r="C8" s="15" t="s">
        <v>126</v>
      </c>
      <c r="D8" s="30">
        <f>'เย็น '!D8+'เช้า '!D8+บ่าย!D8</f>
        <v>0</v>
      </c>
      <c r="E8" s="30">
        <f>'เย็น '!E8+'เช้า '!E8+บ่าย!E8</f>
        <v>0</v>
      </c>
      <c r="F8" s="30">
        <f>'เย็น '!F8+'เช้า '!F8+บ่าย!F8</f>
        <v>0</v>
      </c>
      <c r="G8" s="30">
        <f>'เย็น '!G8+'เช้า '!G8+บ่าย!G8</f>
        <v>0</v>
      </c>
      <c r="H8" s="30">
        <f>'เย็น '!H8+'เช้า '!H8+บ่าย!H8</f>
        <v>0</v>
      </c>
      <c r="I8" s="30">
        <f>'เย็น '!I8+'เช้า '!I8+บ่าย!I8</f>
        <v>0</v>
      </c>
      <c r="J8" s="30">
        <f>'เย็น '!J8+'เช้า '!J8+บ่าย!J8</f>
        <v>0</v>
      </c>
      <c r="K8" s="30">
        <f>'เย็น '!K8+'เช้า '!K8+บ่าย!K8</f>
        <v>0</v>
      </c>
      <c r="L8" s="36">
        <f t="shared" ref="L8:L66" si="0">SUM(D8:K8)</f>
        <v>0</v>
      </c>
      <c r="M8" s="11"/>
      <c r="N8" s="11"/>
      <c r="O8" s="11"/>
      <c r="P8" s="11"/>
      <c r="Q8" s="44">
        <f t="shared" ref="Q8:Q66" si="1">(M8+N8+O8+P8)-L8</f>
        <v>0</v>
      </c>
    </row>
    <row r="9" spans="2:17" hidden="1">
      <c r="B9" s="11">
        <v>1111084</v>
      </c>
      <c r="C9" s="15" t="s">
        <v>12</v>
      </c>
      <c r="D9" s="30">
        <f>'เย็น '!D9+'เช้า '!D9+บ่าย!D9</f>
        <v>0</v>
      </c>
      <c r="E9" s="30">
        <f>'เย็น '!E9+'เช้า '!E9+บ่าย!E9</f>
        <v>0</v>
      </c>
      <c r="F9" s="30">
        <f>'เย็น '!F9+'เช้า '!F9+บ่าย!F9</f>
        <v>0</v>
      </c>
      <c r="G9" s="30">
        <f>'เย็น '!G9+'เช้า '!G9+บ่าย!G9</f>
        <v>0</v>
      </c>
      <c r="H9" s="30">
        <f>'เย็น '!H9+'เช้า '!H9+บ่าย!H9</f>
        <v>0</v>
      </c>
      <c r="I9" s="30">
        <f>'เย็น '!I9+'เช้า '!I9+บ่าย!I9</f>
        <v>0</v>
      </c>
      <c r="J9" s="30">
        <f>'เย็น '!J9+'เช้า '!J9+บ่าย!J9</f>
        <v>0</v>
      </c>
      <c r="K9" s="30">
        <f>'เย็น '!K9+'เช้า '!K9+บ่าย!K9</f>
        <v>0</v>
      </c>
      <c r="L9" s="36">
        <f t="shared" si="0"/>
        <v>0</v>
      </c>
      <c r="M9" s="11"/>
      <c r="N9" s="11"/>
      <c r="O9" s="11"/>
      <c r="P9" s="11"/>
      <c r="Q9" s="44">
        <f t="shared" si="1"/>
        <v>0</v>
      </c>
    </row>
    <row r="10" spans="2:17" hidden="1">
      <c r="B10" s="11">
        <v>1111085</v>
      </c>
      <c r="C10" s="15" t="s">
        <v>13</v>
      </c>
      <c r="D10" s="30">
        <f>'เย็น '!D10+'เช้า '!D10+บ่าย!D10</f>
        <v>0</v>
      </c>
      <c r="E10" s="30">
        <f>'เย็น '!E10+'เช้า '!E10+บ่าย!E10</f>
        <v>0</v>
      </c>
      <c r="F10" s="30">
        <f>'เย็น '!F10+'เช้า '!F10+บ่าย!F10</f>
        <v>0</v>
      </c>
      <c r="G10" s="30">
        <f>'เย็น '!G10+'เช้า '!G10+บ่าย!G10</f>
        <v>0</v>
      </c>
      <c r="H10" s="30">
        <f>'เย็น '!H10+'เช้า '!H10+บ่าย!H10</f>
        <v>0</v>
      </c>
      <c r="I10" s="30">
        <f>'เย็น '!I10+'เช้า '!I10+บ่าย!I10</f>
        <v>0</v>
      </c>
      <c r="J10" s="30">
        <f>'เย็น '!J10+'เช้า '!J10+บ่าย!J10</f>
        <v>0</v>
      </c>
      <c r="K10" s="30">
        <f>'เย็น '!K10+'เช้า '!K10+บ่าย!K10</f>
        <v>0</v>
      </c>
      <c r="L10" s="36">
        <f t="shared" si="0"/>
        <v>0</v>
      </c>
      <c r="M10" s="11"/>
      <c r="N10" s="11"/>
      <c r="O10" s="11"/>
      <c r="P10" s="11"/>
      <c r="Q10" s="44">
        <f t="shared" si="1"/>
        <v>0</v>
      </c>
    </row>
    <row r="11" spans="2:17" hidden="1">
      <c r="B11" s="11">
        <v>1111086</v>
      </c>
      <c r="C11" s="15" t="s">
        <v>14</v>
      </c>
      <c r="D11" s="30">
        <f>'เย็น '!D11+'เช้า '!D11+บ่าย!D11</f>
        <v>0</v>
      </c>
      <c r="E11" s="30">
        <f>'เย็น '!E11+'เช้า '!E11+บ่าย!E11</f>
        <v>0</v>
      </c>
      <c r="F11" s="30">
        <f>'เย็น '!F11+'เช้า '!F11+บ่าย!F11</f>
        <v>0</v>
      </c>
      <c r="G11" s="30">
        <f>'เย็น '!G11+'เช้า '!G11+บ่าย!G11</f>
        <v>0</v>
      </c>
      <c r="H11" s="30">
        <f>'เย็น '!H11+'เช้า '!H11+บ่าย!H11</f>
        <v>0</v>
      </c>
      <c r="I11" s="30">
        <f>'เย็น '!I11+'เช้า '!I11+บ่าย!I11</f>
        <v>0</v>
      </c>
      <c r="J11" s="30">
        <f>'เย็น '!J11+'เช้า '!J11+บ่าย!J11</f>
        <v>0</v>
      </c>
      <c r="K11" s="30">
        <f>'เย็น '!K11+'เช้า '!K11+บ่าย!K11</f>
        <v>0</v>
      </c>
      <c r="L11" s="36">
        <f t="shared" si="0"/>
        <v>0</v>
      </c>
      <c r="M11" s="11"/>
      <c r="N11" s="11"/>
      <c r="O11" s="11"/>
      <c r="P11" s="11"/>
      <c r="Q11" s="44">
        <f t="shared" si="1"/>
        <v>0</v>
      </c>
    </row>
    <row r="12" spans="2:17" hidden="1">
      <c r="B12" s="11">
        <v>1111087</v>
      </c>
      <c r="C12" s="15" t="s">
        <v>15</v>
      </c>
      <c r="D12" s="30">
        <f>'เย็น '!D12+'เช้า '!D12+บ่าย!D12</f>
        <v>0</v>
      </c>
      <c r="E12" s="30">
        <f>'เย็น '!E12+'เช้า '!E12+บ่าย!E12</f>
        <v>0</v>
      </c>
      <c r="F12" s="30">
        <f>'เย็น '!F12+'เช้า '!F12+บ่าย!F12</f>
        <v>0</v>
      </c>
      <c r="G12" s="30">
        <f>'เย็น '!G12+'เช้า '!G12+บ่าย!G12</f>
        <v>0</v>
      </c>
      <c r="H12" s="30">
        <f>'เย็น '!H12+'เช้า '!H12+บ่าย!H12</f>
        <v>0</v>
      </c>
      <c r="I12" s="30">
        <f>'เย็น '!I12+'เช้า '!I12+บ่าย!I12</f>
        <v>0</v>
      </c>
      <c r="J12" s="30">
        <f>'เย็น '!J12+'เช้า '!J12+บ่าย!J12</f>
        <v>0</v>
      </c>
      <c r="K12" s="30">
        <f>'เย็น '!K12+'เช้า '!K12+บ่าย!K12</f>
        <v>0</v>
      </c>
      <c r="L12" s="36">
        <f t="shared" si="0"/>
        <v>0</v>
      </c>
      <c r="M12" s="11"/>
      <c r="N12" s="11"/>
      <c r="O12" s="11"/>
      <c r="P12" s="11"/>
      <c r="Q12" s="44">
        <f t="shared" si="1"/>
        <v>0</v>
      </c>
    </row>
    <row r="13" spans="2:17" hidden="1">
      <c r="B13" s="11">
        <v>1111088</v>
      </c>
      <c r="C13" s="15" t="s">
        <v>16</v>
      </c>
      <c r="D13" s="30">
        <f>'เย็น '!D13+'เช้า '!D13+บ่าย!D13</f>
        <v>0</v>
      </c>
      <c r="E13" s="30">
        <f>'เย็น '!E13+'เช้า '!E13+บ่าย!E13</f>
        <v>0</v>
      </c>
      <c r="F13" s="30">
        <f>'เย็น '!F13+'เช้า '!F13+บ่าย!F13</f>
        <v>0</v>
      </c>
      <c r="G13" s="30">
        <f>'เย็น '!G13+'เช้า '!G13+บ่าย!G13</f>
        <v>0</v>
      </c>
      <c r="H13" s="30">
        <f>'เย็น '!H13+'เช้า '!H13+บ่าย!H13</f>
        <v>0</v>
      </c>
      <c r="I13" s="30">
        <f>'เย็น '!I13+'เช้า '!I13+บ่าย!I13</f>
        <v>0</v>
      </c>
      <c r="J13" s="30">
        <f>'เย็น '!J13+'เช้า '!J13+บ่าย!J13</f>
        <v>0</v>
      </c>
      <c r="K13" s="30">
        <f>'เย็น '!K13+'เช้า '!K13+บ่าย!K13</f>
        <v>0</v>
      </c>
      <c r="L13" s="36">
        <f t="shared" si="0"/>
        <v>0</v>
      </c>
      <c r="M13" s="11"/>
      <c r="N13" s="11"/>
      <c r="O13" s="11"/>
      <c r="P13" s="11"/>
      <c r="Q13" s="44">
        <f t="shared" si="1"/>
        <v>0</v>
      </c>
    </row>
    <row r="14" spans="2:17" hidden="1">
      <c r="B14" s="11">
        <v>1111089</v>
      </c>
      <c r="C14" s="15" t="s">
        <v>17</v>
      </c>
      <c r="D14" s="30">
        <f>'เย็น '!D14+'เช้า '!D14+บ่าย!D14</f>
        <v>0</v>
      </c>
      <c r="E14" s="30">
        <f>'เย็น '!E14+'เช้า '!E14+บ่าย!E14</f>
        <v>0</v>
      </c>
      <c r="F14" s="30">
        <f>'เย็น '!F14+'เช้า '!F14+บ่าย!F14</f>
        <v>0</v>
      </c>
      <c r="G14" s="30">
        <f>'เย็น '!G14+'เช้า '!G14+บ่าย!G14</f>
        <v>0</v>
      </c>
      <c r="H14" s="30">
        <f>'เย็น '!H14+'เช้า '!H14+บ่าย!H14</f>
        <v>0</v>
      </c>
      <c r="I14" s="30">
        <f>'เย็น '!I14+'เช้า '!I14+บ่าย!I14</f>
        <v>0</v>
      </c>
      <c r="J14" s="30">
        <f>'เย็น '!J14+'เช้า '!J14+บ่าย!J14</f>
        <v>0</v>
      </c>
      <c r="K14" s="30">
        <f>'เย็น '!K14+'เช้า '!K14+บ่าย!K14</f>
        <v>0</v>
      </c>
      <c r="L14" s="36">
        <f t="shared" si="0"/>
        <v>0</v>
      </c>
      <c r="M14" s="11"/>
      <c r="N14" s="11"/>
      <c r="O14" s="11"/>
      <c r="P14" s="11"/>
      <c r="Q14" s="44">
        <f t="shared" si="1"/>
        <v>0</v>
      </c>
    </row>
    <row r="15" spans="2:17" hidden="1">
      <c r="B15" s="11">
        <v>1111090</v>
      </c>
      <c r="C15" s="15" t="s">
        <v>18</v>
      </c>
      <c r="D15" s="30">
        <f>'เย็น '!D15+'เช้า '!D15+บ่าย!D15</f>
        <v>0</v>
      </c>
      <c r="E15" s="30">
        <f>'เย็น '!E15+'เช้า '!E15+บ่าย!E15</f>
        <v>0</v>
      </c>
      <c r="F15" s="30">
        <f>'เย็น '!F15+'เช้า '!F15+บ่าย!F15</f>
        <v>0</v>
      </c>
      <c r="G15" s="30">
        <f>'เย็น '!G15+'เช้า '!G15+บ่าย!G15</f>
        <v>0</v>
      </c>
      <c r="H15" s="30">
        <f>'เย็น '!H15+'เช้า '!H15+บ่าย!H15</f>
        <v>0</v>
      </c>
      <c r="I15" s="30">
        <f>'เย็น '!I15+'เช้า '!I15+บ่าย!I15</f>
        <v>0</v>
      </c>
      <c r="J15" s="30">
        <f>'เย็น '!J15+'เช้า '!J15+บ่าย!J15</f>
        <v>0</v>
      </c>
      <c r="K15" s="30">
        <f>'เย็น '!K15+'เช้า '!K15+บ่าย!K15</f>
        <v>0</v>
      </c>
      <c r="L15" s="36">
        <f t="shared" si="0"/>
        <v>0</v>
      </c>
      <c r="M15" s="11"/>
      <c r="N15" s="11"/>
      <c r="O15" s="11"/>
      <c r="P15" s="11"/>
      <c r="Q15" s="44">
        <f t="shared" si="1"/>
        <v>0</v>
      </c>
    </row>
    <row r="16" spans="2:17" hidden="1">
      <c r="B16" s="11">
        <v>1111091</v>
      </c>
      <c r="C16" s="15" t="s">
        <v>19</v>
      </c>
      <c r="D16" s="30">
        <f>'เย็น '!D16+'เช้า '!D16+บ่าย!D16</f>
        <v>0</v>
      </c>
      <c r="E16" s="30">
        <f>'เย็น '!E16+'เช้า '!E16+บ่าย!E16</f>
        <v>0</v>
      </c>
      <c r="F16" s="30">
        <f>'เย็น '!F16+'เช้า '!F16+บ่าย!F16</f>
        <v>0</v>
      </c>
      <c r="G16" s="30">
        <f>'เย็น '!G16+'เช้า '!G16+บ่าย!G16</f>
        <v>0</v>
      </c>
      <c r="H16" s="30">
        <f>'เย็น '!H16+'เช้า '!H16+บ่าย!H16</f>
        <v>0</v>
      </c>
      <c r="I16" s="30">
        <f>'เย็น '!I16+'เช้า '!I16+บ่าย!I16</f>
        <v>0</v>
      </c>
      <c r="J16" s="30">
        <f>'เย็น '!J16+'เช้า '!J16+บ่าย!J16</f>
        <v>0</v>
      </c>
      <c r="K16" s="30">
        <f>'เย็น '!K16+'เช้า '!K16+บ่าย!K16</f>
        <v>0</v>
      </c>
      <c r="L16" s="36">
        <f t="shared" si="0"/>
        <v>0</v>
      </c>
      <c r="M16" s="11"/>
      <c r="N16" s="11"/>
      <c r="O16" s="11"/>
      <c r="P16" s="11"/>
      <c r="Q16" s="44">
        <f t="shared" si="1"/>
        <v>0</v>
      </c>
    </row>
    <row r="17" spans="2:17" hidden="1">
      <c r="B17" s="11">
        <v>1111092</v>
      </c>
      <c r="C17" s="15" t="s">
        <v>20</v>
      </c>
      <c r="D17" s="30">
        <f>'เย็น '!D17+'เช้า '!D17+บ่าย!D17</f>
        <v>0</v>
      </c>
      <c r="E17" s="30">
        <f>'เย็น '!E17+'เช้า '!E17+บ่าย!E17</f>
        <v>0</v>
      </c>
      <c r="F17" s="30">
        <f>'เย็น '!F17+'เช้า '!F17+บ่าย!F17</f>
        <v>0</v>
      </c>
      <c r="G17" s="30">
        <f>'เย็น '!G17+'เช้า '!G17+บ่าย!G17</f>
        <v>0</v>
      </c>
      <c r="H17" s="30">
        <f>'เย็น '!H17+'เช้า '!H17+บ่าย!H17</f>
        <v>0</v>
      </c>
      <c r="I17" s="30">
        <f>'เย็น '!I17+'เช้า '!I17+บ่าย!I17</f>
        <v>0</v>
      </c>
      <c r="J17" s="30">
        <f>'เย็น '!J17+'เช้า '!J17+บ่าย!J17</f>
        <v>0</v>
      </c>
      <c r="K17" s="30">
        <f>'เย็น '!K17+'เช้า '!K17+บ่าย!K17</f>
        <v>0</v>
      </c>
      <c r="L17" s="36">
        <f t="shared" si="0"/>
        <v>0</v>
      </c>
      <c r="M17" s="11"/>
      <c r="N17" s="11"/>
      <c r="O17" s="11"/>
      <c r="P17" s="11"/>
      <c r="Q17" s="44">
        <f t="shared" si="1"/>
        <v>0</v>
      </c>
    </row>
    <row r="18" spans="2:17" hidden="1">
      <c r="B18" s="11">
        <v>1111093</v>
      </c>
      <c r="C18" s="15" t="s">
        <v>21</v>
      </c>
      <c r="D18" s="30">
        <f>'เย็น '!D18+'เช้า '!D18+บ่าย!D18</f>
        <v>0</v>
      </c>
      <c r="E18" s="30">
        <f>'เย็น '!E18+'เช้า '!E18+บ่าย!E18</f>
        <v>0</v>
      </c>
      <c r="F18" s="30">
        <f>'เย็น '!F18+'เช้า '!F18+บ่าย!F18</f>
        <v>0</v>
      </c>
      <c r="G18" s="30">
        <f>'เย็น '!G18+'เช้า '!G18+บ่าย!G18</f>
        <v>0</v>
      </c>
      <c r="H18" s="30">
        <f>'เย็น '!H18+'เช้า '!H18+บ่าย!H18</f>
        <v>0</v>
      </c>
      <c r="I18" s="30">
        <f>'เย็น '!I18+'เช้า '!I18+บ่าย!I18</f>
        <v>0</v>
      </c>
      <c r="J18" s="30">
        <f>'เย็น '!J18+'เช้า '!J18+บ่าย!J18</f>
        <v>0</v>
      </c>
      <c r="K18" s="30">
        <f>'เย็น '!K18+'เช้า '!K18+บ่าย!K18</f>
        <v>0</v>
      </c>
      <c r="L18" s="36">
        <f t="shared" si="0"/>
        <v>0</v>
      </c>
      <c r="M18" s="11"/>
      <c r="N18" s="11"/>
      <c r="O18" s="11"/>
      <c r="P18" s="11"/>
      <c r="Q18" s="44">
        <f t="shared" si="1"/>
        <v>0</v>
      </c>
    </row>
    <row r="19" spans="2:17" hidden="1">
      <c r="B19" s="11">
        <v>1111094</v>
      </c>
      <c r="C19" s="15" t="s">
        <v>22</v>
      </c>
      <c r="D19" s="30">
        <f>'เย็น '!D19+'เช้า '!D19+บ่าย!D19</f>
        <v>0</v>
      </c>
      <c r="E19" s="30">
        <f>'เย็น '!E19+'เช้า '!E19+บ่าย!E19</f>
        <v>0</v>
      </c>
      <c r="F19" s="30">
        <f>'เย็น '!F19+'เช้า '!F19+บ่าย!F19</f>
        <v>0</v>
      </c>
      <c r="G19" s="30">
        <f>'เย็น '!G19+'เช้า '!G19+บ่าย!G19</f>
        <v>0</v>
      </c>
      <c r="H19" s="30">
        <f>'เย็น '!H19+'เช้า '!H19+บ่าย!H19</f>
        <v>0</v>
      </c>
      <c r="I19" s="30">
        <f>'เย็น '!I19+'เช้า '!I19+บ่าย!I19</f>
        <v>0</v>
      </c>
      <c r="J19" s="30">
        <f>'เย็น '!J19+'เช้า '!J19+บ่าย!J19</f>
        <v>0</v>
      </c>
      <c r="K19" s="30">
        <f>'เย็น '!K19+'เช้า '!K19+บ่าย!K19</f>
        <v>0</v>
      </c>
      <c r="L19" s="36">
        <f t="shared" si="0"/>
        <v>0</v>
      </c>
      <c r="M19" s="11"/>
      <c r="N19" s="11"/>
      <c r="O19" s="11"/>
      <c r="P19" s="11"/>
      <c r="Q19" s="44">
        <f t="shared" si="1"/>
        <v>0</v>
      </c>
    </row>
    <row r="20" spans="2:17" hidden="1">
      <c r="B20" s="11">
        <v>1111095</v>
      </c>
      <c r="C20" s="15" t="s">
        <v>23</v>
      </c>
      <c r="D20" s="30">
        <f>'เย็น '!D20+'เช้า '!D20+บ่าย!D20</f>
        <v>0</v>
      </c>
      <c r="E20" s="30">
        <f>'เย็น '!E20+'เช้า '!E20+บ่าย!E20</f>
        <v>0</v>
      </c>
      <c r="F20" s="30">
        <f>'เย็น '!F20+'เช้า '!F20+บ่าย!F20</f>
        <v>0</v>
      </c>
      <c r="G20" s="30">
        <f>'เย็น '!G20+'เช้า '!G20+บ่าย!G20</f>
        <v>0</v>
      </c>
      <c r="H20" s="30">
        <f>'เย็น '!H20+'เช้า '!H20+บ่าย!H20</f>
        <v>0</v>
      </c>
      <c r="I20" s="30">
        <f>'เย็น '!I20+'เช้า '!I20+บ่าย!I20</f>
        <v>0</v>
      </c>
      <c r="J20" s="30">
        <f>'เย็น '!J20+'เช้า '!J20+บ่าย!J20</f>
        <v>0</v>
      </c>
      <c r="K20" s="30">
        <f>'เย็น '!K20+'เช้า '!K20+บ่าย!K20</f>
        <v>0</v>
      </c>
      <c r="L20" s="36">
        <f t="shared" si="0"/>
        <v>0</v>
      </c>
      <c r="M20" s="11"/>
      <c r="N20" s="11"/>
      <c r="O20" s="11"/>
      <c r="P20" s="11"/>
      <c r="Q20" s="44">
        <f t="shared" si="1"/>
        <v>0</v>
      </c>
    </row>
    <row r="21" spans="2:17" hidden="1">
      <c r="B21" s="11">
        <v>1111096</v>
      </c>
      <c r="C21" s="15" t="s">
        <v>24</v>
      </c>
      <c r="D21" s="30">
        <f>'เย็น '!D21+'เช้า '!D21+บ่าย!D21</f>
        <v>0</v>
      </c>
      <c r="E21" s="30">
        <f>'เย็น '!E21+'เช้า '!E21+บ่าย!E21</f>
        <v>0</v>
      </c>
      <c r="F21" s="30">
        <f>'เย็น '!F21+'เช้า '!F21+บ่าย!F21</f>
        <v>0</v>
      </c>
      <c r="G21" s="30">
        <f>'เย็น '!G21+'เช้า '!G21+บ่าย!G21</f>
        <v>0</v>
      </c>
      <c r="H21" s="30">
        <f>'เย็น '!H21+'เช้า '!H21+บ่าย!H21</f>
        <v>0</v>
      </c>
      <c r="I21" s="30">
        <f>'เย็น '!I21+'เช้า '!I21+บ่าย!I21</f>
        <v>0</v>
      </c>
      <c r="J21" s="30">
        <f>'เย็น '!J21+'เช้า '!J21+บ่าย!J21</f>
        <v>0</v>
      </c>
      <c r="K21" s="30">
        <f>'เย็น '!K21+'เช้า '!K21+บ่าย!K21</f>
        <v>0</v>
      </c>
      <c r="L21" s="36">
        <f t="shared" si="0"/>
        <v>0</v>
      </c>
      <c r="M21" s="11"/>
      <c r="N21" s="11"/>
      <c r="O21" s="11"/>
      <c r="P21" s="11"/>
      <c r="Q21" s="44">
        <f t="shared" si="1"/>
        <v>0</v>
      </c>
    </row>
    <row r="22" spans="2:17" hidden="1">
      <c r="B22" s="11">
        <v>1111097</v>
      </c>
      <c r="C22" s="15" t="s">
        <v>25</v>
      </c>
      <c r="D22" s="30">
        <f>'เย็น '!D22+'เช้า '!D22+บ่าย!D22</f>
        <v>0</v>
      </c>
      <c r="E22" s="30">
        <f>'เย็น '!E22+'เช้า '!E22+บ่าย!E22</f>
        <v>0</v>
      </c>
      <c r="F22" s="30">
        <f>'เย็น '!F22+'เช้า '!F22+บ่าย!F22</f>
        <v>0</v>
      </c>
      <c r="G22" s="30">
        <f>'เย็น '!G22+'เช้า '!G22+บ่าย!G22</f>
        <v>0</v>
      </c>
      <c r="H22" s="30">
        <f>'เย็น '!H22+'เช้า '!H22+บ่าย!H22</f>
        <v>0</v>
      </c>
      <c r="I22" s="30">
        <f>'เย็น '!I22+'เช้า '!I22+บ่าย!I22</f>
        <v>0</v>
      </c>
      <c r="J22" s="30">
        <f>'เย็น '!J22+'เช้า '!J22+บ่าย!J22</f>
        <v>0</v>
      </c>
      <c r="K22" s="30">
        <f>'เย็น '!K22+'เช้า '!K22+บ่าย!K22</f>
        <v>0</v>
      </c>
      <c r="L22" s="36">
        <f t="shared" si="0"/>
        <v>0</v>
      </c>
      <c r="M22" s="11"/>
      <c r="N22" s="11"/>
      <c r="O22" s="11"/>
      <c r="P22" s="11"/>
      <c r="Q22" s="44">
        <f t="shared" si="1"/>
        <v>0</v>
      </c>
    </row>
    <row r="23" spans="2:17" hidden="1">
      <c r="B23" s="11">
        <v>1111098</v>
      </c>
      <c r="C23" s="15" t="s">
        <v>26</v>
      </c>
      <c r="D23" s="30">
        <f>'เย็น '!D23+'เช้า '!D23+บ่าย!D23</f>
        <v>0</v>
      </c>
      <c r="E23" s="30">
        <f>'เย็น '!E23+'เช้า '!E23+บ่าย!E23</f>
        <v>0</v>
      </c>
      <c r="F23" s="30">
        <f>'เย็น '!F23+'เช้า '!F23+บ่าย!F23</f>
        <v>0</v>
      </c>
      <c r="G23" s="30">
        <f>'เย็น '!G23+'เช้า '!G23+บ่าย!G23</f>
        <v>0</v>
      </c>
      <c r="H23" s="30">
        <f>'เย็น '!H23+'เช้า '!H23+บ่าย!H23</f>
        <v>0</v>
      </c>
      <c r="I23" s="30">
        <f>'เย็น '!I23+'เช้า '!I23+บ่าย!I23</f>
        <v>0</v>
      </c>
      <c r="J23" s="30">
        <f>'เย็น '!J23+'เช้า '!J23+บ่าย!J23</f>
        <v>0</v>
      </c>
      <c r="K23" s="30">
        <f>'เย็น '!K23+'เช้า '!K23+บ่าย!K23</f>
        <v>0</v>
      </c>
      <c r="L23" s="36">
        <f t="shared" si="0"/>
        <v>0</v>
      </c>
      <c r="M23" s="11"/>
      <c r="N23" s="11"/>
      <c r="O23" s="11"/>
      <c r="P23" s="11"/>
      <c r="Q23" s="44">
        <f t="shared" si="1"/>
        <v>0</v>
      </c>
    </row>
    <row r="24" spans="2:17" hidden="1">
      <c r="B24" s="11">
        <v>1111043</v>
      </c>
      <c r="C24" s="15" t="s">
        <v>27</v>
      </c>
      <c r="D24" s="30">
        <f>'เย็น '!D24+'เช้า '!D24+บ่าย!D24</f>
        <v>0</v>
      </c>
      <c r="E24" s="30">
        <f>'เย็น '!E24+'เช้า '!E24+บ่าย!E24</f>
        <v>0</v>
      </c>
      <c r="F24" s="30">
        <f>'เย็น '!F24+'เช้า '!F24+บ่าย!F24</f>
        <v>0</v>
      </c>
      <c r="G24" s="30">
        <f>'เย็น '!G24+'เช้า '!G24+บ่าย!G24</f>
        <v>0</v>
      </c>
      <c r="H24" s="30">
        <f>'เย็น '!H24+'เช้า '!H24+บ่าย!H24</f>
        <v>0</v>
      </c>
      <c r="I24" s="30">
        <f>'เย็น '!I24+'เช้า '!I24+บ่าย!I24</f>
        <v>0</v>
      </c>
      <c r="J24" s="30">
        <f>'เย็น '!J24+'เช้า '!J24+บ่าย!J24</f>
        <v>0</v>
      </c>
      <c r="K24" s="30">
        <f>'เย็น '!K24+'เช้า '!K24+บ่าย!K24</f>
        <v>0</v>
      </c>
      <c r="L24" s="36">
        <f t="shared" si="0"/>
        <v>0</v>
      </c>
      <c r="M24" s="11"/>
      <c r="N24" s="11"/>
      <c r="O24" s="11"/>
      <c r="P24" s="11"/>
      <c r="Q24" s="44">
        <f t="shared" si="1"/>
        <v>0</v>
      </c>
    </row>
    <row r="25" spans="2:17">
      <c r="B25" s="11">
        <v>1111056</v>
      </c>
      <c r="C25" s="15" t="s">
        <v>28</v>
      </c>
      <c r="D25" s="62">
        <f>'เย็น '!D25+'เช้า '!D25+บ่าย!D25</f>
        <v>16</v>
      </c>
      <c r="E25" s="30">
        <f>'เย็น '!E25+'เช้า '!E25+บ่าย!E25</f>
        <v>13</v>
      </c>
      <c r="F25" s="30">
        <f>'เย็น '!F25+'เช้า '!F25+บ่าย!F25</f>
        <v>1</v>
      </c>
      <c r="G25" s="30">
        <f>'เย็น '!G25+'เช้า '!G25+บ่าย!G25</f>
        <v>2</v>
      </c>
      <c r="H25" s="30">
        <f>'เย็น '!H25+'เช้า '!H25+บ่าย!H25</f>
        <v>0</v>
      </c>
      <c r="I25" s="30">
        <f>'เย็น '!I25+'เช้า '!I25+บ่าย!I25</f>
        <v>0</v>
      </c>
      <c r="J25" s="30">
        <f>'เย็น '!J25+'เช้า '!J25+บ่าย!J25</f>
        <v>0</v>
      </c>
      <c r="K25" s="30">
        <f>'เย็น '!K25+'เช้า '!K25+บ่าย!K25</f>
        <v>0</v>
      </c>
      <c r="L25" s="36">
        <f t="shared" si="0"/>
        <v>32</v>
      </c>
      <c r="M25" s="11"/>
      <c r="N25" s="11">
        <v>5</v>
      </c>
      <c r="O25" s="11">
        <v>30</v>
      </c>
      <c r="P25" s="11"/>
      <c r="Q25" s="44">
        <f t="shared" si="1"/>
        <v>3</v>
      </c>
    </row>
    <row r="26" spans="2:17">
      <c r="B26" s="11">
        <v>1004055</v>
      </c>
      <c r="C26" s="15" t="s">
        <v>108</v>
      </c>
      <c r="D26" s="30">
        <f>'เย็น '!D26+'เช้า '!D26+บ่าย!D26</f>
        <v>0</v>
      </c>
      <c r="E26" s="30">
        <f>'เย็น '!E26+'เช้า '!E26+บ่าย!E26</f>
        <v>0</v>
      </c>
      <c r="F26" s="30">
        <f>'เย็น '!F26+'เช้า '!F26+บ่าย!F26</f>
        <v>0</v>
      </c>
      <c r="G26" s="30">
        <f>'เย็น '!G26+'เช้า '!G26+บ่าย!G26</f>
        <v>24</v>
      </c>
      <c r="H26" s="30">
        <f>'เย็น '!H26+'เช้า '!H26+บ่าย!H26</f>
        <v>0</v>
      </c>
      <c r="I26" s="30">
        <f>'เย็น '!I26+'เช้า '!I26+บ่าย!I26</f>
        <v>0</v>
      </c>
      <c r="J26" s="30">
        <f>'เย็น '!J26+'เช้า '!J26+บ่าย!J26</f>
        <v>0</v>
      </c>
      <c r="K26" s="30">
        <f>'เย็น '!K26+'เช้า '!K26+บ่าย!K26</f>
        <v>0</v>
      </c>
      <c r="L26" s="36">
        <f t="shared" si="0"/>
        <v>24</v>
      </c>
      <c r="M26" s="11">
        <v>50</v>
      </c>
      <c r="N26" s="11">
        <v>177</v>
      </c>
      <c r="O26" s="11"/>
      <c r="P26" s="11">
        <v>55</v>
      </c>
      <c r="Q26" s="44">
        <f t="shared" si="1"/>
        <v>258</v>
      </c>
    </row>
    <row r="27" spans="2:17" hidden="1">
      <c r="B27" s="11">
        <v>1004055</v>
      </c>
      <c r="C27" s="15" t="s">
        <v>109</v>
      </c>
      <c r="D27" s="30">
        <f>'เย็น '!D27+'เช้า '!D27+บ่าย!D27</f>
        <v>0</v>
      </c>
      <c r="E27" s="30">
        <f>'เย็น '!E27+'เช้า '!E27+บ่าย!E27</f>
        <v>0</v>
      </c>
      <c r="F27" s="30">
        <f>'เย็น '!F27+'เช้า '!F27+บ่าย!F27</f>
        <v>0</v>
      </c>
      <c r="G27" s="30">
        <f>'เย็น '!G27+'เช้า '!G27+บ่าย!G27</f>
        <v>0</v>
      </c>
      <c r="H27" s="30">
        <f>'เย็น '!H27+'เช้า '!H27+บ่าย!H27</f>
        <v>0</v>
      </c>
      <c r="I27" s="30">
        <f>'เย็น '!I27+'เช้า '!I27+บ่าย!I27</f>
        <v>0</v>
      </c>
      <c r="J27" s="30">
        <f>'เย็น '!J27+'เช้า '!J27+บ่าย!J27</f>
        <v>0</v>
      </c>
      <c r="K27" s="30">
        <f>'เย็น '!K27+'เช้า '!K27+บ่าย!K27</f>
        <v>0</v>
      </c>
      <c r="L27" s="36">
        <f t="shared" si="0"/>
        <v>0</v>
      </c>
      <c r="M27" s="11"/>
      <c r="N27" s="11"/>
      <c r="O27" s="11"/>
      <c r="P27" s="11"/>
      <c r="Q27" s="44">
        <f t="shared" si="1"/>
        <v>0</v>
      </c>
    </row>
    <row r="28" spans="2:17" hidden="1">
      <c r="B28" s="11">
        <v>1004055</v>
      </c>
      <c r="C28" s="15" t="s">
        <v>110</v>
      </c>
      <c r="D28" s="30">
        <f>'เย็น '!D28+'เช้า '!D28+บ่าย!D28</f>
        <v>0</v>
      </c>
      <c r="E28" s="30">
        <f>'เย็น '!E28+'เช้า '!E28+บ่าย!E28</f>
        <v>0</v>
      </c>
      <c r="F28" s="30">
        <f>'เย็น '!F28+'เช้า '!F28+บ่าย!F28</f>
        <v>0</v>
      </c>
      <c r="G28" s="30">
        <f>'เย็น '!G28+'เช้า '!G28+บ่าย!G28</f>
        <v>0</v>
      </c>
      <c r="H28" s="30">
        <f>'เย็น '!H28+'เช้า '!H28+บ่าย!H28</f>
        <v>0</v>
      </c>
      <c r="I28" s="30">
        <f>'เย็น '!I28+'เช้า '!I28+บ่าย!I28</f>
        <v>0</v>
      </c>
      <c r="J28" s="30">
        <f>'เย็น '!J28+'เช้า '!J28+บ่าย!J28</f>
        <v>0</v>
      </c>
      <c r="K28" s="30">
        <f>'เย็น '!K28+'เช้า '!K28+บ่าย!K28</f>
        <v>0</v>
      </c>
      <c r="L28" s="36">
        <f t="shared" si="0"/>
        <v>0</v>
      </c>
      <c r="M28" s="11"/>
      <c r="N28" s="11"/>
      <c r="O28" s="11"/>
      <c r="P28" s="11"/>
      <c r="Q28" s="44">
        <f t="shared" si="1"/>
        <v>0</v>
      </c>
    </row>
    <row r="29" spans="2:17" hidden="1">
      <c r="B29" s="11">
        <v>1004055</v>
      </c>
      <c r="C29" s="15" t="s">
        <v>111</v>
      </c>
      <c r="D29" s="30">
        <f>'เย็น '!D29+'เช้า '!D29+บ่าย!D29</f>
        <v>0</v>
      </c>
      <c r="E29" s="30">
        <f>'เย็น '!E29+'เช้า '!E29+บ่าย!E29</f>
        <v>0</v>
      </c>
      <c r="F29" s="30">
        <f>'เย็น '!F29+'เช้า '!F29+บ่าย!F29</f>
        <v>0</v>
      </c>
      <c r="G29" s="30">
        <f>'เย็น '!G29+'เช้า '!G29+บ่าย!G29</f>
        <v>0</v>
      </c>
      <c r="H29" s="30">
        <f>'เย็น '!H29+'เช้า '!H29+บ่าย!H29</f>
        <v>0</v>
      </c>
      <c r="I29" s="30">
        <f>'เย็น '!I29+'เช้า '!I29+บ่าย!I29</f>
        <v>0</v>
      </c>
      <c r="J29" s="30">
        <f>'เย็น '!J29+'เช้า '!J29+บ่าย!J29</f>
        <v>0</v>
      </c>
      <c r="K29" s="30">
        <f>'เย็น '!K29+'เช้า '!K29+บ่าย!K29</f>
        <v>0</v>
      </c>
      <c r="L29" s="36">
        <f t="shared" si="0"/>
        <v>0</v>
      </c>
      <c r="M29" s="11"/>
      <c r="N29" s="11"/>
      <c r="O29" s="11"/>
      <c r="P29" s="11"/>
      <c r="Q29" s="44">
        <f t="shared" si="1"/>
        <v>0</v>
      </c>
    </row>
    <row r="30" spans="2:17" hidden="1">
      <c r="B30" s="11">
        <v>1004055</v>
      </c>
      <c r="C30" s="15" t="s">
        <v>112</v>
      </c>
      <c r="D30" s="30">
        <f>'เย็น '!D30+'เช้า '!D30+บ่าย!D30</f>
        <v>0</v>
      </c>
      <c r="E30" s="30">
        <f>'เย็น '!E30+'เช้า '!E30+บ่าย!E30</f>
        <v>0</v>
      </c>
      <c r="F30" s="30">
        <f>'เย็น '!F30+'เช้า '!F30+บ่าย!F30</f>
        <v>0</v>
      </c>
      <c r="G30" s="30">
        <f>'เย็น '!G30+'เช้า '!G30+บ่าย!G30</f>
        <v>0</v>
      </c>
      <c r="H30" s="30">
        <f>'เย็น '!H30+'เช้า '!H30+บ่าย!H30</f>
        <v>0</v>
      </c>
      <c r="I30" s="30">
        <f>'เย็น '!I30+'เช้า '!I30+บ่าย!I30</f>
        <v>0</v>
      </c>
      <c r="J30" s="30">
        <f>'เย็น '!J30+'เช้า '!J30+บ่าย!J30</f>
        <v>0</v>
      </c>
      <c r="K30" s="30">
        <f>'เย็น '!K30+'เช้า '!K30+บ่าย!K30</f>
        <v>0</v>
      </c>
      <c r="L30" s="36">
        <f t="shared" si="0"/>
        <v>0</v>
      </c>
      <c r="M30" s="11"/>
      <c r="N30" s="11"/>
      <c r="O30" s="11"/>
      <c r="P30" s="11"/>
      <c r="Q30" s="44">
        <f t="shared" si="1"/>
        <v>0</v>
      </c>
    </row>
    <row r="31" spans="2:17" hidden="1">
      <c r="B31" s="11">
        <v>1004055</v>
      </c>
      <c r="C31" s="15" t="s">
        <v>113</v>
      </c>
      <c r="D31" s="30">
        <f>'เย็น '!D31+'เช้า '!D31+บ่าย!D31</f>
        <v>0</v>
      </c>
      <c r="E31" s="30">
        <f>'เย็น '!E31+'เช้า '!E31+บ่าย!E31</f>
        <v>0</v>
      </c>
      <c r="F31" s="30">
        <f>'เย็น '!F31+'เช้า '!F31+บ่าย!F31</f>
        <v>0</v>
      </c>
      <c r="G31" s="30">
        <f>'เย็น '!G31+'เช้า '!G31+บ่าย!G31</f>
        <v>0</v>
      </c>
      <c r="H31" s="30">
        <f>'เย็น '!H31+'เช้า '!H31+บ่าย!H31</f>
        <v>0</v>
      </c>
      <c r="I31" s="30">
        <f>'เย็น '!I31+'เช้า '!I31+บ่าย!I31</f>
        <v>0</v>
      </c>
      <c r="J31" s="30">
        <f>'เย็น '!J31+'เช้า '!J31+บ่าย!J31</f>
        <v>0</v>
      </c>
      <c r="K31" s="30">
        <f>'เย็น '!K31+'เช้า '!K31+บ่าย!K31</f>
        <v>0</v>
      </c>
      <c r="L31" s="36">
        <f t="shared" si="0"/>
        <v>0</v>
      </c>
      <c r="M31" s="11"/>
      <c r="N31" s="11"/>
      <c r="O31" s="11"/>
      <c r="P31" s="11"/>
      <c r="Q31" s="44">
        <f t="shared" si="1"/>
        <v>0</v>
      </c>
    </row>
    <row r="32" spans="2:17" hidden="1">
      <c r="B32" s="11">
        <v>1004055</v>
      </c>
      <c r="C32" s="15" t="s">
        <v>114</v>
      </c>
      <c r="D32" s="30">
        <f>'เย็น '!D32+'เช้า '!D32+บ่าย!D32</f>
        <v>0</v>
      </c>
      <c r="E32" s="30">
        <f>'เย็น '!E32+'เช้า '!E32+บ่าย!E32</f>
        <v>0</v>
      </c>
      <c r="F32" s="30">
        <f>'เย็น '!F32+'เช้า '!F32+บ่าย!F32</f>
        <v>0</v>
      </c>
      <c r="G32" s="30">
        <f>'เย็น '!G32+'เช้า '!G32+บ่าย!G32</f>
        <v>0</v>
      </c>
      <c r="H32" s="30">
        <f>'เย็น '!H32+'เช้า '!H32+บ่าย!H32</f>
        <v>0</v>
      </c>
      <c r="I32" s="30">
        <f>'เย็น '!I32+'เช้า '!I32+บ่าย!I32</f>
        <v>0</v>
      </c>
      <c r="J32" s="30">
        <f>'เย็น '!J32+'เช้า '!J32+บ่าย!J32</f>
        <v>0</v>
      </c>
      <c r="K32" s="30">
        <f>'เย็น '!K32+'เช้า '!K32+บ่าย!K32</f>
        <v>0</v>
      </c>
      <c r="L32" s="36">
        <f t="shared" si="0"/>
        <v>0</v>
      </c>
      <c r="M32" s="11"/>
      <c r="N32" s="11"/>
      <c r="O32" s="11"/>
      <c r="P32" s="11"/>
      <c r="Q32" s="44">
        <f t="shared" si="1"/>
        <v>0</v>
      </c>
    </row>
    <row r="33" spans="2:17" hidden="1">
      <c r="B33" s="11">
        <v>1004055</v>
      </c>
      <c r="C33" s="15" t="s">
        <v>115</v>
      </c>
      <c r="D33" s="30">
        <f>'เย็น '!D33+'เช้า '!D33+บ่าย!D33</f>
        <v>0</v>
      </c>
      <c r="E33" s="30">
        <f>'เย็น '!E33+'เช้า '!E33+บ่าย!E33</f>
        <v>0</v>
      </c>
      <c r="F33" s="30">
        <f>'เย็น '!F33+'เช้า '!F33+บ่าย!F33</f>
        <v>0</v>
      </c>
      <c r="G33" s="30">
        <f>'เย็น '!G33+'เช้า '!G33+บ่าย!G33</f>
        <v>0</v>
      </c>
      <c r="H33" s="30">
        <f>'เย็น '!H33+'เช้า '!H33+บ่าย!H33</f>
        <v>0</v>
      </c>
      <c r="I33" s="30">
        <f>'เย็น '!I33+'เช้า '!I33+บ่าย!I33</f>
        <v>0</v>
      </c>
      <c r="J33" s="30">
        <f>'เย็น '!J33+'เช้า '!J33+บ่าย!J33</f>
        <v>0</v>
      </c>
      <c r="K33" s="30">
        <f>'เย็น '!K33+'เช้า '!K33+บ่าย!K33</f>
        <v>0</v>
      </c>
      <c r="L33" s="36">
        <f t="shared" si="0"/>
        <v>0</v>
      </c>
      <c r="M33" s="11"/>
      <c r="N33" s="11"/>
      <c r="O33" s="11"/>
      <c r="P33" s="11"/>
      <c r="Q33" s="44">
        <f t="shared" si="1"/>
        <v>0</v>
      </c>
    </row>
    <row r="34" spans="2:17" hidden="1">
      <c r="B34" s="11">
        <v>1004055</v>
      </c>
      <c r="C34" s="15" t="s">
        <v>29</v>
      </c>
      <c r="D34" s="30">
        <f>'เย็น '!D34+'เช้า '!D34+บ่าย!D34</f>
        <v>0</v>
      </c>
      <c r="E34" s="30">
        <f>'เย็น '!E34+'เช้า '!E34+บ่าย!E34</f>
        <v>0</v>
      </c>
      <c r="F34" s="30">
        <f>'เย็น '!F34+'เช้า '!F34+บ่าย!F34</f>
        <v>0</v>
      </c>
      <c r="G34" s="30">
        <f>'เย็น '!G34+'เช้า '!G34+บ่าย!G34</f>
        <v>0</v>
      </c>
      <c r="H34" s="30">
        <f>'เย็น '!H34+'เช้า '!H34+บ่าย!H34</f>
        <v>0</v>
      </c>
      <c r="I34" s="30">
        <f>'เย็น '!I34+'เช้า '!I34+บ่าย!I34</f>
        <v>0</v>
      </c>
      <c r="J34" s="30">
        <f>'เย็น '!J34+'เช้า '!J34+บ่าย!J34</f>
        <v>0</v>
      </c>
      <c r="K34" s="30">
        <f>'เย็น '!K34+'เช้า '!K34+บ่าย!K34</f>
        <v>0</v>
      </c>
      <c r="L34" s="36">
        <f t="shared" si="0"/>
        <v>0</v>
      </c>
      <c r="M34" s="11"/>
      <c r="N34" s="11"/>
      <c r="O34" s="11"/>
      <c r="P34" s="11"/>
      <c r="Q34" s="44">
        <f t="shared" si="1"/>
        <v>0</v>
      </c>
    </row>
    <row r="35" spans="2:17" hidden="1">
      <c r="B35" s="11">
        <v>1004055</v>
      </c>
      <c r="C35" s="15" t="s">
        <v>116</v>
      </c>
      <c r="D35" s="30">
        <f>'เย็น '!D35+'เช้า '!D35+บ่าย!D35</f>
        <v>0</v>
      </c>
      <c r="E35" s="30">
        <f>'เย็น '!E35+'เช้า '!E35+บ่าย!E35</f>
        <v>0</v>
      </c>
      <c r="F35" s="30">
        <f>'เย็น '!F35+'เช้า '!F35+บ่าย!F35</f>
        <v>0</v>
      </c>
      <c r="G35" s="30">
        <f>'เย็น '!G35+'เช้า '!G35+บ่าย!G35</f>
        <v>0</v>
      </c>
      <c r="H35" s="30">
        <f>'เย็น '!H35+'เช้า '!H35+บ่าย!H35</f>
        <v>0</v>
      </c>
      <c r="I35" s="30">
        <f>'เย็น '!I35+'เช้า '!I35+บ่าย!I35</f>
        <v>0</v>
      </c>
      <c r="J35" s="30">
        <f>'เย็น '!J35+'เช้า '!J35+บ่าย!J35</f>
        <v>0</v>
      </c>
      <c r="K35" s="30">
        <f>'เย็น '!K35+'เช้า '!K35+บ่าย!K35</f>
        <v>0</v>
      </c>
      <c r="L35" s="36">
        <f t="shared" si="0"/>
        <v>0</v>
      </c>
      <c r="M35" s="11"/>
      <c r="N35" s="11"/>
      <c r="O35" s="11"/>
      <c r="P35" s="11"/>
      <c r="Q35" s="44">
        <f t="shared" si="1"/>
        <v>0</v>
      </c>
    </row>
    <row r="36" spans="2:17" hidden="1">
      <c r="B36" s="11">
        <v>1004055</v>
      </c>
      <c r="C36" s="15" t="s">
        <v>117</v>
      </c>
      <c r="D36" s="30">
        <f>'เย็น '!D36+'เช้า '!D36+บ่าย!D36</f>
        <v>0</v>
      </c>
      <c r="E36" s="30">
        <f>'เย็น '!E36+'เช้า '!E36+บ่าย!E36</f>
        <v>0</v>
      </c>
      <c r="F36" s="30">
        <f>'เย็น '!F36+'เช้า '!F36+บ่าย!F36</f>
        <v>0</v>
      </c>
      <c r="G36" s="30">
        <f>'เย็น '!G36+'เช้า '!G36+บ่าย!G36</f>
        <v>0</v>
      </c>
      <c r="H36" s="30">
        <f>'เย็น '!H36+'เช้า '!H36+บ่าย!H36</f>
        <v>0</v>
      </c>
      <c r="I36" s="30">
        <f>'เย็น '!I36+'เช้า '!I36+บ่าย!I36</f>
        <v>0</v>
      </c>
      <c r="J36" s="30">
        <f>'เย็น '!J36+'เช้า '!J36+บ่าย!J36</f>
        <v>0</v>
      </c>
      <c r="K36" s="30">
        <f>'เย็น '!K36+'เช้า '!K36+บ่าย!K36</f>
        <v>0</v>
      </c>
      <c r="L36" s="36">
        <f t="shared" si="0"/>
        <v>0</v>
      </c>
      <c r="M36" s="11"/>
      <c r="N36" s="11"/>
      <c r="O36" s="11"/>
      <c r="P36" s="11"/>
      <c r="Q36" s="44">
        <f t="shared" si="1"/>
        <v>0</v>
      </c>
    </row>
    <row r="37" spans="2:17" hidden="1">
      <c r="B37" s="11">
        <v>1004055</v>
      </c>
      <c r="C37" s="15" t="s">
        <v>118</v>
      </c>
      <c r="D37" s="30">
        <f>'เย็น '!D37+'เช้า '!D37+บ่าย!D37</f>
        <v>0</v>
      </c>
      <c r="E37" s="30">
        <f>'เย็น '!E37+'เช้า '!E37+บ่าย!E37</f>
        <v>0</v>
      </c>
      <c r="F37" s="30">
        <f>'เย็น '!F37+'เช้า '!F37+บ่าย!F37</f>
        <v>0</v>
      </c>
      <c r="G37" s="30">
        <f>'เย็น '!G37+'เช้า '!G37+บ่าย!G37</f>
        <v>0</v>
      </c>
      <c r="H37" s="30">
        <f>'เย็น '!H37+'เช้า '!H37+บ่าย!H37</f>
        <v>0</v>
      </c>
      <c r="I37" s="30">
        <f>'เย็น '!I37+'เช้า '!I37+บ่าย!I37</f>
        <v>0</v>
      </c>
      <c r="J37" s="30">
        <f>'เย็น '!J37+'เช้า '!J37+บ่าย!J37</f>
        <v>0</v>
      </c>
      <c r="K37" s="30">
        <f>'เย็น '!K37+'เช้า '!K37+บ่าย!K37</f>
        <v>0</v>
      </c>
      <c r="L37" s="36">
        <f t="shared" si="0"/>
        <v>0</v>
      </c>
      <c r="M37" s="11"/>
      <c r="N37" s="11"/>
      <c r="O37" s="11"/>
      <c r="P37" s="11"/>
      <c r="Q37" s="44">
        <f t="shared" si="1"/>
        <v>0</v>
      </c>
    </row>
    <row r="38" spans="2:17" hidden="1">
      <c r="B38" s="11">
        <v>1004055</v>
      </c>
      <c r="C38" s="15" t="s">
        <v>119</v>
      </c>
      <c r="D38" s="30">
        <f>'เย็น '!D38+'เช้า '!D38+บ่าย!D38</f>
        <v>0</v>
      </c>
      <c r="E38" s="30">
        <f>'เย็น '!E38+'เช้า '!E38+บ่าย!E38</f>
        <v>0</v>
      </c>
      <c r="F38" s="30">
        <f>'เย็น '!F38+'เช้า '!F38+บ่าย!F38</f>
        <v>0</v>
      </c>
      <c r="G38" s="30">
        <f>'เย็น '!G38+'เช้า '!G38+บ่าย!G38</f>
        <v>0</v>
      </c>
      <c r="H38" s="30">
        <f>'เย็น '!H38+'เช้า '!H38+บ่าย!H38</f>
        <v>0</v>
      </c>
      <c r="I38" s="30">
        <f>'เย็น '!I38+'เช้า '!I38+บ่าย!I38</f>
        <v>0</v>
      </c>
      <c r="J38" s="30">
        <f>'เย็น '!J38+'เช้า '!J38+บ่าย!J38</f>
        <v>0</v>
      </c>
      <c r="K38" s="30">
        <f>'เย็น '!K38+'เช้า '!K38+บ่าย!K38</f>
        <v>0</v>
      </c>
      <c r="L38" s="36">
        <f t="shared" si="0"/>
        <v>0</v>
      </c>
      <c r="M38" s="11"/>
      <c r="N38" s="11"/>
      <c r="O38" s="11"/>
      <c r="P38" s="11"/>
      <c r="Q38" s="44">
        <f t="shared" si="1"/>
        <v>0</v>
      </c>
    </row>
    <row r="39" spans="2:17" hidden="1">
      <c r="B39" s="11">
        <v>1004055</v>
      </c>
      <c r="C39" s="15" t="s">
        <v>120</v>
      </c>
      <c r="D39" s="30">
        <f>'เย็น '!D39+'เช้า '!D39+บ่าย!D39</f>
        <v>0</v>
      </c>
      <c r="E39" s="30">
        <f>'เย็น '!E39+'เช้า '!E39+บ่าย!E39</f>
        <v>0</v>
      </c>
      <c r="F39" s="30">
        <f>'เย็น '!F39+'เช้า '!F39+บ่าย!F39</f>
        <v>0</v>
      </c>
      <c r="G39" s="30">
        <f>'เย็น '!G39+'เช้า '!G39+บ่าย!G39</f>
        <v>0</v>
      </c>
      <c r="H39" s="30">
        <f>'เย็น '!H39+'เช้า '!H39+บ่าย!H39</f>
        <v>0</v>
      </c>
      <c r="I39" s="30">
        <f>'เย็น '!I39+'เช้า '!I39+บ่าย!I39</f>
        <v>0</v>
      </c>
      <c r="J39" s="30">
        <f>'เย็น '!J39+'เช้า '!J39+บ่าย!J39</f>
        <v>0</v>
      </c>
      <c r="K39" s="30">
        <f>'เย็น '!K39+'เช้า '!K39+บ่าย!K39</f>
        <v>0</v>
      </c>
      <c r="L39" s="36">
        <f t="shared" si="0"/>
        <v>0</v>
      </c>
      <c r="M39" s="11"/>
      <c r="N39" s="11"/>
      <c r="O39" s="11"/>
      <c r="P39" s="11"/>
      <c r="Q39" s="44">
        <f t="shared" si="1"/>
        <v>0</v>
      </c>
    </row>
    <row r="40" spans="2:17">
      <c r="B40" s="11">
        <v>1111057</v>
      </c>
      <c r="C40" s="15" t="s">
        <v>30</v>
      </c>
      <c r="D40" s="30">
        <f>'เย็น '!D40+'เช้า '!D40+บ่าย!D40</f>
        <v>0</v>
      </c>
      <c r="E40" s="30">
        <f>'เย็น '!E40+'เช้า '!E40+บ่าย!E40</f>
        <v>10</v>
      </c>
      <c r="F40" s="30">
        <f>'เย็น '!F40+'เช้า '!F40+บ่าย!F40</f>
        <v>0</v>
      </c>
      <c r="G40" s="30">
        <f>'เย็น '!G40+'เช้า '!G40+บ่าย!G40</f>
        <v>0</v>
      </c>
      <c r="H40" s="30">
        <f>'เย็น '!H40+'เช้า '!H40+บ่าย!H40</f>
        <v>0</v>
      </c>
      <c r="I40" s="30">
        <f>'เย็น '!I40+'เช้า '!I40+บ่าย!I40</f>
        <v>0</v>
      </c>
      <c r="J40" s="30">
        <f>'เย็น '!J40+'เช้า '!J40+บ่าย!J40</f>
        <v>0</v>
      </c>
      <c r="K40" s="30">
        <f>'เย็น '!K40+'เช้า '!K40+บ่าย!K40</f>
        <v>0</v>
      </c>
      <c r="L40" s="36">
        <f t="shared" si="0"/>
        <v>10</v>
      </c>
      <c r="M40" s="11"/>
      <c r="N40" s="11"/>
      <c r="O40" s="11"/>
      <c r="P40" s="11"/>
      <c r="Q40" s="44">
        <f t="shared" si="1"/>
        <v>-10</v>
      </c>
    </row>
    <row r="41" spans="2:17">
      <c r="B41" s="11">
        <v>1111058</v>
      </c>
      <c r="C41" s="15" t="s">
        <v>31</v>
      </c>
      <c r="D41" s="30">
        <f>'เย็น '!D41+'เช้า '!D41+บ่าย!D41</f>
        <v>0</v>
      </c>
      <c r="E41" s="30">
        <f>'เย็น '!E41+'เช้า '!E41+บ่าย!E41</f>
        <v>10</v>
      </c>
      <c r="F41" s="30">
        <f>'เย็น '!F41+'เช้า '!F41+บ่าย!F41</f>
        <v>0</v>
      </c>
      <c r="G41" s="30">
        <f>'เย็น '!G41+'เช้า '!G41+บ่าย!G41</f>
        <v>0</v>
      </c>
      <c r="H41" s="30">
        <f>'เย็น '!H41+'เช้า '!H41+บ่าย!H41</f>
        <v>0</v>
      </c>
      <c r="I41" s="30">
        <f>'เย็น '!I41+'เช้า '!I41+บ่าย!I41</f>
        <v>0</v>
      </c>
      <c r="J41" s="30">
        <f>'เย็น '!J41+'เช้า '!J41+บ่าย!J41</f>
        <v>0</v>
      </c>
      <c r="K41" s="30">
        <f>'เย็น '!K41+'เช้า '!K41+บ่าย!K41</f>
        <v>0</v>
      </c>
      <c r="L41" s="36">
        <f t="shared" si="0"/>
        <v>10</v>
      </c>
      <c r="M41" s="11"/>
      <c r="N41" s="11"/>
      <c r="O41" s="11"/>
      <c r="P41" s="11"/>
      <c r="Q41" s="44">
        <f t="shared" si="1"/>
        <v>-10</v>
      </c>
    </row>
    <row r="42" spans="2:17">
      <c r="B42" s="11">
        <v>1111059</v>
      </c>
      <c r="C42" s="15" t="s">
        <v>32</v>
      </c>
      <c r="D42" s="30">
        <f>'เย็น '!D42+'เช้า '!D42+บ่าย!D42</f>
        <v>0</v>
      </c>
      <c r="E42" s="30">
        <f>'เย็น '!E42+'เช้า '!E42+บ่าย!E42</f>
        <v>10</v>
      </c>
      <c r="F42" s="30">
        <f>'เย็น '!F42+'เช้า '!F42+บ่าย!F42</f>
        <v>0</v>
      </c>
      <c r="G42" s="30">
        <f>'เย็น '!G42+'เช้า '!G42+บ่าย!G42</f>
        <v>0</v>
      </c>
      <c r="H42" s="30">
        <f>'เย็น '!H42+'เช้า '!H42+บ่าย!H42</f>
        <v>0</v>
      </c>
      <c r="I42" s="30">
        <f>'เย็น '!I42+'เช้า '!I42+บ่าย!I42</f>
        <v>0</v>
      </c>
      <c r="J42" s="30">
        <f>'เย็น '!J42+'เช้า '!J42+บ่าย!J42</f>
        <v>0</v>
      </c>
      <c r="K42" s="30">
        <f>'เย็น '!K42+'เช้า '!K42+บ่าย!K42</f>
        <v>0</v>
      </c>
      <c r="L42" s="36">
        <f t="shared" si="0"/>
        <v>10</v>
      </c>
      <c r="M42" s="11"/>
      <c r="N42" s="11"/>
      <c r="O42" s="11"/>
      <c r="P42" s="11"/>
      <c r="Q42" s="44">
        <f t="shared" si="1"/>
        <v>-10</v>
      </c>
    </row>
    <row r="43" spans="2:17">
      <c r="B43" s="11">
        <v>1111060</v>
      </c>
      <c r="C43" s="15" t="s">
        <v>33</v>
      </c>
      <c r="D43" s="30">
        <f>'เย็น '!D43+'เช้า '!D43+บ่าย!D43</f>
        <v>0</v>
      </c>
      <c r="E43" s="30">
        <f>'เย็น '!E43+'เช้า '!E43+บ่าย!E43</f>
        <v>10</v>
      </c>
      <c r="F43" s="30">
        <f>'เย็น '!F43+'เช้า '!F43+บ่าย!F43</f>
        <v>0</v>
      </c>
      <c r="G43" s="30">
        <f>'เย็น '!G43+'เช้า '!G43+บ่าย!G43</f>
        <v>0</v>
      </c>
      <c r="H43" s="30">
        <f>'เย็น '!H43+'เช้า '!H43+บ่าย!H43</f>
        <v>0</v>
      </c>
      <c r="I43" s="30">
        <f>'เย็น '!I43+'เช้า '!I43+บ่าย!I43</f>
        <v>0</v>
      </c>
      <c r="J43" s="30">
        <f>'เย็น '!J43+'เช้า '!J43+บ่าย!J43</f>
        <v>0</v>
      </c>
      <c r="K43" s="30">
        <f>'เย็น '!K43+'เช้า '!K43+บ่าย!K43</f>
        <v>0</v>
      </c>
      <c r="L43" s="36">
        <f t="shared" si="0"/>
        <v>10</v>
      </c>
      <c r="M43" s="11"/>
      <c r="N43" s="11"/>
      <c r="O43" s="11"/>
      <c r="P43" s="11"/>
      <c r="Q43" s="44">
        <f t="shared" si="1"/>
        <v>-10</v>
      </c>
    </row>
    <row r="44" spans="2:17">
      <c r="B44" s="11">
        <v>1111061</v>
      </c>
      <c r="C44" s="15" t="s">
        <v>34</v>
      </c>
      <c r="D44" s="30">
        <f>'เย็น '!D44+'เช้า '!D44+บ่าย!D44</f>
        <v>0</v>
      </c>
      <c r="E44" s="30">
        <f>'เย็น '!E44+'เช้า '!E44+บ่าย!E44</f>
        <v>10</v>
      </c>
      <c r="F44" s="30">
        <f>'เย็น '!F44+'เช้า '!F44+บ่าย!F44</f>
        <v>0</v>
      </c>
      <c r="G44" s="30">
        <f>'เย็น '!G44+'เช้า '!G44+บ่าย!G44</f>
        <v>0</v>
      </c>
      <c r="H44" s="30">
        <f>'เย็น '!H44+'เช้า '!H44+บ่าย!H44</f>
        <v>0</v>
      </c>
      <c r="I44" s="30">
        <f>'เย็น '!I44+'เช้า '!I44+บ่าย!I44</f>
        <v>0</v>
      </c>
      <c r="J44" s="30">
        <f>'เย็น '!J44+'เช้า '!J44+บ่าย!J44</f>
        <v>0</v>
      </c>
      <c r="K44" s="30">
        <f>'เย็น '!K44+'เช้า '!K44+บ่าย!K44</f>
        <v>0</v>
      </c>
      <c r="L44" s="36">
        <f t="shared" si="0"/>
        <v>10</v>
      </c>
      <c r="M44" s="11"/>
      <c r="N44" s="11"/>
      <c r="O44" s="11"/>
      <c r="P44" s="11"/>
      <c r="Q44" s="44">
        <f t="shared" si="1"/>
        <v>-10</v>
      </c>
    </row>
    <row r="45" spans="2:17">
      <c r="B45" s="11">
        <v>1111062</v>
      </c>
      <c r="C45" s="15" t="s">
        <v>35</v>
      </c>
      <c r="D45" s="30">
        <f>'เย็น '!D45+'เช้า '!D45+บ่าย!D45</f>
        <v>0</v>
      </c>
      <c r="E45" s="30">
        <f>'เย็น '!E45+'เช้า '!E45+บ่าย!E45</f>
        <v>10</v>
      </c>
      <c r="F45" s="30">
        <f>'เย็น '!F45+'เช้า '!F45+บ่าย!F45</f>
        <v>0</v>
      </c>
      <c r="G45" s="30">
        <f>'เย็น '!G45+'เช้า '!G45+บ่าย!G45</f>
        <v>0</v>
      </c>
      <c r="H45" s="30">
        <f>'เย็น '!H45+'เช้า '!H45+บ่าย!H45</f>
        <v>0</v>
      </c>
      <c r="I45" s="30">
        <f>'เย็น '!I45+'เช้า '!I45+บ่าย!I45</f>
        <v>0</v>
      </c>
      <c r="J45" s="30">
        <f>'เย็น '!J45+'เช้า '!J45+บ่าย!J45</f>
        <v>0</v>
      </c>
      <c r="K45" s="30">
        <f>'เย็น '!K45+'เช้า '!K45+บ่าย!K45</f>
        <v>0</v>
      </c>
      <c r="L45" s="36">
        <f t="shared" si="0"/>
        <v>10</v>
      </c>
      <c r="M45" s="11"/>
      <c r="N45" s="11"/>
      <c r="O45" s="11"/>
      <c r="P45" s="11"/>
      <c r="Q45" s="44">
        <f t="shared" si="1"/>
        <v>-10</v>
      </c>
    </row>
    <row r="46" spans="2:17">
      <c r="B46" s="11">
        <v>1111063</v>
      </c>
      <c r="C46" s="15" t="s">
        <v>36</v>
      </c>
      <c r="D46" s="30">
        <f>'เย็น '!D46+'เช้า '!D46+บ่าย!D46</f>
        <v>0</v>
      </c>
      <c r="E46" s="30">
        <f>'เย็น '!E46+'เช้า '!E46+บ่าย!E46</f>
        <v>10</v>
      </c>
      <c r="F46" s="30">
        <f>'เย็น '!F46+'เช้า '!F46+บ่าย!F46</f>
        <v>0</v>
      </c>
      <c r="G46" s="30">
        <f>'เย็น '!G46+'เช้า '!G46+บ่าย!G46</f>
        <v>0</v>
      </c>
      <c r="H46" s="30">
        <f>'เย็น '!H46+'เช้า '!H46+บ่าย!H46</f>
        <v>0</v>
      </c>
      <c r="I46" s="30">
        <f>'เย็น '!I46+'เช้า '!I46+บ่าย!I46</f>
        <v>0</v>
      </c>
      <c r="J46" s="30">
        <f>'เย็น '!J46+'เช้า '!J46+บ่าย!J46</f>
        <v>0</v>
      </c>
      <c r="K46" s="30">
        <f>'เย็น '!K46+'เช้า '!K46+บ่าย!K46</f>
        <v>0</v>
      </c>
      <c r="L46" s="36">
        <f t="shared" si="0"/>
        <v>10</v>
      </c>
      <c r="M46" s="11"/>
      <c r="N46" s="11"/>
      <c r="O46" s="11"/>
      <c r="P46" s="11"/>
      <c r="Q46" s="44">
        <f t="shared" si="1"/>
        <v>-10</v>
      </c>
    </row>
    <row r="47" spans="2:17">
      <c r="B47" s="11">
        <v>1111064</v>
      </c>
      <c r="C47" s="15" t="s">
        <v>37</v>
      </c>
      <c r="D47" s="30">
        <f>'เย็น '!D47+'เช้า '!D47+บ่าย!D47</f>
        <v>0</v>
      </c>
      <c r="E47" s="30">
        <f>'เย็น '!E47+'เช้า '!E47+บ่าย!E47</f>
        <v>10</v>
      </c>
      <c r="F47" s="30">
        <f>'เย็น '!F47+'เช้า '!F47+บ่าย!F47</f>
        <v>0</v>
      </c>
      <c r="G47" s="30">
        <f>'เย็น '!G47+'เช้า '!G47+บ่าย!G47</f>
        <v>0</v>
      </c>
      <c r="H47" s="30">
        <f>'เย็น '!H47+'เช้า '!H47+บ่าย!H47</f>
        <v>0</v>
      </c>
      <c r="I47" s="30">
        <f>'เย็น '!I47+'เช้า '!I47+บ่าย!I47</f>
        <v>0</v>
      </c>
      <c r="J47" s="30">
        <f>'เย็น '!J47+'เช้า '!J47+บ่าย!J47</f>
        <v>0</v>
      </c>
      <c r="K47" s="30">
        <f>'เย็น '!K47+'เช้า '!K47+บ่าย!K47</f>
        <v>0</v>
      </c>
      <c r="L47" s="36">
        <f t="shared" si="0"/>
        <v>10</v>
      </c>
      <c r="M47" s="11"/>
      <c r="N47" s="11"/>
      <c r="O47" s="11"/>
      <c r="P47" s="11"/>
      <c r="Q47" s="44">
        <f t="shared" si="1"/>
        <v>-10</v>
      </c>
    </row>
    <row r="48" spans="2:17">
      <c r="B48" s="11">
        <v>1111065</v>
      </c>
      <c r="C48" s="15" t="s">
        <v>38</v>
      </c>
      <c r="D48" s="30">
        <f>'เย็น '!D48+'เช้า '!D48+บ่าย!D48</f>
        <v>0</v>
      </c>
      <c r="E48" s="30">
        <f>'เย็น '!E48+'เช้า '!E48+บ่าย!E48</f>
        <v>10</v>
      </c>
      <c r="F48" s="30">
        <f>'เย็น '!F48+'เช้า '!F48+บ่าย!F48</f>
        <v>0</v>
      </c>
      <c r="G48" s="30">
        <f>'เย็น '!G48+'เช้า '!G48+บ่าย!G48</f>
        <v>0</v>
      </c>
      <c r="H48" s="30">
        <f>'เย็น '!H48+'เช้า '!H48+บ่าย!H48</f>
        <v>0</v>
      </c>
      <c r="I48" s="30">
        <f>'เย็น '!I48+'เช้า '!I48+บ่าย!I48</f>
        <v>0</v>
      </c>
      <c r="J48" s="30">
        <f>'เย็น '!J48+'เช้า '!J48+บ่าย!J48</f>
        <v>0</v>
      </c>
      <c r="K48" s="30">
        <f>'เย็น '!K48+'เช้า '!K48+บ่าย!K48</f>
        <v>0</v>
      </c>
      <c r="L48" s="36">
        <f t="shared" si="0"/>
        <v>10</v>
      </c>
      <c r="M48" s="11"/>
      <c r="N48" s="11"/>
      <c r="O48" s="11"/>
      <c r="P48" s="11"/>
      <c r="Q48" s="44">
        <f t="shared" si="1"/>
        <v>-10</v>
      </c>
    </row>
    <row r="49" spans="2:20">
      <c r="B49" s="11">
        <v>1111066</v>
      </c>
      <c r="C49" s="15" t="s">
        <v>39</v>
      </c>
      <c r="D49" s="30">
        <f>'เย็น '!D49+'เช้า '!D49+บ่าย!D49</f>
        <v>0</v>
      </c>
      <c r="E49" s="30">
        <f>'เย็น '!E49+'เช้า '!E49+บ่าย!E49</f>
        <v>10</v>
      </c>
      <c r="F49" s="30">
        <f>'เย็น '!F49+'เช้า '!F49+บ่าย!F49</f>
        <v>0</v>
      </c>
      <c r="G49" s="30">
        <f>'เย็น '!G49+'เช้า '!G49+บ่าย!G49</f>
        <v>0</v>
      </c>
      <c r="H49" s="30">
        <f>'เย็น '!H49+'เช้า '!H49+บ่าย!H49</f>
        <v>0</v>
      </c>
      <c r="I49" s="30">
        <f>'เย็น '!I49+'เช้า '!I49+บ่าย!I49</f>
        <v>0</v>
      </c>
      <c r="J49" s="30">
        <f>'เย็น '!J49+'เช้า '!J49+บ่าย!J49</f>
        <v>0</v>
      </c>
      <c r="K49" s="30">
        <f>'เย็น '!K49+'เช้า '!K49+บ่าย!K49</f>
        <v>0</v>
      </c>
      <c r="L49" s="36">
        <f t="shared" si="0"/>
        <v>10</v>
      </c>
      <c r="M49" s="11"/>
      <c r="N49" s="11"/>
      <c r="O49" s="11"/>
      <c r="P49" s="11"/>
      <c r="Q49" s="44">
        <f t="shared" si="1"/>
        <v>-10</v>
      </c>
    </row>
    <row r="50" spans="2:20">
      <c r="B50" s="11">
        <v>1111067</v>
      </c>
      <c r="C50" s="15" t="s">
        <v>40</v>
      </c>
      <c r="D50" s="30">
        <f>'เย็น '!D50+'เช้า '!D50+บ่าย!D50</f>
        <v>0</v>
      </c>
      <c r="E50" s="30">
        <f>'เย็น '!E50+'เช้า '!E50+บ่าย!E50</f>
        <v>0</v>
      </c>
      <c r="F50" s="30">
        <f>'เย็น '!F50+'เช้า '!F50+บ่าย!F50</f>
        <v>0</v>
      </c>
      <c r="G50" s="30">
        <f>'เย็น '!G50+'เช้า '!G50+บ่าย!G50</f>
        <v>0</v>
      </c>
      <c r="H50" s="30">
        <f>'เย็น '!H50+'เช้า '!H50+บ่าย!H50</f>
        <v>0</v>
      </c>
      <c r="I50" s="30">
        <f>'เย็น '!I50+'เช้า '!I50+บ่าย!I50</f>
        <v>0</v>
      </c>
      <c r="J50" s="30">
        <f>'เย็น '!J50+'เช้า '!J50+บ่าย!J50</f>
        <v>0</v>
      </c>
      <c r="K50" s="30">
        <f>'เย็น '!K50+'เช้า '!K50+บ่าย!K50</f>
        <v>0</v>
      </c>
      <c r="L50" s="36">
        <f t="shared" si="0"/>
        <v>0</v>
      </c>
      <c r="M50" s="11"/>
      <c r="N50" s="11"/>
      <c r="O50" s="11"/>
      <c r="P50" s="11"/>
      <c r="Q50" s="44">
        <f t="shared" si="1"/>
        <v>0</v>
      </c>
    </row>
    <row r="51" spans="2:20">
      <c r="B51" s="11">
        <v>1111068</v>
      </c>
      <c r="C51" s="15" t="s">
        <v>41</v>
      </c>
      <c r="D51" s="30">
        <f>'เย็น '!D51+'เช้า '!D51+บ่าย!D51</f>
        <v>0</v>
      </c>
      <c r="E51" s="30">
        <f>'เย็น '!E51+'เช้า '!E51+บ่าย!E51</f>
        <v>0</v>
      </c>
      <c r="F51" s="30">
        <f>'เย็น '!F51+'เช้า '!F51+บ่าย!F51</f>
        <v>0</v>
      </c>
      <c r="G51" s="30">
        <f>'เย็น '!G51+'เช้า '!G51+บ่าย!G51</f>
        <v>0</v>
      </c>
      <c r="H51" s="30">
        <f>'เย็น '!H51+'เช้า '!H51+บ่าย!H51</f>
        <v>0</v>
      </c>
      <c r="I51" s="30">
        <f>'เย็น '!I51+'เช้า '!I51+บ่าย!I51</f>
        <v>0</v>
      </c>
      <c r="J51" s="30">
        <f>'เย็น '!J51+'เช้า '!J51+บ่าย!J51</f>
        <v>0</v>
      </c>
      <c r="K51" s="30">
        <f>'เย็น '!K51+'เช้า '!K51+บ่าย!K51</f>
        <v>0</v>
      </c>
      <c r="L51" s="36">
        <f t="shared" si="0"/>
        <v>0</v>
      </c>
      <c r="M51" s="11"/>
      <c r="N51" s="11"/>
      <c r="O51" s="11"/>
      <c r="P51" s="11"/>
      <c r="Q51" s="44">
        <f t="shared" si="1"/>
        <v>0</v>
      </c>
    </row>
    <row r="52" spans="2:20">
      <c r="B52" s="11">
        <v>1111069</v>
      </c>
      <c r="C52" s="15" t="s">
        <v>42</v>
      </c>
      <c r="D52" s="30">
        <f>'เย็น '!D52+'เช้า '!D52+บ่าย!D52</f>
        <v>0</v>
      </c>
      <c r="E52" s="30">
        <f>'เย็น '!E52+'เช้า '!E52+บ่าย!E52</f>
        <v>0</v>
      </c>
      <c r="F52" s="30">
        <f>'เย็น '!F52+'เช้า '!F52+บ่าย!F52</f>
        <v>0</v>
      </c>
      <c r="G52" s="30">
        <f>'เย็น '!G52+'เช้า '!G52+บ่าย!G52</f>
        <v>0</v>
      </c>
      <c r="H52" s="30">
        <f>'เย็น '!H52+'เช้า '!H52+บ่าย!H52</f>
        <v>0</v>
      </c>
      <c r="I52" s="30">
        <f>'เย็น '!I52+'เช้า '!I52+บ่าย!I52</f>
        <v>0</v>
      </c>
      <c r="J52" s="30">
        <f>'เย็น '!J52+'เช้า '!J52+บ่าย!J52</f>
        <v>0</v>
      </c>
      <c r="K52" s="30">
        <f>'เย็น '!K52+'เช้า '!K52+บ่าย!K52</f>
        <v>0</v>
      </c>
      <c r="L52" s="36">
        <f t="shared" si="0"/>
        <v>0</v>
      </c>
      <c r="M52" s="11"/>
      <c r="N52" s="11"/>
      <c r="O52" s="11"/>
      <c r="P52" s="11"/>
      <c r="Q52" s="44">
        <f t="shared" si="1"/>
        <v>0</v>
      </c>
      <c r="S52" s="46"/>
      <c r="T52" s="45"/>
    </row>
    <row r="53" spans="2:20">
      <c r="B53" s="11">
        <v>1111070</v>
      </c>
      <c r="C53" s="15" t="s">
        <v>128</v>
      </c>
      <c r="D53" s="30">
        <f>'เย็น '!D53+'เช้า '!D53+บ่าย!D53</f>
        <v>0</v>
      </c>
      <c r="E53" s="30">
        <f>'เย็น '!E53+'เช้า '!E53+บ่าย!E53</f>
        <v>0</v>
      </c>
      <c r="F53" s="30">
        <f>'เย็น '!F53+'เช้า '!F53+บ่าย!F53</f>
        <v>0</v>
      </c>
      <c r="G53" s="30">
        <f>'เย็น '!G53+'เช้า '!G53+บ่าย!G53</f>
        <v>0</v>
      </c>
      <c r="H53" s="30">
        <f>'เย็น '!H53+'เช้า '!H53+บ่าย!H53</f>
        <v>0</v>
      </c>
      <c r="I53" s="30">
        <f>'เย็น '!I53+'เช้า '!I53+บ่าย!I53</f>
        <v>0</v>
      </c>
      <c r="J53" s="30">
        <f>'เย็น '!J53+'เช้า '!J53+บ่าย!J53</f>
        <v>0</v>
      </c>
      <c r="K53" s="30">
        <f>'เย็น '!K53+'เช้า '!K53+บ่าย!K53</f>
        <v>0</v>
      </c>
      <c r="L53" s="36">
        <f t="shared" si="0"/>
        <v>0</v>
      </c>
      <c r="M53" s="11"/>
      <c r="N53" s="11"/>
      <c r="O53" s="11"/>
      <c r="P53" s="11"/>
      <c r="Q53" s="44">
        <f t="shared" si="1"/>
        <v>0</v>
      </c>
    </row>
    <row r="54" spans="2:20">
      <c r="B54" s="11">
        <v>1111071</v>
      </c>
      <c r="C54" s="15" t="s">
        <v>129</v>
      </c>
      <c r="D54" s="30">
        <f>'เย็น '!D54+'เช้า '!D54+บ่าย!D54</f>
        <v>0</v>
      </c>
      <c r="E54" s="30">
        <f>'เย็น '!E54+'เช้า '!E54+บ่าย!E54</f>
        <v>0</v>
      </c>
      <c r="F54" s="30">
        <f>'เย็น '!F54+'เช้า '!F54+บ่าย!F54</f>
        <v>0</v>
      </c>
      <c r="G54" s="30">
        <f>'เย็น '!G54+'เช้า '!G54+บ่าย!G54</f>
        <v>0</v>
      </c>
      <c r="H54" s="30">
        <f>'เย็น '!H54+'เช้า '!H54+บ่าย!H54</f>
        <v>0</v>
      </c>
      <c r="I54" s="30">
        <f>'เย็น '!I54+'เช้า '!I54+บ่าย!I54</f>
        <v>0</v>
      </c>
      <c r="J54" s="30">
        <f>'เย็น '!J54+'เช้า '!J54+บ่าย!J54</f>
        <v>0</v>
      </c>
      <c r="K54" s="30">
        <f>'เย็น '!K54+'เช้า '!K54+บ่าย!K54</f>
        <v>0</v>
      </c>
      <c r="L54" s="36">
        <f t="shared" si="0"/>
        <v>0</v>
      </c>
      <c r="M54" s="11"/>
      <c r="N54" s="11"/>
      <c r="O54" s="11"/>
      <c r="P54" s="11"/>
      <c r="Q54" s="44">
        <f t="shared" si="1"/>
        <v>0</v>
      </c>
    </row>
    <row r="55" spans="2:20" hidden="1">
      <c r="B55" s="11">
        <v>1111001</v>
      </c>
      <c r="C55" s="15" t="s">
        <v>43</v>
      </c>
      <c r="D55" s="30">
        <f>'เย็น '!D55+'เช้า '!D55+บ่าย!D55</f>
        <v>0</v>
      </c>
      <c r="E55" s="30">
        <f>'เย็น '!E55+'เช้า '!E55+บ่าย!E55</f>
        <v>0</v>
      </c>
      <c r="F55" s="30">
        <f>'เย็น '!F55+'เช้า '!F55+บ่าย!F55</f>
        <v>0</v>
      </c>
      <c r="G55" s="30">
        <f>'เย็น '!G55+'เช้า '!G55+บ่าย!G55</f>
        <v>0</v>
      </c>
      <c r="H55" s="30">
        <f>'เย็น '!H55+'เช้า '!H55+บ่าย!H55</f>
        <v>0</v>
      </c>
      <c r="I55" s="30">
        <f>'เย็น '!I55+'เช้า '!I55+บ่าย!I55</f>
        <v>0</v>
      </c>
      <c r="J55" s="30">
        <f>'เย็น '!J55+'เช้า '!J55+บ่าย!J55</f>
        <v>0</v>
      </c>
      <c r="K55" s="30">
        <f>'เย็น '!K55+'เช้า '!K55+บ่าย!K55</f>
        <v>0</v>
      </c>
      <c r="L55" s="36">
        <f t="shared" si="0"/>
        <v>0</v>
      </c>
      <c r="M55" s="11"/>
      <c r="N55" s="11"/>
      <c r="O55" s="11"/>
      <c r="P55" s="11"/>
      <c r="Q55" s="44">
        <f t="shared" si="1"/>
        <v>0</v>
      </c>
    </row>
    <row r="56" spans="2:20">
      <c r="B56" s="11">
        <v>1111074</v>
      </c>
      <c r="C56" s="15" t="s">
        <v>44</v>
      </c>
      <c r="D56" s="30">
        <f>'เย็น '!D56+'เช้า '!D56+บ่าย!D56</f>
        <v>0</v>
      </c>
      <c r="E56" s="30">
        <f>'เย็น '!E56+'เช้า '!E56+บ่าย!E56</f>
        <v>3</v>
      </c>
      <c r="F56" s="30">
        <f>'เย็น '!F56+'เช้า '!F56+บ่าย!F56</f>
        <v>1</v>
      </c>
      <c r="G56" s="30">
        <f>'เย็น '!G56+'เช้า '!G56+บ่าย!G56</f>
        <v>0</v>
      </c>
      <c r="H56" s="30">
        <f>'เย็น '!H56+'เช้า '!H56+บ่าย!H56</f>
        <v>0</v>
      </c>
      <c r="I56" s="30">
        <f>'เย็น '!I56+'เช้า '!I56+บ่าย!I56</f>
        <v>0</v>
      </c>
      <c r="J56" s="30">
        <f>'เย็น '!J56+'เช้า '!J56+บ่าย!J56</f>
        <v>0</v>
      </c>
      <c r="K56" s="30">
        <f>'เย็น '!K56+'เช้า '!K56+บ่าย!K56</f>
        <v>0</v>
      </c>
      <c r="L56" s="36">
        <f t="shared" si="0"/>
        <v>4</v>
      </c>
      <c r="M56" s="11"/>
      <c r="N56" s="11"/>
      <c r="O56" s="11"/>
      <c r="P56" s="11"/>
      <c r="Q56" s="44">
        <f t="shared" si="1"/>
        <v>-4</v>
      </c>
    </row>
    <row r="57" spans="2:20">
      <c r="B57" s="11">
        <v>1111075</v>
      </c>
      <c r="C57" s="15" t="s">
        <v>45</v>
      </c>
      <c r="D57" s="30">
        <f>'เย็น '!D57+'เช้า '!D57+บ่าย!D57</f>
        <v>0</v>
      </c>
      <c r="E57" s="30">
        <f>'เย็น '!E57+'เช้า '!E57+บ่าย!E57</f>
        <v>3</v>
      </c>
      <c r="F57" s="30">
        <f>'เย็น '!F57+'เช้า '!F57+บ่าย!F57</f>
        <v>1</v>
      </c>
      <c r="G57" s="30">
        <f>'เย็น '!G57+'เช้า '!G57+บ่าย!G57</f>
        <v>0</v>
      </c>
      <c r="H57" s="30">
        <f>'เย็น '!H57+'เช้า '!H57+บ่าย!H57</f>
        <v>0</v>
      </c>
      <c r="I57" s="30">
        <f>'เย็น '!I57+'เช้า '!I57+บ่าย!I57</f>
        <v>0</v>
      </c>
      <c r="J57" s="30">
        <f>'เย็น '!J57+'เช้า '!J57+บ่าย!J57</f>
        <v>0</v>
      </c>
      <c r="K57" s="30">
        <f>'เย็น '!K57+'เช้า '!K57+บ่าย!K57</f>
        <v>0</v>
      </c>
      <c r="L57" s="36">
        <f t="shared" si="0"/>
        <v>4</v>
      </c>
      <c r="M57" s="11"/>
      <c r="N57" s="11"/>
      <c r="O57" s="11"/>
      <c r="P57" s="11"/>
      <c r="Q57" s="44">
        <f t="shared" si="1"/>
        <v>-4</v>
      </c>
    </row>
    <row r="58" spans="2:20">
      <c r="B58" s="11">
        <v>1111076</v>
      </c>
      <c r="C58" s="15" t="s">
        <v>46</v>
      </c>
      <c r="D58" s="30">
        <f>'เย็น '!D58+'เช้า '!D58+บ่าย!D58</f>
        <v>0</v>
      </c>
      <c r="E58" s="30">
        <f>'เย็น '!E58+'เช้า '!E58+บ่าย!E58</f>
        <v>3</v>
      </c>
      <c r="F58" s="30">
        <f>'เย็น '!F58+'เช้า '!F58+บ่าย!F58</f>
        <v>1</v>
      </c>
      <c r="G58" s="30">
        <f>'เย็น '!G58+'เช้า '!G58+บ่าย!G58</f>
        <v>0</v>
      </c>
      <c r="H58" s="30">
        <f>'เย็น '!H58+'เช้า '!H58+บ่าย!H58</f>
        <v>0</v>
      </c>
      <c r="I58" s="30">
        <f>'เย็น '!I58+'เช้า '!I58+บ่าย!I58</f>
        <v>0</v>
      </c>
      <c r="J58" s="30">
        <f>'เย็น '!J58+'เช้า '!J58+บ่าย!J58</f>
        <v>0</v>
      </c>
      <c r="K58" s="30">
        <f>'เย็น '!K58+'เช้า '!K58+บ่าย!K58</f>
        <v>0</v>
      </c>
      <c r="L58" s="36">
        <f t="shared" si="0"/>
        <v>4</v>
      </c>
      <c r="M58" s="11"/>
      <c r="N58" s="11"/>
      <c r="O58" s="11"/>
      <c r="P58" s="11"/>
      <c r="Q58" s="44">
        <f t="shared" si="1"/>
        <v>-4</v>
      </c>
    </row>
    <row r="59" spans="2:20">
      <c r="B59" s="11">
        <v>1111077</v>
      </c>
      <c r="C59" s="15" t="s">
        <v>47</v>
      </c>
      <c r="D59" s="30">
        <f>'เย็น '!D59+'เช้า '!D59+บ่าย!D59</f>
        <v>0</v>
      </c>
      <c r="E59" s="30">
        <f>'เย็น '!E59+'เช้า '!E59+บ่าย!E59</f>
        <v>3</v>
      </c>
      <c r="F59" s="30">
        <f>'เย็น '!F59+'เช้า '!F59+บ่าย!F59</f>
        <v>1</v>
      </c>
      <c r="G59" s="30">
        <f>'เย็น '!G59+'เช้า '!G59+บ่าย!G59</f>
        <v>0</v>
      </c>
      <c r="H59" s="30">
        <f>'เย็น '!H59+'เช้า '!H59+บ่าย!H59</f>
        <v>0</v>
      </c>
      <c r="I59" s="30">
        <f>'เย็น '!I59+'เช้า '!I59+บ่าย!I59</f>
        <v>0</v>
      </c>
      <c r="J59" s="30">
        <f>'เย็น '!J59+'เช้า '!J59+บ่าย!J59</f>
        <v>0</v>
      </c>
      <c r="K59" s="30">
        <f>'เย็น '!K59+'เช้า '!K59+บ่าย!K59</f>
        <v>0</v>
      </c>
      <c r="L59" s="36">
        <f t="shared" si="0"/>
        <v>4</v>
      </c>
      <c r="M59" s="11"/>
      <c r="N59" s="11"/>
      <c r="O59" s="11"/>
      <c r="P59" s="11"/>
      <c r="Q59" s="44">
        <f t="shared" si="1"/>
        <v>-4</v>
      </c>
    </row>
    <row r="60" spans="2:20">
      <c r="B60" s="11">
        <v>1111078</v>
      </c>
      <c r="C60" s="15" t="s">
        <v>48</v>
      </c>
      <c r="D60" s="30">
        <f>'เย็น '!D60+'เช้า '!D60+บ่าย!D60</f>
        <v>0</v>
      </c>
      <c r="E60" s="30">
        <f>'เย็น '!E60+'เช้า '!E60+บ่าย!E60</f>
        <v>3</v>
      </c>
      <c r="F60" s="30">
        <f>'เย็น '!F60+'เช้า '!F60+บ่าย!F60</f>
        <v>1</v>
      </c>
      <c r="G60" s="30">
        <f>'เย็น '!G60+'เช้า '!G60+บ่าย!G60</f>
        <v>0</v>
      </c>
      <c r="H60" s="30">
        <f>'เย็น '!H60+'เช้า '!H60+บ่าย!H60</f>
        <v>0</v>
      </c>
      <c r="I60" s="30">
        <f>'เย็น '!I60+'เช้า '!I60+บ่าย!I60</f>
        <v>0</v>
      </c>
      <c r="J60" s="30">
        <f>'เย็น '!J60+'เช้า '!J60+บ่าย!J60</f>
        <v>0</v>
      </c>
      <c r="K60" s="30">
        <f>'เย็น '!K60+'เช้า '!K60+บ่าย!K60</f>
        <v>0</v>
      </c>
      <c r="L60" s="36">
        <f t="shared" si="0"/>
        <v>4</v>
      </c>
      <c r="M60" s="11"/>
      <c r="N60" s="11"/>
      <c r="O60" s="11"/>
      <c r="P60" s="11"/>
      <c r="Q60" s="44">
        <f t="shared" si="1"/>
        <v>-4</v>
      </c>
    </row>
    <row r="61" spans="2:20">
      <c r="B61" s="11">
        <v>1111079</v>
      </c>
      <c r="C61" s="15" t="s">
        <v>49</v>
      </c>
      <c r="D61" s="30">
        <f>'เย็น '!D61+'เช้า '!D61+บ่าย!D61</f>
        <v>0</v>
      </c>
      <c r="E61" s="30">
        <f>'เย็น '!E61+'เช้า '!E61+บ่าย!E61</f>
        <v>3</v>
      </c>
      <c r="F61" s="30">
        <f>'เย็น '!F61+'เช้า '!F61+บ่าย!F61</f>
        <v>1</v>
      </c>
      <c r="G61" s="30">
        <f>'เย็น '!G61+'เช้า '!G61+บ่าย!G61</f>
        <v>0</v>
      </c>
      <c r="H61" s="30">
        <f>'เย็น '!H61+'เช้า '!H61+บ่าย!H61</f>
        <v>0</v>
      </c>
      <c r="I61" s="30">
        <f>'เย็น '!I61+'เช้า '!I61+บ่าย!I61</f>
        <v>0</v>
      </c>
      <c r="J61" s="30">
        <f>'เย็น '!J61+'เช้า '!J61+บ่าย!J61</f>
        <v>0</v>
      </c>
      <c r="K61" s="30">
        <f>'เย็น '!K61+'เช้า '!K61+บ่าย!K61</f>
        <v>0</v>
      </c>
      <c r="L61" s="36">
        <f t="shared" si="0"/>
        <v>4</v>
      </c>
      <c r="M61" s="11"/>
      <c r="N61" s="11"/>
      <c r="O61" s="11"/>
      <c r="P61" s="11"/>
      <c r="Q61" s="44">
        <f t="shared" si="1"/>
        <v>-4</v>
      </c>
    </row>
    <row r="62" spans="2:20">
      <c r="B62" s="11">
        <v>1111080</v>
      </c>
      <c r="C62" s="15" t="s">
        <v>50</v>
      </c>
      <c r="D62" s="30">
        <f>'เย็น '!D62+'เช้า '!D62+บ่าย!D62</f>
        <v>0</v>
      </c>
      <c r="E62" s="30">
        <f>'เย็น '!E62+'เช้า '!E62+บ่าย!E62</f>
        <v>3</v>
      </c>
      <c r="F62" s="30">
        <f>'เย็น '!F62+'เช้า '!F62+บ่าย!F62</f>
        <v>1</v>
      </c>
      <c r="G62" s="30">
        <f>'เย็น '!G62+'เช้า '!G62+บ่าย!G62</f>
        <v>0</v>
      </c>
      <c r="H62" s="30">
        <f>'เย็น '!H62+'เช้า '!H62+บ่าย!H62</f>
        <v>0</v>
      </c>
      <c r="I62" s="30">
        <f>'เย็น '!I62+'เช้า '!I62+บ่าย!I62</f>
        <v>0</v>
      </c>
      <c r="J62" s="30">
        <f>'เย็น '!J62+'เช้า '!J62+บ่าย!J62</f>
        <v>0</v>
      </c>
      <c r="K62" s="30">
        <f>'เย็น '!K62+'เช้า '!K62+บ่าย!K62</f>
        <v>0</v>
      </c>
      <c r="L62" s="36">
        <f t="shared" si="0"/>
        <v>4</v>
      </c>
      <c r="M62" s="11"/>
      <c r="N62" s="11"/>
      <c r="O62" s="11"/>
      <c r="P62" s="11"/>
      <c r="Q62" s="44">
        <f t="shared" si="1"/>
        <v>-4</v>
      </c>
    </row>
    <row r="63" spans="2:20">
      <c r="B63" s="11">
        <v>1111081</v>
      </c>
      <c r="C63" s="15" t="s">
        <v>51</v>
      </c>
      <c r="D63" s="30">
        <f>'เย็น '!D63+'เช้า '!D63+บ่าย!D63</f>
        <v>0</v>
      </c>
      <c r="E63" s="30">
        <f>'เย็น '!E63+'เช้า '!E63+บ่าย!E63</f>
        <v>3</v>
      </c>
      <c r="F63" s="30">
        <f>'เย็น '!F63+'เช้า '!F63+บ่าย!F63</f>
        <v>1</v>
      </c>
      <c r="G63" s="30">
        <f>'เย็น '!G63+'เช้า '!G63+บ่าย!G63</f>
        <v>0</v>
      </c>
      <c r="H63" s="30">
        <f>'เย็น '!H63+'เช้า '!H63+บ่าย!H63</f>
        <v>0</v>
      </c>
      <c r="I63" s="30">
        <f>'เย็น '!I63+'เช้า '!I63+บ่าย!I63</f>
        <v>0</v>
      </c>
      <c r="J63" s="30">
        <f>'เย็น '!J63+'เช้า '!J63+บ่าย!J63</f>
        <v>0</v>
      </c>
      <c r="K63" s="30">
        <f>'เย็น '!K63+'เช้า '!K63+บ่าย!K63</f>
        <v>0</v>
      </c>
      <c r="L63" s="36">
        <f t="shared" si="0"/>
        <v>4</v>
      </c>
      <c r="M63" s="11"/>
      <c r="N63" s="11"/>
      <c r="O63" s="11"/>
      <c r="P63" s="11"/>
      <c r="Q63" s="44">
        <f t="shared" si="1"/>
        <v>-4</v>
      </c>
    </row>
    <row r="64" spans="2:20">
      <c r="B64" s="11">
        <v>1111082</v>
      </c>
      <c r="C64" s="15" t="s">
        <v>52</v>
      </c>
      <c r="D64" s="30">
        <f>'เย็น '!D64+'เช้า '!D64+บ่าย!D64</f>
        <v>0</v>
      </c>
      <c r="E64" s="30">
        <f>'เย็น '!E64+'เช้า '!E64+บ่าย!E64</f>
        <v>3</v>
      </c>
      <c r="F64" s="30">
        <f>'เย็น '!F64+'เช้า '!F64+บ่าย!F64</f>
        <v>1</v>
      </c>
      <c r="G64" s="30">
        <f>'เย็น '!G64+'เช้า '!G64+บ่าย!G64</f>
        <v>0</v>
      </c>
      <c r="H64" s="30">
        <f>'เย็น '!H64+'เช้า '!H64+บ่าย!H64</f>
        <v>0</v>
      </c>
      <c r="I64" s="30">
        <f>'เย็น '!I64+'เช้า '!I64+บ่าย!I64</f>
        <v>0</v>
      </c>
      <c r="J64" s="30">
        <f>'เย็น '!J64+'เช้า '!J64+บ่าย!J64</f>
        <v>0</v>
      </c>
      <c r="K64" s="30">
        <f>'เย็น '!K64+'เช้า '!K64+บ่าย!K64</f>
        <v>0</v>
      </c>
      <c r="L64" s="36">
        <f t="shared" si="0"/>
        <v>4</v>
      </c>
      <c r="M64" s="11"/>
      <c r="N64" s="11"/>
      <c r="O64" s="11"/>
      <c r="P64" s="11"/>
      <c r="Q64" s="44">
        <f t="shared" si="1"/>
        <v>-4</v>
      </c>
    </row>
    <row r="65" spans="2:20">
      <c r="B65" s="11">
        <v>1111083</v>
      </c>
      <c r="C65" s="15" t="s">
        <v>53</v>
      </c>
      <c r="D65" s="30">
        <f>'เย็น '!D65+'เช้า '!D65+บ่าย!D65</f>
        <v>0</v>
      </c>
      <c r="E65" s="30">
        <f>'เย็น '!E65+'เช้า '!E65+บ่าย!E65</f>
        <v>3</v>
      </c>
      <c r="F65" s="30">
        <f>'เย็น '!F65+'เช้า '!F65+บ่าย!F65</f>
        <v>1</v>
      </c>
      <c r="G65" s="30">
        <f>'เย็น '!G65+'เช้า '!G65+บ่าย!G65</f>
        <v>0</v>
      </c>
      <c r="H65" s="30">
        <f>'เย็น '!H65+'เช้า '!H65+บ่าย!H65</f>
        <v>0</v>
      </c>
      <c r="I65" s="30">
        <f>'เย็น '!I65+'เช้า '!I65+บ่าย!I65</f>
        <v>0</v>
      </c>
      <c r="J65" s="30">
        <f>'เย็น '!J65+'เช้า '!J65+บ่าย!J65</f>
        <v>0</v>
      </c>
      <c r="K65" s="30">
        <f>'เย็น '!K65+'เช้า '!K65+บ่าย!K65</f>
        <v>0</v>
      </c>
      <c r="L65" s="36">
        <f t="shared" si="0"/>
        <v>4</v>
      </c>
      <c r="M65" s="11"/>
      <c r="N65" s="11"/>
      <c r="O65" s="11"/>
      <c r="P65" s="11"/>
      <c r="Q65" s="44">
        <f t="shared" si="1"/>
        <v>-4</v>
      </c>
      <c r="S65" s="47"/>
      <c r="T65" s="45"/>
    </row>
    <row r="66" spans="2:20" hidden="1">
      <c r="B66" s="11">
        <v>1111010</v>
      </c>
      <c r="C66" s="15" t="s">
        <v>54</v>
      </c>
      <c r="D66" s="30">
        <f>บ่าย!D66+'เช้า '!D66+'เย็น '!D66</f>
        <v>0</v>
      </c>
      <c r="E66" s="30">
        <f>บ่าย!E66+'เช้า '!E66+'เย็น '!E66</f>
        <v>0</v>
      </c>
      <c r="F66" s="30">
        <f>บ่าย!F66+'เช้า '!F66+'เย็น '!F66</f>
        <v>0</v>
      </c>
      <c r="G66" s="30">
        <f>บ่าย!G66+'เช้า '!G66+'เย็น '!G66</f>
        <v>0</v>
      </c>
      <c r="H66" s="30">
        <f>บ่าย!H66+'เช้า '!H66+'เย็น '!H66</f>
        <v>0</v>
      </c>
      <c r="I66" s="30">
        <f>บ่าย!I66+'เช้า '!I66+'เย็น '!I66</f>
        <v>0</v>
      </c>
      <c r="J66" s="30">
        <f>บ่าย!J66+'เช้า '!J66+'เย็น '!J66</f>
        <v>0</v>
      </c>
      <c r="K66" s="43"/>
      <c r="L66" s="36">
        <f t="shared" si="0"/>
        <v>0</v>
      </c>
      <c r="M66" s="11"/>
      <c r="N66" s="11"/>
      <c r="O66" s="11"/>
      <c r="P66" s="11"/>
      <c r="Q66" s="44">
        <f t="shared" si="1"/>
        <v>0</v>
      </c>
    </row>
    <row r="67" spans="2:20" hidden="1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36">
        <f t="shared" ref="L67" si="2">SUM(D67:J67)</f>
        <v>0</v>
      </c>
      <c r="M67" s="11"/>
      <c r="N67" s="11"/>
      <c r="O67" s="11"/>
      <c r="P67" s="11"/>
      <c r="Q67" s="44">
        <f t="shared" ref="Q67" si="3">(M67+N67+O67+P67)-L67</f>
        <v>0</v>
      </c>
    </row>
    <row r="68" spans="2:20" ht="21">
      <c r="B68" s="65" t="s">
        <v>55</v>
      </c>
      <c r="C68" s="66"/>
      <c r="D68" s="66"/>
      <c r="E68" s="66"/>
      <c r="F68" s="66"/>
      <c r="G68" s="66"/>
      <c r="H68" s="66"/>
      <c r="I68" s="66"/>
      <c r="J68" s="66"/>
      <c r="K68" s="66"/>
      <c r="L68" s="66"/>
      <c r="M68" s="66"/>
      <c r="N68" s="66"/>
      <c r="O68" s="66"/>
      <c r="P68" s="66"/>
      <c r="Q68" s="72"/>
    </row>
    <row r="69" spans="2:20">
      <c r="B69" s="11">
        <v>1111009</v>
      </c>
      <c r="C69" s="19" t="s">
        <v>56</v>
      </c>
      <c r="D69" s="30">
        <f>'เย็น '!D69+'เช้า '!D69+บ่าย!D69</f>
        <v>1</v>
      </c>
      <c r="E69" s="30">
        <f>'เย็น '!E69+'เช้า '!E69+บ่าย!E69</f>
        <v>1</v>
      </c>
      <c r="F69" s="30">
        <f>'เย็น '!F69+'เช้า '!F69+บ่าย!F69</f>
        <v>2</v>
      </c>
      <c r="G69" s="30">
        <f>'เย็น '!G69+'เช้า '!G69+บ่าย!G69</f>
        <v>3</v>
      </c>
      <c r="H69" s="30">
        <f>'เย็น '!H69+'เช้า '!H69+บ่าย!H69</f>
        <v>0</v>
      </c>
      <c r="I69" s="30">
        <f>'เย็น '!I69+'เช้า '!I69+บ่าย!I69</f>
        <v>0</v>
      </c>
      <c r="J69" s="30">
        <f>'เย็น '!J69+'เช้า '!J69+บ่าย!J69</f>
        <v>0</v>
      </c>
      <c r="K69" s="30">
        <f>'เย็น '!K69+'เช้า '!K69+บ่าย!K69</f>
        <v>0</v>
      </c>
      <c r="L69" s="36">
        <f t="shared" ref="L69:L76" si="4">SUM(D69:K69)</f>
        <v>7</v>
      </c>
      <c r="M69" s="11"/>
      <c r="N69" s="11">
        <v>43</v>
      </c>
      <c r="O69" s="11"/>
      <c r="P69" s="11"/>
      <c r="Q69" s="44">
        <f t="shared" ref="Q69:Q76" si="5">(M69+N69+O69+P69)-L69</f>
        <v>36</v>
      </c>
    </row>
    <row r="70" spans="2:20">
      <c r="B70" s="11">
        <v>1111023</v>
      </c>
      <c r="C70" s="19" t="s">
        <v>57</v>
      </c>
      <c r="D70" s="30">
        <f>'เย็น '!D70+'เช้า '!D70+บ่าย!D70</f>
        <v>0</v>
      </c>
      <c r="E70" s="30">
        <f>'เย็น '!E70+'เช้า '!E70+บ่าย!E70</f>
        <v>0</v>
      </c>
      <c r="F70" s="30">
        <f>'เย็น '!F70+'เช้า '!F70+บ่าย!F70</f>
        <v>0</v>
      </c>
      <c r="G70" s="30">
        <f>'เย็น '!G70+'เช้า '!G70+บ่าย!G70</f>
        <v>0</v>
      </c>
      <c r="H70" s="30">
        <f>'เย็น '!H70+'เช้า '!H70+บ่าย!H70</f>
        <v>0</v>
      </c>
      <c r="I70" s="30">
        <f>'เย็น '!I70+'เช้า '!I70+บ่าย!I70</f>
        <v>0</v>
      </c>
      <c r="J70" s="30">
        <f>'เย็น '!J70+'เช้า '!J70+บ่าย!J70</f>
        <v>0</v>
      </c>
      <c r="K70" s="30">
        <f>'เย็น '!K70+'เช้า '!K70+บ่าย!K70</f>
        <v>0</v>
      </c>
      <c r="L70" s="36">
        <f t="shared" si="4"/>
        <v>0</v>
      </c>
      <c r="M70" s="11"/>
      <c r="N70" s="11"/>
      <c r="O70" s="11"/>
      <c r="P70" s="11"/>
      <c r="Q70" s="44">
        <f t="shared" si="5"/>
        <v>0</v>
      </c>
    </row>
    <row r="71" spans="2:20">
      <c r="B71" s="11">
        <v>1111016</v>
      </c>
      <c r="C71" s="19" t="s">
        <v>58</v>
      </c>
      <c r="D71" s="30">
        <f>'เย็น '!D71+'เช้า '!D71+บ่าย!D71</f>
        <v>0</v>
      </c>
      <c r="E71" s="30">
        <f>'เย็น '!E71+'เช้า '!E71+บ่าย!E71</f>
        <v>0</v>
      </c>
      <c r="F71" s="30">
        <f>'เย็น '!F71+'เช้า '!F71+บ่าย!F71</f>
        <v>0</v>
      </c>
      <c r="G71" s="30">
        <f>'เย็น '!G71+'เช้า '!G71+บ่าย!G71</f>
        <v>0</v>
      </c>
      <c r="H71" s="30">
        <f>'เย็น '!H71+'เช้า '!H71+บ่าย!H71</f>
        <v>0</v>
      </c>
      <c r="I71" s="30">
        <f>'เย็น '!I71+'เช้า '!I71+บ่าย!I71</f>
        <v>0</v>
      </c>
      <c r="J71" s="30">
        <f>'เย็น '!J71+'เช้า '!J71+บ่าย!J71</f>
        <v>0</v>
      </c>
      <c r="K71" s="30">
        <f>'เย็น '!K71+'เช้า '!K71+บ่าย!K71</f>
        <v>0</v>
      </c>
      <c r="L71" s="36">
        <f t="shared" si="4"/>
        <v>0</v>
      </c>
      <c r="M71" s="11"/>
      <c r="N71" s="11"/>
      <c r="O71" s="11"/>
      <c r="P71" s="11"/>
      <c r="Q71" s="44">
        <f t="shared" si="5"/>
        <v>0</v>
      </c>
    </row>
    <row r="72" spans="2:20">
      <c r="B72" s="11">
        <v>1111014</v>
      </c>
      <c r="C72" s="19" t="s">
        <v>59</v>
      </c>
      <c r="D72" s="30">
        <f>'เย็น '!D72+'เช้า '!D72+บ่าย!D72</f>
        <v>0</v>
      </c>
      <c r="E72" s="30">
        <f>'เย็น '!E72+'เช้า '!E72+บ่าย!E72</f>
        <v>0</v>
      </c>
      <c r="F72" s="30">
        <f>'เย็น '!F72+'เช้า '!F72+บ่าย!F72</f>
        <v>0</v>
      </c>
      <c r="G72" s="30">
        <f>'เย็น '!G72+'เช้า '!G72+บ่าย!G72</f>
        <v>0</v>
      </c>
      <c r="H72" s="30">
        <f>'เย็น '!H72+'เช้า '!H72+บ่าย!H72</f>
        <v>0</v>
      </c>
      <c r="I72" s="30">
        <f>'เย็น '!I72+'เช้า '!I72+บ่าย!I72</f>
        <v>0</v>
      </c>
      <c r="J72" s="30">
        <f>'เย็น '!J72+'เช้า '!J72+บ่าย!J72</f>
        <v>0</v>
      </c>
      <c r="K72" s="30">
        <f>'เย็น '!K72+'เช้า '!K72+บ่าย!K72</f>
        <v>0</v>
      </c>
      <c r="L72" s="36">
        <f t="shared" si="4"/>
        <v>0</v>
      </c>
      <c r="M72" s="11"/>
      <c r="N72" s="11"/>
      <c r="O72" s="11"/>
      <c r="P72" s="11"/>
      <c r="Q72" s="44">
        <f t="shared" si="5"/>
        <v>0</v>
      </c>
    </row>
    <row r="73" spans="2:20">
      <c r="B73" s="11">
        <v>1111025</v>
      </c>
      <c r="C73" s="19" t="s">
        <v>60</v>
      </c>
      <c r="D73" s="30">
        <f>'เย็น '!D73+'เช้า '!D73+บ่าย!D73</f>
        <v>0</v>
      </c>
      <c r="E73" s="30">
        <f>'เย็น '!E73+'เช้า '!E73+บ่าย!E73</f>
        <v>0</v>
      </c>
      <c r="F73" s="30">
        <f>'เย็น '!F73+'เช้า '!F73+บ่าย!F73</f>
        <v>0</v>
      </c>
      <c r="G73" s="30">
        <f>'เย็น '!G73+'เช้า '!G73+บ่าย!G73</f>
        <v>0</v>
      </c>
      <c r="H73" s="30">
        <f>'เย็น '!H73+'เช้า '!H73+บ่าย!H73</f>
        <v>0</v>
      </c>
      <c r="I73" s="30">
        <f>'เย็น '!I73+'เช้า '!I73+บ่าย!I73</f>
        <v>0</v>
      </c>
      <c r="J73" s="30">
        <f>'เย็น '!J73+'เช้า '!J73+บ่าย!J73</f>
        <v>0</v>
      </c>
      <c r="K73" s="30">
        <f>'เย็น '!K73+'เช้า '!K73+บ่าย!K73</f>
        <v>0</v>
      </c>
      <c r="L73" s="36">
        <f t="shared" si="4"/>
        <v>0</v>
      </c>
      <c r="M73" s="11"/>
      <c r="N73" s="11"/>
      <c r="O73" s="11"/>
      <c r="P73" s="11"/>
      <c r="Q73" s="44">
        <f t="shared" si="5"/>
        <v>0</v>
      </c>
    </row>
    <row r="74" spans="2:20">
      <c r="B74" s="11">
        <v>1111018</v>
      </c>
      <c r="C74" s="19" t="s">
        <v>61</v>
      </c>
      <c r="D74" s="30">
        <f>'เย็น '!D74+'เช้า '!D74+บ่าย!D74</f>
        <v>0</v>
      </c>
      <c r="E74" s="30">
        <f>'เย็น '!E74+'เช้า '!E74+บ่าย!E74</f>
        <v>0</v>
      </c>
      <c r="F74" s="30">
        <f>'เย็น '!F74+'เช้า '!F74+บ่าย!F74</f>
        <v>0</v>
      </c>
      <c r="G74" s="30">
        <f>'เย็น '!G74+'เช้า '!G74+บ่าย!G74</f>
        <v>0</v>
      </c>
      <c r="H74" s="30">
        <f>'เย็น '!H74+'เช้า '!H74+บ่าย!H74</f>
        <v>0</v>
      </c>
      <c r="I74" s="30">
        <f>'เย็น '!I74+'เช้า '!I74+บ่าย!I74</f>
        <v>0</v>
      </c>
      <c r="J74" s="30">
        <f>'เย็น '!J74+'เช้า '!J74+บ่าย!J74</f>
        <v>0</v>
      </c>
      <c r="K74" s="30">
        <f>'เย็น '!K74+'เช้า '!K74+บ่าย!K74</f>
        <v>0</v>
      </c>
      <c r="L74" s="36">
        <f t="shared" si="4"/>
        <v>0</v>
      </c>
      <c r="M74" s="11"/>
      <c r="N74" s="11"/>
      <c r="O74" s="11"/>
      <c r="P74" s="11"/>
      <c r="Q74" s="44">
        <f t="shared" si="5"/>
        <v>0</v>
      </c>
    </row>
    <row r="75" spans="2:20">
      <c r="B75" s="11">
        <v>1111012</v>
      </c>
      <c r="C75" s="19" t="s">
        <v>62</v>
      </c>
      <c r="D75" s="30">
        <f>'เย็น '!D75+'เช้า '!D75+บ่าย!D75</f>
        <v>0</v>
      </c>
      <c r="E75" s="30">
        <f>'เย็น '!E75+'เช้า '!E75+บ่าย!E75</f>
        <v>0</v>
      </c>
      <c r="F75" s="30">
        <f>'เย็น '!F75+'เช้า '!F75+บ่าย!F75</f>
        <v>0</v>
      </c>
      <c r="G75" s="30">
        <f>'เย็น '!G75+'เช้า '!G75+บ่าย!G75</f>
        <v>0</v>
      </c>
      <c r="H75" s="30">
        <f>'เย็น '!H75+'เช้า '!H75+บ่าย!H75</f>
        <v>0</v>
      </c>
      <c r="I75" s="30">
        <f>'เย็น '!I75+'เช้า '!I75+บ่าย!I75</f>
        <v>0</v>
      </c>
      <c r="J75" s="30">
        <f>'เย็น '!J75+'เช้า '!J75+บ่าย!J75</f>
        <v>0</v>
      </c>
      <c r="K75" s="30">
        <f>'เย็น '!K75+'เช้า '!K75+บ่าย!K75</f>
        <v>0</v>
      </c>
      <c r="L75" s="36">
        <f t="shared" si="4"/>
        <v>0</v>
      </c>
      <c r="M75" s="11"/>
      <c r="N75" s="11"/>
      <c r="O75" s="11"/>
      <c r="P75" s="11"/>
      <c r="Q75" s="44">
        <f t="shared" si="5"/>
        <v>0</v>
      </c>
    </row>
    <row r="76" spans="2:20">
      <c r="B76" s="11">
        <v>1111020</v>
      </c>
      <c r="C76" s="19" t="s">
        <v>63</v>
      </c>
      <c r="D76" s="30">
        <f>'เย็น '!D76+'เช้า '!D76+บ่าย!D76</f>
        <v>0</v>
      </c>
      <c r="E76" s="30">
        <f>'เย็น '!E76+'เช้า '!E76+บ่าย!E76</f>
        <v>0</v>
      </c>
      <c r="F76" s="30">
        <f>'เย็น '!F76+'เช้า '!F76+บ่าย!F76</f>
        <v>0</v>
      </c>
      <c r="G76" s="30">
        <f>'เย็น '!G76+'เช้า '!G76+บ่าย!G76</f>
        <v>0</v>
      </c>
      <c r="H76" s="30">
        <f>'เย็น '!H76+'เช้า '!H76+บ่าย!H76</f>
        <v>0</v>
      </c>
      <c r="I76" s="30">
        <f>'เย็น '!I76+'เช้า '!I76+บ่าย!I76</f>
        <v>0</v>
      </c>
      <c r="J76" s="30">
        <f>'เย็น '!J76+'เช้า '!J76+บ่าย!J76</f>
        <v>0</v>
      </c>
      <c r="K76" s="30">
        <f>'เย็น '!K76+'เช้า '!K76+บ่าย!K76</f>
        <v>0</v>
      </c>
      <c r="L76" s="36">
        <f t="shared" si="4"/>
        <v>0</v>
      </c>
      <c r="M76" s="11"/>
      <c r="N76" s="11"/>
      <c r="O76" s="11"/>
      <c r="P76" s="11"/>
      <c r="Q76" s="44">
        <f t="shared" si="5"/>
        <v>0</v>
      </c>
    </row>
    <row r="77" spans="2:20" hidden="1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36"/>
      <c r="M77" s="11"/>
      <c r="N77" s="11"/>
      <c r="O77" s="11"/>
      <c r="P77" s="11"/>
      <c r="Q77" s="44">
        <f t="shared" ref="Q77:Q88" si="6">(M77+N77+O77+P77)-L77</f>
        <v>0</v>
      </c>
    </row>
    <row r="78" spans="2:20" ht="21">
      <c r="B78" s="65" t="s">
        <v>64</v>
      </c>
      <c r="C78" s="66"/>
      <c r="D78" s="66"/>
      <c r="E78" s="66"/>
      <c r="F78" s="66"/>
      <c r="G78" s="66"/>
      <c r="H78" s="66"/>
      <c r="I78" s="66"/>
      <c r="J78" s="66"/>
      <c r="K78" s="66"/>
      <c r="L78" s="66"/>
      <c r="M78" s="66"/>
      <c r="N78" s="66"/>
      <c r="O78" s="66"/>
      <c r="P78" s="66"/>
      <c r="Q78" s="72"/>
    </row>
    <row r="79" spans="2:20">
      <c r="B79" s="11">
        <v>1111022</v>
      </c>
      <c r="C79" s="19" t="s">
        <v>65</v>
      </c>
      <c r="D79" s="30">
        <f>'เย็น '!D79+'เช้า '!D79+บ่าย!D79</f>
        <v>0</v>
      </c>
      <c r="E79" s="30">
        <f>'เย็น '!E79+'เช้า '!E79+บ่าย!E79</f>
        <v>0</v>
      </c>
      <c r="F79" s="30">
        <f>'เย็น '!F79+'เช้า '!F79+บ่าย!F79</f>
        <v>0</v>
      </c>
      <c r="G79" s="30">
        <f>'เย็น '!G79+'เช้า '!G79+บ่าย!G79</f>
        <v>0</v>
      </c>
      <c r="H79" s="30">
        <f>'เย็น '!H79+'เช้า '!H79+บ่าย!H79</f>
        <v>0</v>
      </c>
      <c r="I79" s="30">
        <f>'เย็น '!I79+'เช้า '!I79+บ่าย!I79</f>
        <v>0</v>
      </c>
      <c r="J79" s="30">
        <f>'เย็น '!J79+'เช้า '!J79+บ่าย!J79</f>
        <v>0</v>
      </c>
      <c r="K79" s="30">
        <f>'เย็น '!K79+'เช้า '!K79+บ่าย!K79</f>
        <v>0</v>
      </c>
      <c r="L79" s="36">
        <f t="shared" ref="L79:L87" si="7">SUM(D79:K79)</f>
        <v>0</v>
      </c>
      <c r="M79" s="11"/>
      <c r="N79" s="11"/>
      <c r="O79" s="11"/>
      <c r="P79" s="11"/>
      <c r="Q79" s="44">
        <f t="shared" ref="Q79:Q87" si="8">(M79+N79+O79+P79)-L79</f>
        <v>0</v>
      </c>
    </row>
    <row r="80" spans="2:20">
      <c r="B80" s="11">
        <v>1111015</v>
      </c>
      <c r="C80" s="19" t="s">
        <v>66</v>
      </c>
      <c r="D80" s="30">
        <f>'เย็น '!D80+'เช้า '!D80+บ่าย!D80</f>
        <v>0</v>
      </c>
      <c r="E80" s="30">
        <f>'เย็น '!E80+'เช้า '!E80+บ่าย!E80</f>
        <v>0</v>
      </c>
      <c r="F80" s="30">
        <f>'เย็น '!F80+'เช้า '!F80+บ่าย!F80</f>
        <v>0</v>
      </c>
      <c r="G80" s="30">
        <f>'เย็น '!G80+'เช้า '!G80+บ่าย!G80</f>
        <v>0</v>
      </c>
      <c r="H80" s="30">
        <f>'เย็น '!H80+'เช้า '!H80+บ่าย!H80</f>
        <v>0</v>
      </c>
      <c r="I80" s="30">
        <f>'เย็น '!I80+'เช้า '!I80+บ่าย!I80</f>
        <v>0</v>
      </c>
      <c r="J80" s="30">
        <f>'เย็น '!J80+'เช้า '!J80+บ่าย!J80</f>
        <v>0</v>
      </c>
      <c r="K80" s="30">
        <f>'เย็น '!K80+'เช้า '!K80+บ่าย!K80</f>
        <v>0</v>
      </c>
      <c r="L80" s="36">
        <f t="shared" si="7"/>
        <v>0</v>
      </c>
      <c r="M80" s="11"/>
      <c r="N80" s="11"/>
      <c r="O80" s="11"/>
      <c r="P80" s="11"/>
      <c r="Q80" s="44">
        <f t="shared" si="8"/>
        <v>0</v>
      </c>
    </row>
    <row r="81" spans="2:17">
      <c r="B81" s="11">
        <v>1111013</v>
      </c>
      <c r="C81" s="19" t="s">
        <v>67</v>
      </c>
      <c r="D81" s="30">
        <f>'เย็น '!D81+'เช้า '!D81+บ่าย!D81</f>
        <v>0</v>
      </c>
      <c r="E81" s="30">
        <f>'เย็น '!E81+'เช้า '!E81+บ่าย!E81</f>
        <v>0</v>
      </c>
      <c r="F81" s="30">
        <f>'เย็น '!F81+'เช้า '!F81+บ่าย!F81</f>
        <v>0</v>
      </c>
      <c r="G81" s="30">
        <f>'เย็น '!G81+'เช้า '!G81+บ่าย!G81</f>
        <v>0</v>
      </c>
      <c r="H81" s="30">
        <f>'เย็น '!H81+'เช้า '!H81+บ่าย!H81</f>
        <v>0</v>
      </c>
      <c r="I81" s="30">
        <f>'เย็น '!I81+'เช้า '!I81+บ่าย!I81</f>
        <v>0</v>
      </c>
      <c r="J81" s="30">
        <f>'เย็น '!J81+'เช้า '!J81+บ่าย!J81</f>
        <v>0</v>
      </c>
      <c r="K81" s="30">
        <f>'เย็น '!K81+'เช้า '!K81+บ่าย!K81</f>
        <v>0</v>
      </c>
      <c r="L81" s="36">
        <f t="shared" si="7"/>
        <v>0</v>
      </c>
      <c r="M81" s="11"/>
      <c r="N81" s="11"/>
      <c r="O81" s="11"/>
      <c r="P81" s="11"/>
      <c r="Q81" s="44">
        <f t="shared" si="8"/>
        <v>0</v>
      </c>
    </row>
    <row r="82" spans="2:17">
      <c r="B82" s="11">
        <v>1111024</v>
      </c>
      <c r="C82" s="19" t="s">
        <v>68</v>
      </c>
      <c r="D82" s="30">
        <f>'เย็น '!D82+'เช้า '!D82+บ่าย!D82</f>
        <v>0</v>
      </c>
      <c r="E82" s="30">
        <f>'เย็น '!E82+'เช้า '!E82+บ่าย!E82</f>
        <v>0</v>
      </c>
      <c r="F82" s="30">
        <f>'เย็น '!F82+'เช้า '!F82+บ่าย!F82</f>
        <v>0</v>
      </c>
      <c r="G82" s="30">
        <f>'เย็น '!G82+'เช้า '!G82+บ่าย!G82</f>
        <v>0</v>
      </c>
      <c r="H82" s="30">
        <f>'เย็น '!H82+'เช้า '!H82+บ่าย!H82</f>
        <v>0</v>
      </c>
      <c r="I82" s="30">
        <f>'เย็น '!I82+'เช้า '!I82+บ่าย!I82</f>
        <v>0</v>
      </c>
      <c r="J82" s="30">
        <f>'เย็น '!J82+'เช้า '!J82+บ่าย!J82</f>
        <v>0</v>
      </c>
      <c r="K82" s="30">
        <f>'เย็น '!K82+'เช้า '!K82+บ่าย!K82</f>
        <v>0</v>
      </c>
      <c r="L82" s="36">
        <f t="shared" si="7"/>
        <v>0</v>
      </c>
      <c r="M82" s="11"/>
      <c r="N82" s="11"/>
      <c r="O82" s="11"/>
      <c r="P82" s="11"/>
      <c r="Q82" s="44">
        <f t="shared" si="8"/>
        <v>0</v>
      </c>
    </row>
    <row r="83" spans="2:17">
      <c r="B83" s="11">
        <v>1111017</v>
      </c>
      <c r="C83" s="19" t="s">
        <v>69</v>
      </c>
      <c r="D83" s="30">
        <f>'เย็น '!D83+'เช้า '!D83+บ่าย!D83</f>
        <v>0</v>
      </c>
      <c r="E83" s="30">
        <f>'เย็น '!E83+'เช้า '!E83+บ่าย!E83</f>
        <v>0</v>
      </c>
      <c r="F83" s="30">
        <f>'เย็น '!F83+'เช้า '!F83+บ่าย!F83</f>
        <v>0</v>
      </c>
      <c r="G83" s="30">
        <f>'เย็น '!G83+'เช้า '!G83+บ่าย!G83</f>
        <v>0</v>
      </c>
      <c r="H83" s="30">
        <f>'เย็น '!H83+'เช้า '!H83+บ่าย!H83</f>
        <v>0</v>
      </c>
      <c r="I83" s="30">
        <f>'เย็น '!I83+'เช้า '!I83+บ่าย!I83</f>
        <v>0</v>
      </c>
      <c r="J83" s="30">
        <f>'เย็น '!J83+'เช้า '!J83+บ่าย!J83</f>
        <v>0</v>
      </c>
      <c r="K83" s="30">
        <f>'เย็น '!K83+'เช้า '!K83+บ่าย!K83</f>
        <v>0</v>
      </c>
      <c r="L83" s="36">
        <f t="shared" si="7"/>
        <v>0</v>
      </c>
      <c r="M83" s="11"/>
      <c r="N83" s="11"/>
      <c r="O83" s="11"/>
      <c r="P83" s="11"/>
      <c r="Q83" s="44">
        <f t="shared" si="8"/>
        <v>0</v>
      </c>
    </row>
    <row r="84" spans="2:17">
      <c r="B84" s="11">
        <v>1111011</v>
      </c>
      <c r="C84" s="19" t="s">
        <v>70</v>
      </c>
      <c r="D84" s="30">
        <f>'เย็น '!D84+'เช้า '!D84+บ่าย!D84</f>
        <v>0</v>
      </c>
      <c r="E84" s="30">
        <f>'เย็น '!E84+'เช้า '!E84+บ่าย!E84</f>
        <v>0</v>
      </c>
      <c r="F84" s="30">
        <f>'เย็น '!F84+'เช้า '!F84+บ่าย!F84</f>
        <v>0</v>
      </c>
      <c r="G84" s="30">
        <f>'เย็น '!G84+'เช้า '!G84+บ่าย!G84</f>
        <v>0</v>
      </c>
      <c r="H84" s="30">
        <f>'เย็น '!H84+'เช้า '!H84+บ่าย!H84</f>
        <v>0</v>
      </c>
      <c r="I84" s="30">
        <f>'เย็น '!I84+'เช้า '!I84+บ่าย!I84</f>
        <v>0</v>
      </c>
      <c r="J84" s="30">
        <f>'เย็น '!J84+'เช้า '!J84+บ่าย!J84</f>
        <v>0</v>
      </c>
      <c r="K84" s="30">
        <f>'เย็น '!K84+'เช้า '!K84+บ่าย!K84</f>
        <v>0</v>
      </c>
      <c r="L84" s="36">
        <f t="shared" si="7"/>
        <v>0</v>
      </c>
      <c r="M84" s="11"/>
      <c r="N84" s="11"/>
      <c r="O84" s="11"/>
      <c r="P84" s="11"/>
      <c r="Q84" s="44">
        <f t="shared" si="8"/>
        <v>0</v>
      </c>
    </row>
    <row r="85" spans="2:17">
      <c r="B85" s="11">
        <v>1111019</v>
      </c>
      <c r="C85" s="19" t="s">
        <v>71</v>
      </c>
      <c r="D85" s="30">
        <f>'เย็น '!D85+'เช้า '!D85+บ่าย!D85</f>
        <v>0</v>
      </c>
      <c r="E85" s="30">
        <f>'เย็น '!E85+'เช้า '!E85+บ่าย!E85</f>
        <v>0</v>
      </c>
      <c r="F85" s="30">
        <f>'เย็น '!F85+'เช้า '!F85+บ่าย!F85</f>
        <v>0</v>
      </c>
      <c r="G85" s="30">
        <f>'เย็น '!G85+'เช้า '!G85+บ่าย!G85</f>
        <v>0</v>
      </c>
      <c r="H85" s="30">
        <f>'เย็น '!H85+'เช้า '!H85+บ่าย!H85</f>
        <v>0</v>
      </c>
      <c r="I85" s="30">
        <f>'เย็น '!I85+'เช้า '!I85+บ่าย!I85</f>
        <v>0</v>
      </c>
      <c r="J85" s="30">
        <f>'เย็น '!J85+'เช้า '!J85+บ่าย!J85</f>
        <v>0</v>
      </c>
      <c r="K85" s="30">
        <f>'เย็น '!K85+'เช้า '!K85+บ่าย!K85</f>
        <v>0</v>
      </c>
      <c r="L85" s="36">
        <f t="shared" si="7"/>
        <v>0</v>
      </c>
      <c r="M85" s="11"/>
      <c r="N85" s="11"/>
      <c r="O85" s="11"/>
      <c r="P85" s="11"/>
      <c r="Q85" s="44">
        <f t="shared" si="8"/>
        <v>0</v>
      </c>
    </row>
    <row r="86" spans="2:17">
      <c r="B86" s="11">
        <v>1113081</v>
      </c>
      <c r="C86" s="19" t="s">
        <v>72</v>
      </c>
      <c r="D86" s="30">
        <f>'เย็น '!D86+'เช้า '!D86+บ่าย!D86</f>
        <v>0</v>
      </c>
      <c r="E86" s="30">
        <f>'เย็น '!E86+'เช้า '!E86+บ่าย!E86</f>
        <v>0</v>
      </c>
      <c r="F86" s="30">
        <f>'เย็น '!F86+'เช้า '!F86+บ่าย!F86</f>
        <v>0</v>
      </c>
      <c r="G86" s="30">
        <f>'เย็น '!G86+'เช้า '!G86+บ่าย!G86</f>
        <v>0</v>
      </c>
      <c r="H86" s="30">
        <f>'เย็น '!H86+'เช้า '!H86+บ่าย!H86</f>
        <v>0</v>
      </c>
      <c r="I86" s="30">
        <f>'เย็น '!I86+'เช้า '!I86+บ่าย!I86</f>
        <v>0</v>
      </c>
      <c r="J86" s="30">
        <f>'เย็น '!J86+'เช้า '!J86+บ่าย!J86</f>
        <v>0</v>
      </c>
      <c r="K86" s="30">
        <f>'เย็น '!K86+'เช้า '!K86+บ่าย!K86</f>
        <v>0</v>
      </c>
      <c r="L86" s="36">
        <f t="shared" si="7"/>
        <v>0</v>
      </c>
      <c r="M86" s="11"/>
      <c r="N86" s="11"/>
      <c r="O86" s="11"/>
      <c r="P86" s="11"/>
      <c r="Q86" s="44">
        <f t="shared" si="8"/>
        <v>0</v>
      </c>
    </row>
    <row r="87" spans="2:17">
      <c r="B87" s="11">
        <v>1111008</v>
      </c>
      <c r="C87" s="19" t="s">
        <v>73</v>
      </c>
      <c r="D87" s="62">
        <f>'เย็น '!D87+'เช้า '!D87+บ่าย!D87</f>
        <v>20</v>
      </c>
      <c r="E87" s="30">
        <f>'เย็น '!E87+'เช้า '!E87+บ่าย!E87</f>
        <v>6</v>
      </c>
      <c r="F87" s="30">
        <f>'เย็น '!F87+'เช้า '!F87+บ่าย!F87</f>
        <v>0</v>
      </c>
      <c r="G87" s="30">
        <f>'เย็น '!G87+'เช้า '!G87+บ่าย!G87</f>
        <v>19</v>
      </c>
      <c r="H87" s="30">
        <f>'เย็น '!H87+'เช้า '!H87+บ่าย!H87</f>
        <v>0</v>
      </c>
      <c r="I87" s="30">
        <f>'เย็น '!I87+'เช้า '!I87+บ่าย!I87</f>
        <v>0</v>
      </c>
      <c r="J87" s="30">
        <f>'เย็น '!J87+'เช้า '!J87+บ่าย!J87</f>
        <v>0</v>
      </c>
      <c r="K87" s="30"/>
      <c r="L87" s="36">
        <f t="shared" si="7"/>
        <v>45</v>
      </c>
      <c r="M87" s="11">
        <v>5</v>
      </c>
      <c r="N87" s="11">
        <v>159</v>
      </c>
      <c r="O87" s="11"/>
      <c r="P87" s="11"/>
      <c r="Q87" s="44">
        <f t="shared" si="8"/>
        <v>119</v>
      </c>
    </row>
    <row r="88" spans="2:17" hidden="1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36">
        <f>SUM(D88:J88)</f>
        <v>0</v>
      </c>
      <c r="M88" s="11"/>
      <c r="N88" s="11"/>
      <c r="O88" s="11"/>
      <c r="P88" s="11"/>
      <c r="Q88" s="44">
        <f t="shared" si="6"/>
        <v>0</v>
      </c>
    </row>
    <row r="89" spans="2:17" ht="21">
      <c r="B89" s="65" t="s">
        <v>74</v>
      </c>
      <c r="C89" s="66"/>
      <c r="D89" s="66"/>
      <c r="E89" s="66"/>
      <c r="F89" s="66"/>
      <c r="G89" s="66"/>
      <c r="H89" s="66"/>
      <c r="I89" s="66"/>
      <c r="J89" s="66"/>
      <c r="K89" s="66"/>
      <c r="L89" s="66"/>
      <c r="M89" s="66"/>
      <c r="N89" s="66"/>
      <c r="O89" s="66"/>
      <c r="P89" s="66"/>
      <c r="Q89" s="72"/>
    </row>
    <row r="90" spans="2:17">
      <c r="B90" s="11">
        <v>1112009</v>
      </c>
      <c r="C90" s="19" t="s">
        <v>75</v>
      </c>
      <c r="D90" s="30">
        <f>'เย็น '!D90+'เช้า '!D90+บ่าย!D90</f>
        <v>2</v>
      </c>
      <c r="E90" s="30">
        <f>'เย็น '!E90+'เช้า '!E90+บ่าย!E90</f>
        <v>0</v>
      </c>
      <c r="F90" s="30">
        <f>'เย็น '!F90+'เช้า '!F90+บ่าย!F90</f>
        <v>1</v>
      </c>
      <c r="G90" s="30">
        <f>'เย็น '!G90+'เช้า '!G90+บ่าย!G90</f>
        <v>22</v>
      </c>
      <c r="H90" s="30">
        <f>'เย็น '!H90+'เช้า '!H90+บ่าย!H90</f>
        <v>0</v>
      </c>
      <c r="I90" s="30">
        <f>'เย็น '!I90+'เช้า '!I90+บ่าย!I90</f>
        <v>0</v>
      </c>
      <c r="J90" s="30">
        <f>'เย็น '!J90+'เช้า '!J90+บ่าย!J90</f>
        <v>0</v>
      </c>
      <c r="K90" s="30">
        <f>'เย็น '!K90+'เช้า '!K90+บ่าย!K90</f>
        <v>5</v>
      </c>
      <c r="L90" s="36">
        <f t="shared" ref="L90:L99" si="9">SUM(D90:K90)</f>
        <v>30</v>
      </c>
      <c r="M90" s="11"/>
      <c r="N90" s="11">
        <v>119</v>
      </c>
      <c r="O90" s="11"/>
      <c r="P90" s="11"/>
      <c r="Q90" s="44">
        <f t="shared" ref="Q90:Q100" si="10">(M90+N90+O90+P90)-L90</f>
        <v>89</v>
      </c>
    </row>
    <row r="91" spans="2:17">
      <c r="B91" s="11">
        <v>1112011</v>
      </c>
      <c r="C91" s="19" t="s">
        <v>76</v>
      </c>
      <c r="D91" s="30">
        <f>'เย็น '!D91+'เช้า '!D91+บ่าย!D91</f>
        <v>1</v>
      </c>
      <c r="E91" s="30">
        <f>'เย็น '!E91+'เช้า '!E91+บ่าย!E91</f>
        <v>0</v>
      </c>
      <c r="F91" s="30">
        <f>'เย็น '!F91+'เช้า '!F91+บ่าย!F91</f>
        <v>5</v>
      </c>
      <c r="G91" s="30">
        <f>'เย็น '!G91+'เช้า '!G91+บ่าย!G91</f>
        <v>22</v>
      </c>
      <c r="H91" s="30">
        <f>'เย็น '!H91+'เช้า '!H91+บ่าย!H91</f>
        <v>0</v>
      </c>
      <c r="I91" s="30">
        <f>'เย็น '!I91+'เช้า '!I91+บ่าย!I91</f>
        <v>0</v>
      </c>
      <c r="J91" s="30">
        <f>'เย็น '!J91+'เช้า '!J91+บ่าย!J91</f>
        <v>0</v>
      </c>
      <c r="K91" s="30">
        <f>'เย็น '!K91+'เช้า '!K91+บ่าย!K91</f>
        <v>5</v>
      </c>
      <c r="L91" s="36">
        <f t="shared" si="9"/>
        <v>33</v>
      </c>
      <c r="M91" s="11"/>
      <c r="N91" s="11">
        <v>65</v>
      </c>
      <c r="O91" s="11"/>
      <c r="P91" s="11"/>
      <c r="Q91" s="44">
        <f t="shared" si="10"/>
        <v>32</v>
      </c>
    </row>
    <row r="92" spans="2:17">
      <c r="B92" s="11">
        <v>1112003</v>
      </c>
      <c r="C92" s="19" t="s">
        <v>77</v>
      </c>
      <c r="D92" s="30">
        <f>'เย็น '!D92+'เช้า '!D92+บ่าย!D92</f>
        <v>5</v>
      </c>
      <c r="E92" s="30">
        <f>'เย็น '!E92+'เช้า '!E92+บ่าย!E92</f>
        <v>0</v>
      </c>
      <c r="F92" s="30">
        <f>'เย็น '!F92+'เช้า '!F92+บ่าย!F92</f>
        <v>2</v>
      </c>
      <c r="G92" s="30">
        <f>'เย็น '!G92+'เช้า '!G92+บ่าย!G92</f>
        <v>23</v>
      </c>
      <c r="H92" s="30">
        <f>'เย็น '!H92+'เช้า '!H92+บ่าย!H92</f>
        <v>0</v>
      </c>
      <c r="I92" s="30">
        <f>'เย็น '!I92+'เช้า '!I92+บ่าย!I92</f>
        <v>0</v>
      </c>
      <c r="J92" s="30">
        <f>'เย็น '!J92+'เช้า '!J92+บ่าย!J92</f>
        <v>0</v>
      </c>
      <c r="K92" s="30">
        <f>'เย็น '!K92+'เช้า '!K92+บ่าย!K92</f>
        <v>0</v>
      </c>
      <c r="L92" s="36">
        <f t="shared" si="9"/>
        <v>30</v>
      </c>
      <c r="M92" s="11"/>
      <c r="N92" s="11">
        <v>152</v>
      </c>
      <c r="O92" s="11"/>
      <c r="P92" s="11"/>
      <c r="Q92" s="44">
        <f t="shared" si="10"/>
        <v>122</v>
      </c>
    </row>
    <row r="93" spans="2:17">
      <c r="B93" s="11">
        <v>1112005</v>
      </c>
      <c r="C93" s="19" t="s">
        <v>78</v>
      </c>
      <c r="D93" s="30">
        <f>'เย็น '!D93+'เช้า '!D93+บ่าย!D93</f>
        <v>4</v>
      </c>
      <c r="E93" s="30">
        <f>'เย็น '!E93+'เช้า '!E93+บ่าย!E93</f>
        <v>0</v>
      </c>
      <c r="F93" s="30">
        <f>'เย็น '!F93+'เช้า '!F93+บ่าย!F93</f>
        <v>2</v>
      </c>
      <c r="G93" s="30">
        <f>'เย็น '!G93+'เช้า '!G93+บ่าย!G93</f>
        <v>23</v>
      </c>
      <c r="H93" s="30">
        <f>'เย็น '!H93+'เช้า '!H93+บ่าย!H93</f>
        <v>0</v>
      </c>
      <c r="I93" s="30">
        <f>'เย็น '!I93+'เช้า '!I93+บ่าย!I93</f>
        <v>0</v>
      </c>
      <c r="J93" s="30">
        <f>'เย็น '!J93+'เช้า '!J93+บ่าย!J93</f>
        <v>0</v>
      </c>
      <c r="K93" s="30">
        <f>'เย็น '!K93+'เช้า '!K93+บ่าย!K93</f>
        <v>0</v>
      </c>
      <c r="L93" s="36">
        <f t="shared" si="9"/>
        <v>29</v>
      </c>
      <c r="M93" s="11"/>
      <c r="N93" s="11">
        <v>159</v>
      </c>
      <c r="O93" s="11"/>
      <c r="P93" s="11"/>
      <c r="Q93" s="44">
        <f t="shared" si="10"/>
        <v>130</v>
      </c>
    </row>
    <row r="94" spans="2:17">
      <c r="B94" s="11">
        <v>1112007</v>
      </c>
      <c r="C94" s="19" t="s">
        <v>79</v>
      </c>
      <c r="D94" s="30">
        <f>'เย็น '!D94+'เช้า '!D94+บ่าย!D94</f>
        <v>0</v>
      </c>
      <c r="E94" s="30">
        <f>'เย็น '!E94+'เช้า '!E94+บ่าย!E94</f>
        <v>0</v>
      </c>
      <c r="F94" s="30">
        <f>'เย็น '!F94+'เช้า '!F94+บ่าย!F94</f>
        <v>0</v>
      </c>
      <c r="G94" s="30">
        <f>'เย็น '!G94+'เช้า '!G94+บ่าย!G94</f>
        <v>0</v>
      </c>
      <c r="H94" s="30">
        <f>'เย็น '!H94+'เช้า '!H94+บ่าย!H94</f>
        <v>0</v>
      </c>
      <c r="I94" s="30">
        <f>'เย็น '!I94+'เช้า '!I94+บ่าย!I94</f>
        <v>0</v>
      </c>
      <c r="J94" s="30">
        <f>'เย็น '!J94+'เช้า '!J94+บ่าย!J94</f>
        <v>0</v>
      </c>
      <c r="K94" s="30">
        <f>'เย็น '!K94+'เช้า '!K94+บ่าย!K94</f>
        <v>0</v>
      </c>
      <c r="L94" s="36">
        <f t="shared" si="9"/>
        <v>0</v>
      </c>
      <c r="M94" s="11"/>
      <c r="N94" s="11"/>
      <c r="O94" s="11"/>
      <c r="P94" s="11"/>
      <c r="Q94" s="44">
        <f t="shared" si="10"/>
        <v>0</v>
      </c>
    </row>
    <row r="95" spans="2:17">
      <c r="B95" s="11">
        <v>1112019</v>
      </c>
      <c r="C95" s="19" t="s">
        <v>80</v>
      </c>
      <c r="D95" s="30">
        <f>'เย็น '!D95+'เช้า '!D95+บ่าย!D95</f>
        <v>0</v>
      </c>
      <c r="E95" s="30">
        <f>'เย็น '!E95+'เช้า '!E95+บ่าย!E95</f>
        <v>0</v>
      </c>
      <c r="F95" s="30">
        <f>'เย็น '!F95+'เช้า '!F95+บ่าย!F95</f>
        <v>0</v>
      </c>
      <c r="G95" s="30">
        <f>'เย็น '!G95+'เช้า '!G95+บ่าย!G95</f>
        <v>0</v>
      </c>
      <c r="H95" s="30">
        <f>'เย็น '!H95+'เช้า '!H95+บ่าย!H95</f>
        <v>0</v>
      </c>
      <c r="I95" s="30">
        <f>'เย็น '!I95+'เช้า '!I95+บ่าย!I95</f>
        <v>0</v>
      </c>
      <c r="J95" s="30">
        <f>'เย็น '!J95+'เช้า '!J95+บ่าย!J95</f>
        <v>0</v>
      </c>
      <c r="K95" s="30">
        <f>'เย็น '!K95+'เช้า '!K95+บ่าย!K95</f>
        <v>0</v>
      </c>
      <c r="L95" s="36">
        <f t="shared" si="9"/>
        <v>0</v>
      </c>
      <c r="M95" s="11"/>
      <c r="N95" s="11"/>
      <c r="O95" s="11"/>
      <c r="P95" s="11"/>
      <c r="Q95" s="44">
        <f t="shared" si="10"/>
        <v>0</v>
      </c>
    </row>
    <row r="96" spans="2:17">
      <c r="B96" s="11">
        <v>1112017</v>
      </c>
      <c r="C96" s="19" t="s">
        <v>81</v>
      </c>
      <c r="D96" s="30">
        <f>'เย็น '!D96+'เช้า '!D96+บ่าย!D96</f>
        <v>0</v>
      </c>
      <c r="E96" s="30">
        <f>'เย็น '!E96+'เช้า '!E96+บ่าย!E96</f>
        <v>0</v>
      </c>
      <c r="F96" s="30">
        <f>'เย็น '!F96+'เช้า '!F96+บ่าย!F96</f>
        <v>0</v>
      </c>
      <c r="G96" s="30">
        <f>'เย็น '!G96+'เช้า '!G96+บ่าย!G96</f>
        <v>0</v>
      </c>
      <c r="H96" s="30">
        <f>'เย็น '!H96+'เช้า '!H96+บ่าย!H96</f>
        <v>0</v>
      </c>
      <c r="I96" s="30">
        <f>'เย็น '!I96+'เช้า '!I96+บ่าย!I96</f>
        <v>0</v>
      </c>
      <c r="J96" s="30">
        <f>'เย็น '!J96+'เช้า '!J96+บ่าย!J96</f>
        <v>0</v>
      </c>
      <c r="K96" s="30">
        <f>'เย็น '!K96+'เช้า '!K96+บ่าย!K96</f>
        <v>0</v>
      </c>
      <c r="L96" s="36">
        <f t="shared" si="9"/>
        <v>0</v>
      </c>
      <c r="M96" s="11"/>
      <c r="N96" s="11"/>
      <c r="O96" s="11"/>
      <c r="P96" s="11"/>
      <c r="Q96" s="44">
        <f t="shared" si="10"/>
        <v>0</v>
      </c>
    </row>
    <row r="97" spans="2:17">
      <c r="B97" s="11">
        <v>1112015</v>
      </c>
      <c r="C97" s="19" t="s">
        <v>82</v>
      </c>
      <c r="D97" s="30">
        <f>'เย็น '!D97+'เช้า '!D97+บ่าย!D97</f>
        <v>3</v>
      </c>
      <c r="E97" s="30">
        <f>'เย็น '!E97+'เช้า '!E97+บ่าย!E97</f>
        <v>0</v>
      </c>
      <c r="F97" s="30">
        <f>'เย็น '!F97+'เช้า '!F97+บ่าย!F97</f>
        <v>2</v>
      </c>
      <c r="G97" s="30">
        <f>'เย็น '!G97+'เช้า '!G97+บ่าย!G97</f>
        <v>23</v>
      </c>
      <c r="H97" s="30">
        <f>'เย็น '!H97+'เช้า '!H97+บ่าย!H97</f>
        <v>0</v>
      </c>
      <c r="I97" s="30">
        <f>'เย็น '!I97+'เช้า '!I97+บ่าย!I97</f>
        <v>0</v>
      </c>
      <c r="J97" s="30">
        <f>'เย็น '!J97+'เช้า '!J97+บ่าย!J97</f>
        <v>0</v>
      </c>
      <c r="K97" s="30">
        <f>'เย็น '!K97+'เช้า '!K97+บ่าย!K97</f>
        <v>0</v>
      </c>
      <c r="L97" s="36">
        <f t="shared" si="9"/>
        <v>28</v>
      </c>
      <c r="M97" s="11"/>
      <c r="N97" s="11">
        <v>147</v>
      </c>
      <c r="O97" s="11"/>
      <c r="P97" s="11"/>
      <c r="Q97" s="44">
        <f t="shared" si="10"/>
        <v>119</v>
      </c>
    </row>
    <row r="98" spans="2:17">
      <c r="B98" s="11">
        <v>1112013</v>
      </c>
      <c r="C98" s="19" t="s">
        <v>83</v>
      </c>
      <c r="D98" s="30">
        <f>'เย็น '!D98+'เช้า '!D98+บ่าย!D98</f>
        <v>4</v>
      </c>
      <c r="E98" s="30">
        <f>'เย็น '!E98+'เช้า '!E98+บ่าย!E98</f>
        <v>0</v>
      </c>
      <c r="F98" s="30">
        <f>'เย็น '!F98+'เช้า '!F98+บ่าย!F98</f>
        <v>1</v>
      </c>
      <c r="G98" s="30">
        <f>'เย็น '!G98+'เช้า '!G98+บ่าย!G98</f>
        <v>22</v>
      </c>
      <c r="H98" s="30">
        <f>'เย็น '!H98+'เช้า '!H98+บ่าย!H98</f>
        <v>0</v>
      </c>
      <c r="I98" s="30">
        <f>'เย็น '!I98+'เช้า '!I98+บ่าย!I98</f>
        <v>0</v>
      </c>
      <c r="J98" s="30">
        <f>'เย็น '!J98+'เช้า '!J98+บ่าย!J98</f>
        <v>0</v>
      </c>
      <c r="K98" s="30">
        <f>'เย็น '!K98+'เช้า '!K98+บ่าย!K98</f>
        <v>0</v>
      </c>
      <c r="L98" s="36">
        <f t="shared" si="9"/>
        <v>27</v>
      </c>
      <c r="M98" s="11"/>
      <c r="N98" s="11">
        <v>164</v>
      </c>
      <c r="O98" s="11"/>
      <c r="P98" s="11"/>
      <c r="Q98" s="44">
        <f t="shared" si="10"/>
        <v>137</v>
      </c>
    </row>
    <row r="99" spans="2:17">
      <c r="B99" s="11">
        <v>1124043</v>
      </c>
      <c r="C99" s="19" t="s">
        <v>84</v>
      </c>
      <c r="D99" s="30">
        <f>บ่าย!D99+'เช้า '!D99+'เย็น '!D99</f>
        <v>0</v>
      </c>
      <c r="E99" s="30">
        <f>บ่าย!E99+'เช้า '!E99+'เย็น '!E99</f>
        <v>0</v>
      </c>
      <c r="F99" s="30">
        <f>บ่าย!F99+'เช้า '!F99+'เย็น '!F99</f>
        <v>0</v>
      </c>
      <c r="G99" s="30">
        <f>บ่าย!G99+'เช้า '!G99+'เย็น '!G99</f>
        <v>0</v>
      </c>
      <c r="H99" s="30">
        <f>บ่าย!H99+'เช้า '!H99+'เย็น '!H99</f>
        <v>0</v>
      </c>
      <c r="I99" s="30">
        <f>บ่าย!I99+'เช้า '!I99+'เย็น '!I99</f>
        <v>0</v>
      </c>
      <c r="J99" s="30">
        <f>บ่าย!J99+'เช้า '!J99+'เย็น '!J99</f>
        <v>0</v>
      </c>
      <c r="K99" s="43"/>
      <c r="L99" s="36">
        <f t="shared" si="9"/>
        <v>0</v>
      </c>
      <c r="M99" s="11"/>
      <c r="N99" s="11"/>
      <c r="O99" s="11"/>
      <c r="P99" s="11"/>
      <c r="Q99" s="44">
        <f>SUM(Q90:Q98)</f>
        <v>629</v>
      </c>
    </row>
    <row r="100" spans="2:17" hidden="1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177</v>
      </c>
      <c r="M100" s="11"/>
      <c r="N100" s="11"/>
      <c r="O100" s="11"/>
      <c r="P100" s="11"/>
      <c r="Q100" s="44">
        <f t="shared" si="10"/>
        <v>-177</v>
      </c>
    </row>
    <row r="101" spans="2:17" ht="21" hidden="1">
      <c r="B101" s="65" t="s">
        <v>85</v>
      </c>
      <c r="C101" s="66"/>
      <c r="D101" s="66"/>
      <c r="E101" s="66"/>
      <c r="F101" s="66"/>
      <c r="G101" s="66"/>
      <c r="H101" s="66"/>
      <c r="I101" s="66"/>
      <c r="J101" s="66"/>
      <c r="K101" s="66"/>
      <c r="L101" s="66"/>
      <c r="M101" s="66"/>
      <c r="N101" s="66"/>
      <c r="O101" s="66"/>
      <c r="P101" s="66"/>
      <c r="Q101" s="72"/>
    </row>
    <row r="102" spans="2:17" hidden="1">
      <c r="B102" s="11">
        <v>1112008</v>
      </c>
      <c r="C102" s="19" t="s">
        <v>75</v>
      </c>
      <c r="D102" s="30">
        <f>บ่าย!D102+'เช้า '!D102+'เย็น '!D102</f>
        <v>0</v>
      </c>
      <c r="E102" s="30">
        <f>บ่าย!E102+'เช้า '!E102+'เย็น '!E102</f>
        <v>0</v>
      </c>
      <c r="F102" s="30">
        <f>บ่าย!F102+'เช้า '!F102+'เย็น '!F102</f>
        <v>0</v>
      </c>
      <c r="G102" s="30">
        <f>บ่าย!G102+'เช้า '!G102+'เย็น '!G102</f>
        <v>0</v>
      </c>
      <c r="H102" s="30">
        <f>บ่าย!H102+'เช้า '!H102+'เย็น '!H102</f>
        <v>0</v>
      </c>
      <c r="I102" s="30">
        <f>บ่าย!I102+'เช้า '!I102+'เย็น '!I102</f>
        <v>0</v>
      </c>
      <c r="J102" s="30">
        <f>บ่าย!J102+'เช้า '!J102+'เย็น '!J102</f>
        <v>0</v>
      </c>
      <c r="K102" s="30">
        <f>บ่าย!K102+'เช้า '!K102+'เย็น '!K102</f>
        <v>0</v>
      </c>
      <c r="L102" s="36">
        <f t="shared" ref="L102:L111" si="11">SUM(D102:K102)</f>
        <v>0</v>
      </c>
      <c r="M102" s="11"/>
      <c r="N102" s="11"/>
      <c r="O102" s="11"/>
      <c r="P102" s="11"/>
      <c r="Q102" s="44">
        <f t="shared" ref="Q102:Q112" si="12">(M102+N102+O102+P102)-L102</f>
        <v>0</v>
      </c>
    </row>
    <row r="103" spans="2:17" hidden="1">
      <c r="B103" s="11">
        <v>1112010</v>
      </c>
      <c r="C103" s="19" t="s">
        <v>76</v>
      </c>
      <c r="D103" s="30">
        <f>บ่าย!D103+'เช้า '!D103+'เย็น '!D103</f>
        <v>0</v>
      </c>
      <c r="E103" s="30">
        <f>บ่าย!E103+'เช้า '!E103+'เย็น '!E103</f>
        <v>0</v>
      </c>
      <c r="F103" s="30">
        <f>บ่าย!F103+'เช้า '!F103+'เย็น '!F103</f>
        <v>0</v>
      </c>
      <c r="G103" s="30">
        <f>บ่าย!G103+'เช้า '!G103+'เย็น '!G103</f>
        <v>0</v>
      </c>
      <c r="H103" s="30">
        <f>บ่าย!H103+'เช้า '!H103+'เย็น '!H103</f>
        <v>0</v>
      </c>
      <c r="I103" s="30">
        <f>บ่าย!I103+'เช้า '!I103+'เย็น '!I103</f>
        <v>0</v>
      </c>
      <c r="J103" s="30">
        <f>บ่าย!J103+'เช้า '!J103+'เย็น '!J103</f>
        <v>0</v>
      </c>
      <c r="K103" s="30">
        <f>บ่าย!K103+'เช้า '!K103+'เย็น '!K103</f>
        <v>0</v>
      </c>
      <c r="L103" s="36">
        <f t="shared" si="11"/>
        <v>0</v>
      </c>
      <c r="M103" s="11"/>
      <c r="N103" s="11"/>
      <c r="O103" s="11"/>
      <c r="P103" s="11"/>
      <c r="Q103" s="44">
        <f t="shared" si="12"/>
        <v>0</v>
      </c>
    </row>
    <row r="104" spans="2:17" hidden="1">
      <c r="B104" s="11">
        <v>1112002</v>
      </c>
      <c r="C104" s="19" t="s">
        <v>77</v>
      </c>
      <c r="D104" s="30">
        <f>บ่าย!D104+'เช้า '!D104+'เย็น '!D104</f>
        <v>0</v>
      </c>
      <c r="E104" s="30">
        <f>บ่าย!E104+'เช้า '!E104+'เย็น '!E104</f>
        <v>0</v>
      </c>
      <c r="F104" s="30">
        <f>บ่าย!F104+'เช้า '!F104+'เย็น '!F104</f>
        <v>0</v>
      </c>
      <c r="G104" s="30">
        <f>บ่าย!G104+'เช้า '!G104+'เย็น '!G104</f>
        <v>0</v>
      </c>
      <c r="H104" s="30">
        <f>บ่าย!H104+'เช้า '!H104+'เย็น '!H104</f>
        <v>0</v>
      </c>
      <c r="I104" s="30">
        <f>บ่าย!I104+'เช้า '!I104+'เย็น '!I104</f>
        <v>0</v>
      </c>
      <c r="J104" s="30">
        <f>บ่าย!J104+'เช้า '!J104+'เย็น '!J104</f>
        <v>0</v>
      </c>
      <c r="K104" s="30">
        <f>บ่าย!K104+'เช้า '!K104+'เย็น '!K104</f>
        <v>0</v>
      </c>
      <c r="L104" s="36">
        <f t="shared" si="11"/>
        <v>0</v>
      </c>
      <c r="M104" s="11"/>
      <c r="N104" s="11"/>
      <c r="O104" s="11"/>
      <c r="P104" s="11"/>
      <c r="Q104" s="44">
        <f t="shared" si="12"/>
        <v>0</v>
      </c>
    </row>
    <row r="105" spans="2:17" hidden="1">
      <c r="B105" s="11">
        <v>1112004</v>
      </c>
      <c r="C105" s="19" t="s">
        <v>78</v>
      </c>
      <c r="D105" s="30">
        <f>บ่าย!D105+'เช้า '!D105+'เย็น '!D105</f>
        <v>0</v>
      </c>
      <c r="E105" s="30">
        <f>บ่าย!E105+'เช้า '!E105+'เย็น '!E105</f>
        <v>0</v>
      </c>
      <c r="F105" s="30">
        <f>บ่าย!F105+'เช้า '!F105+'เย็น '!F105</f>
        <v>0</v>
      </c>
      <c r="G105" s="30">
        <f>บ่าย!G105+'เช้า '!G105+'เย็น '!G105</f>
        <v>0</v>
      </c>
      <c r="H105" s="30">
        <f>บ่าย!H105+'เช้า '!H105+'เย็น '!H105</f>
        <v>0</v>
      </c>
      <c r="I105" s="30">
        <f>บ่าย!I105+'เช้า '!I105+'เย็น '!I105</f>
        <v>0</v>
      </c>
      <c r="J105" s="30">
        <f>บ่าย!J105+'เช้า '!J105+'เย็น '!J105</f>
        <v>0</v>
      </c>
      <c r="K105" s="30">
        <f>บ่าย!K105+'เช้า '!K105+'เย็น '!K105</f>
        <v>0</v>
      </c>
      <c r="L105" s="36">
        <f t="shared" si="11"/>
        <v>0</v>
      </c>
      <c r="M105" s="11"/>
      <c r="N105" s="11"/>
      <c r="O105" s="11"/>
      <c r="P105" s="11"/>
      <c r="Q105" s="44">
        <f t="shared" si="12"/>
        <v>0</v>
      </c>
    </row>
    <row r="106" spans="2:17" hidden="1">
      <c r="B106" s="11">
        <v>1112006</v>
      </c>
      <c r="C106" s="19" t="s">
        <v>79</v>
      </c>
      <c r="D106" s="30">
        <f>บ่าย!D106+'เช้า '!D106+'เย็น '!D106</f>
        <v>0</v>
      </c>
      <c r="E106" s="30">
        <f>บ่าย!E106+'เช้า '!E106+'เย็น '!E106</f>
        <v>0</v>
      </c>
      <c r="F106" s="30">
        <f>บ่าย!F106+'เช้า '!F106+'เย็น '!F106</f>
        <v>0</v>
      </c>
      <c r="G106" s="30">
        <f>บ่าย!G106+'เช้า '!G106+'เย็น '!G106</f>
        <v>0</v>
      </c>
      <c r="H106" s="30">
        <f>บ่าย!H106+'เช้า '!H106+'เย็น '!H106</f>
        <v>0</v>
      </c>
      <c r="I106" s="30">
        <f>บ่าย!I106+'เช้า '!I106+'เย็น '!I106</f>
        <v>0</v>
      </c>
      <c r="J106" s="30">
        <f>บ่าย!J106+'เช้า '!J106+'เย็น '!J106</f>
        <v>0</v>
      </c>
      <c r="K106" s="30">
        <f>บ่าย!K106+'เช้า '!K106+'เย็น '!K106</f>
        <v>0</v>
      </c>
      <c r="L106" s="36">
        <f t="shared" si="11"/>
        <v>0</v>
      </c>
      <c r="M106" s="11"/>
      <c r="N106" s="11"/>
      <c r="O106" s="11"/>
      <c r="P106" s="11"/>
      <c r="Q106" s="44">
        <f t="shared" si="12"/>
        <v>0</v>
      </c>
    </row>
    <row r="107" spans="2:17" hidden="1">
      <c r="B107" s="11">
        <v>1112018</v>
      </c>
      <c r="C107" s="19" t="s">
        <v>80</v>
      </c>
      <c r="D107" s="30">
        <f>บ่าย!D107+'เช้า '!D107+'เย็น '!D107</f>
        <v>0</v>
      </c>
      <c r="E107" s="30">
        <f>บ่าย!E107+'เช้า '!E107+'เย็น '!E107</f>
        <v>0</v>
      </c>
      <c r="F107" s="30">
        <f>บ่าย!F107+'เช้า '!F107+'เย็น '!F107</f>
        <v>0</v>
      </c>
      <c r="G107" s="30">
        <f>บ่าย!G107+'เช้า '!G107+'เย็น '!G107</f>
        <v>0</v>
      </c>
      <c r="H107" s="30">
        <f>บ่าย!H107+'เช้า '!H107+'เย็น '!H107</f>
        <v>0</v>
      </c>
      <c r="I107" s="30">
        <f>บ่าย!I107+'เช้า '!I107+'เย็น '!I107</f>
        <v>0</v>
      </c>
      <c r="J107" s="30">
        <f>บ่าย!J107+'เช้า '!J107+'เย็น '!J107</f>
        <v>0</v>
      </c>
      <c r="K107" s="30">
        <f>บ่าย!K107+'เช้า '!K107+'เย็น '!K107</f>
        <v>0</v>
      </c>
      <c r="L107" s="36">
        <f t="shared" si="11"/>
        <v>0</v>
      </c>
      <c r="M107" s="11"/>
      <c r="N107" s="11"/>
      <c r="O107" s="11"/>
      <c r="P107" s="11"/>
      <c r="Q107" s="44">
        <f t="shared" si="12"/>
        <v>0</v>
      </c>
    </row>
    <row r="108" spans="2:17" hidden="1">
      <c r="B108" s="11">
        <v>1112016</v>
      </c>
      <c r="C108" s="19" t="s">
        <v>81</v>
      </c>
      <c r="D108" s="30">
        <f>บ่าย!D108+'เช้า '!D108+'เย็น '!D108</f>
        <v>0</v>
      </c>
      <c r="E108" s="30">
        <f>บ่าย!E108+'เช้า '!E108+'เย็น '!E108</f>
        <v>0</v>
      </c>
      <c r="F108" s="30">
        <f>บ่าย!F108+'เช้า '!F108+'เย็น '!F108</f>
        <v>0</v>
      </c>
      <c r="G108" s="30">
        <f>บ่าย!G108+'เช้า '!G108+'เย็น '!G108</f>
        <v>0</v>
      </c>
      <c r="H108" s="30">
        <f>บ่าย!H108+'เช้า '!H108+'เย็น '!H108</f>
        <v>0</v>
      </c>
      <c r="I108" s="30">
        <f>บ่าย!I108+'เช้า '!I108+'เย็น '!I108</f>
        <v>0</v>
      </c>
      <c r="J108" s="30">
        <f>บ่าย!J108+'เช้า '!J108+'เย็น '!J108</f>
        <v>0</v>
      </c>
      <c r="K108" s="30">
        <f>บ่าย!K108+'เช้า '!K108+'เย็น '!K108</f>
        <v>0</v>
      </c>
      <c r="L108" s="36">
        <f t="shared" si="11"/>
        <v>0</v>
      </c>
      <c r="M108" s="11"/>
      <c r="N108" s="11"/>
      <c r="O108" s="11"/>
      <c r="P108" s="11"/>
      <c r="Q108" s="44">
        <f t="shared" si="12"/>
        <v>0</v>
      </c>
    </row>
    <row r="109" spans="2:17" hidden="1">
      <c r="B109" s="11">
        <v>1112014</v>
      </c>
      <c r="C109" s="19" t="s">
        <v>82</v>
      </c>
      <c r="D109" s="30">
        <f>บ่าย!D109+'เช้า '!D109+'เย็น '!D109</f>
        <v>0</v>
      </c>
      <c r="E109" s="30">
        <f>บ่าย!E109+'เช้า '!E109+'เย็น '!E109</f>
        <v>0</v>
      </c>
      <c r="F109" s="30">
        <f>บ่าย!F109+'เช้า '!F109+'เย็น '!F109</f>
        <v>0</v>
      </c>
      <c r="G109" s="30">
        <f>บ่าย!G109+'เช้า '!G109+'เย็น '!G109</f>
        <v>0</v>
      </c>
      <c r="H109" s="30">
        <f>บ่าย!H109+'เช้า '!H109+'เย็น '!H109</f>
        <v>0</v>
      </c>
      <c r="I109" s="30">
        <f>บ่าย!I109+'เช้า '!I109+'เย็น '!I109</f>
        <v>0</v>
      </c>
      <c r="J109" s="30">
        <f>บ่าย!J109+'เช้า '!J109+'เย็น '!J109</f>
        <v>0</v>
      </c>
      <c r="K109" s="30">
        <f>บ่าย!K109+'เช้า '!K109+'เย็น '!K109</f>
        <v>0</v>
      </c>
      <c r="L109" s="36">
        <f t="shared" si="11"/>
        <v>0</v>
      </c>
      <c r="M109" s="11"/>
      <c r="N109" s="11"/>
      <c r="O109" s="11"/>
      <c r="P109" s="11"/>
      <c r="Q109" s="44">
        <f t="shared" si="12"/>
        <v>0</v>
      </c>
    </row>
    <row r="110" spans="2:17" hidden="1">
      <c r="B110" s="11">
        <v>1112012</v>
      </c>
      <c r="C110" s="19" t="s">
        <v>83</v>
      </c>
      <c r="D110" s="30">
        <f>บ่าย!D110+'เช้า '!D110+'เย็น '!D110</f>
        <v>0</v>
      </c>
      <c r="E110" s="30">
        <f>บ่าย!E110+'เช้า '!E110+'เย็น '!E110</f>
        <v>0</v>
      </c>
      <c r="F110" s="30">
        <f>บ่าย!F110+'เช้า '!F110+'เย็น '!F110</f>
        <v>0</v>
      </c>
      <c r="G110" s="30">
        <f>บ่าย!G110+'เช้า '!G110+'เย็น '!G110</f>
        <v>0</v>
      </c>
      <c r="H110" s="30">
        <f>บ่าย!H110+'เช้า '!H110+'เย็น '!H110</f>
        <v>0</v>
      </c>
      <c r="I110" s="30">
        <f>บ่าย!I110+'เช้า '!I110+'เย็น '!I110</f>
        <v>0</v>
      </c>
      <c r="J110" s="30">
        <f>บ่าย!J110+'เช้า '!J110+'เย็น '!J110</f>
        <v>0</v>
      </c>
      <c r="K110" s="30">
        <f>บ่าย!K110+'เช้า '!K110+'เย็น '!K110</f>
        <v>0</v>
      </c>
      <c r="L110" s="36">
        <f t="shared" si="11"/>
        <v>0</v>
      </c>
      <c r="M110" s="11"/>
      <c r="N110" s="11"/>
      <c r="O110" s="11"/>
      <c r="P110" s="11"/>
      <c r="Q110" s="44">
        <f t="shared" si="12"/>
        <v>0</v>
      </c>
    </row>
    <row r="111" spans="2:17" hidden="1">
      <c r="B111" s="11"/>
      <c r="C111" s="19" t="s">
        <v>84</v>
      </c>
      <c r="D111" s="30">
        <f>บ่าย!D111+'เช้า '!D111+'เย็น '!D111</f>
        <v>0</v>
      </c>
      <c r="E111" s="30">
        <f>บ่าย!E111+'เช้า '!E111+'เย็น '!E111</f>
        <v>0</v>
      </c>
      <c r="F111" s="30">
        <f>บ่าย!F111+'เช้า '!F111+'เย็น '!F111</f>
        <v>0</v>
      </c>
      <c r="G111" s="30">
        <f>บ่าย!G111+'เช้า '!G111+'เย็น '!G111</f>
        <v>0</v>
      </c>
      <c r="H111" s="30">
        <f>บ่าย!H111+'เช้า '!H111+'เย็น '!H111</f>
        <v>0</v>
      </c>
      <c r="I111" s="30">
        <f>บ่าย!I111+'เช้า '!I111+'เย็น '!I111</f>
        <v>0</v>
      </c>
      <c r="J111" s="30">
        <f>บ่าย!J111+'เช้า '!J111+'เย็น '!J111</f>
        <v>0</v>
      </c>
      <c r="K111" s="30">
        <f>บ่าย!K111+'เช้า '!K111+'เย็น '!K111</f>
        <v>0</v>
      </c>
      <c r="L111" s="36">
        <f t="shared" si="11"/>
        <v>0</v>
      </c>
      <c r="M111" s="11"/>
      <c r="N111" s="11"/>
      <c r="O111" s="11"/>
      <c r="P111" s="11"/>
      <c r="Q111" s="44">
        <f t="shared" si="12"/>
        <v>0</v>
      </c>
    </row>
    <row r="112" spans="2:17" hidden="1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36">
        <f>SUM(L102:L111)</f>
        <v>0</v>
      </c>
      <c r="M112" s="11"/>
      <c r="N112" s="11"/>
      <c r="O112" s="11"/>
      <c r="P112" s="11"/>
      <c r="Q112" s="44">
        <f t="shared" si="12"/>
        <v>0</v>
      </c>
    </row>
    <row r="113" spans="2:17" ht="21">
      <c r="B113" s="65" t="s">
        <v>86</v>
      </c>
      <c r="C113" s="66"/>
      <c r="D113" s="66"/>
      <c r="E113" s="66"/>
      <c r="F113" s="66"/>
      <c r="G113" s="66"/>
      <c r="H113" s="66"/>
      <c r="I113" s="66"/>
      <c r="J113" s="66"/>
      <c r="K113" s="66"/>
      <c r="L113" s="66"/>
      <c r="M113" s="66"/>
      <c r="N113" s="66"/>
      <c r="O113" s="66"/>
      <c r="P113" s="66"/>
      <c r="Q113" s="72"/>
    </row>
    <row r="114" spans="2:17">
      <c r="B114" s="11">
        <v>1113170</v>
      </c>
      <c r="C114" s="21" t="s">
        <v>87</v>
      </c>
      <c r="D114" s="30">
        <f>บ่าย!D114+'เช้า '!D114+'เย็น '!D114</f>
        <v>24</v>
      </c>
      <c r="E114" s="30">
        <f>บ่าย!E114+'เช้า '!E114+'เย็น '!E114</f>
        <v>0</v>
      </c>
      <c r="F114" s="30">
        <f>บ่าย!F114+'เช้า '!F114+'เย็น '!F114</f>
        <v>0</v>
      </c>
      <c r="G114" s="30">
        <f>บ่าย!G114+'เช้า '!G114+'เย็น '!G114</f>
        <v>0</v>
      </c>
      <c r="H114" s="30">
        <f>บ่าย!H114+'เช้า '!H114+'เย็น '!H114</f>
        <v>0</v>
      </c>
      <c r="I114" s="30">
        <f>บ่าย!I114+'เช้า '!I114+'เย็น '!I114</f>
        <v>0</v>
      </c>
      <c r="J114" s="30">
        <f>บ่าย!J114+'เช้า '!J114+'เย็น '!J114</f>
        <v>0</v>
      </c>
      <c r="K114" s="30">
        <f>บ่าย!K114+'เช้า '!K114+'เย็น '!K114</f>
        <v>0</v>
      </c>
      <c r="L114" s="36">
        <f t="shared" ref="L114:L151" si="13">SUM(D114:K114)</f>
        <v>24</v>
      </c>
      <c r="M114" s="11"/>
      <c r="N114" s="11">
        <v>44</v>
      </c>
      <c r="O114" s="11"/>
      <c r="P114" s="11"/>
      <c r="Q114" s="44">
        <f t="shared" ref="Q114:Q151" si="14">(M114+N114+O114+P114)-L114</f>
        <v>20</v>
      </c>
    </row>
    <row r="115" spans="2:17">
      <c r="B115" s="11">
        <v>1113171</v>
      </c>
      <c r="C115" s="21" t="s">
        <v>88</v>
      </c>
      <c r="D115" s="30">
        <f>บ่าย!D115+'เช้า '!D115+'เย็น '!D115</f>
        <v>20</v>
      </c>
      <c r="E115" s="30">
        <f>บ่าย!E115+'เช้า '!E115+'เย็น '!E115</f>
        <v>0</v>
      </c>
      <c r="F115" s="30">
        <f>บ่าย!F115+'เช้า '!F115+'เย็น '!F115</f>
        <v>1</v>
      </c>
      <c r="G115" s="30">
        <f>บ่าย!G115+'เช้า '!G115+'เย็น '!G115</f>
        <v>0</v>
      </c>
      <c r="H115" s="30">
        <f>บ่าย!H115+'เช้า '!H115+'เย็น '!H115</f>
        <v>0</v>
      </c>
      <c r="I115" s="30">
        <f>บ่าย!I115+'เช้า '!I115+'เย็น '!I115</f>
        <v>0</v>
      </c>
      <c r="J115" s="30">
        <f>บ่าย!J115+'เช้า '!J115+'เย็น '!J115</f>
        <v>0</v>
      </c>
      <c r="K115" s="30">
        <f>บ่าย!K115+'เช้า '!K115+'เย็น '!K115</f>
        <v>0</v>
      </c>
      <c r="L115" s="36">
        <f t="shared" si="13"/>
        <v>21</v>
      </c>
      <c r="M115" s="11"/>
      <c r="N115" s="11">
        <v>37</v>
      </c>
      <c r="O115" s="11"/>
      <c r="P115" s="11"/>
      <c r="Q115" s="44">
        <f t="shared" si="14"/>
        <v>16</v>
      </c>
    </row>
    <row r="116" spans="2:17">
      <c r="B116" s="11">
        <v>1113172</v>
      </c>
      <c r="C116" s="21" t="s">
        <v>89</v>
      </c>
      <c r="D116" s="30">
        <f>บ่าย!D116+'เช้า '!D116+'เย็น '!D116</f>
        <v>0</v>
      </c>
      <c r="E116" s="30">
        <f>บ่าย!E116+'เช้า '!E116+'เย็น '!E116</f>
        <v>0</v>
      </c>
      <c r="F116" s="30">
        <f>บ่าย!F116+'เช้า '!F116+'เย็น '!F116</f>
        <v>0</v>
      </c>
      <c r="G116" s="30">
        <f>บ่าย!G116+'เช้า '!G116+'เย็น '!G116</f>
        <v>0</v>
      </c>
      <c r="H116" s="30">
        <f>บ่าย!H116+'เช้า '!H116+'เย็น '!H116</f>
        <v>0</v>
      </c>
      <c r="I116" s="30">
        <f>บ่าย!I116+'เช้า '!I116+'เย็น '!I116</f>
        <v>0</v>
      </c>
      <c r="J116" s="30">
        <f>บ่าย!J116+'เช้า '!J116+'เย็น '!J116</f>
        <v>0</v>
      </c>
      <c r="K116" s="30">
        <f>บ่าย!K116+'เช้า '!K116+'เย็น '!K116</f>
        <v>0</v>
      </c>
      <c r="L116" s="36">
        <f t="shared" si="13"/>
        <v>0</v>
      </c>
      <c r="M116" s="11"/>
      <c r="N116" s="11"/>
      <c r="O116" s="11"/>
      <c r="P116" s="11"/>
      <c r="Q116" s="44">
        <f t="shared" si="14"/>
        <v>0</v>
      </c>
    </row>
    <row r="117" spans="2:17">
      <c r="B117" s="11">
        <v>1113173</v>
      </c>
      <c r="C117" s="21" t="s">
        <v>90</v>
      </c>
      <c r="D117" s="30">
        <f>บ่าย!D117+'เช้า '!D117+'เย็น '!D117</f>
        <v>0</v>
      </c>
      <c r="E117" s="30">
        <f>บ่าย!E117+'เช้า '!E117+'เย็น '!E117</f>
        <v>0</v>
      </c>
      <c r="F117" s="30">
        <f>บ่าย!F117+'เช้า '!F117+'เย็น '!F117</f>
        <v>0</v>
      </c>
      <c r="G117" s="30">
        <f>บ่าย!G117+'เช้า '!G117+'เย็น '!G117</f>
        <v>0</v>
      </c>
      <c r="H117" s="30">
        <f>บ่าย!H117+'เช้า '!H117+'เย็น '!H117</f>
        <v>0</v>
      </c>
      <c r="I117" s="30">
        <f>บ่าย!I117+'เช้า '!I117+'เย็น '!I117</f>
        <v>0</v>
      </c>
      <c r="J117" s="30">
        <f>บ่าย!J117+'เช้า '!J117+'เย็น '!J117</f>
        <v>0</v>
      </c>
      <c r="K117" s="30">
        <f>บ่าย!K117+'เช้า '!K117+'เย็น '!K117</f>
        <v>0</v>
      </c>
      <c r="L117" s="36">
        <f t="shared" si="13"/>
        <v>0</v>
      </c>
      <c r="M117" s="11"/>
      <c r="N117" s="11"/>
      <c r="O117" s="11"/>
      <c r="P117" s="11"/>
      <c r="Q117" s="44">
        <f t="shared" si="14"/>
        <v>0</v>
      </c>
    </row>
    <row r="118" spans="2:17">
      <c r="B118" s="11">
        <v>1100003</v>
      </c>
      <c r="C118" s="21" t="s">
        <v>121</v>
      </c>
      <c r="D118" s="30">
        <f>บ่าย!D118+'เช้า '!D118+'เย็น '!D118</f>
        <v>0</v>
      </c>
      <c r="E118" s="30">
        <f>บ่าย!E118+'เช้า '!E118+'เย็น '!E118</f>
        <v>0</v>
      </c>
      <c r="F118" s="30">
        <f>บ่าย!F118+'เช้า '!F118+'เย็น '!F118</f>
        <v>0</v>
      </c>
      <c r="G118" s="30">
        <f>บ่าย!G118+'เช้า '!G118+'เย็น '!G118</f>
        <v>0</v>
      </c>
      <c r="H118" s="30">
        <f>บ่าย!H118+'เช้า '!H118+'เย็น '!H118</f>
        <v>0</v>
      </c>
      <c r="I118" s="30">
        <f>บ่าย!I118+'เช้า '!I118+'เย็น '!I118</f>
        <v>0</v>
      </c>
      <c r="J118" s="30">
        <f>บ่าย!J118+'เช้า '!J118+'เย็น '!J118</f>
        <v>0</v>
      </c>
      <c r="K118" s="30">
        <f>บ่าย!K118+'เช้า '!K118+'เย็น '!K118</f>
        <v>0</v>
      </c>
      <c r="L118" s="36">
        <f t="shared" si="13"/>
        <v>0</v>
      </c>
      <c r="M118" s="11"/>
      <c r="N118" s="11"/>
      <c r="O118" s="11"/>
      <c r="P118" s="11"/>
      <c r="Q118" s="44">
        <f t="shared" si="14"/>
        <v>0</v>
      </c>
    </row>
    <row r="119" spans="2:17">
      <c r="B119" s="11">
        <v>1100001</v>
      </c>
      <c r="C119" s="21" t="s">
        <v>122</v>
      </c>
      <c r="D119" s="30">
        <f>บ่าย!D119+'เช้า '!D119+'เย็น '!D119</f>
        <v>0</v>
      </c>
      <c r="E119" s="30">
        <f>บ่าย!E119+'เช้า '!E119+'เย็น '!E119</f>
        <v>0</v>
      </c>
      <c r="F119" s="30">
        <f>บ่าย!F119+'เช้า '!F119+'เย็น '!F119</f>
        <v>0</v>
      </c>
      <c r="G119" s="30">
        <f>บ่าย!G119+'เช้า '!G119+'เย็น '!G119</f>
        <v>0</v>
      </c>
      <c r="H119" s="30">
        <f>บ่าย!H119+'เช้า '!H119+'เย็น '!H119</f>
        <v>0</v>
      </c>
      <c r="I119" s="30">
        <f>บ่าย!I119+'เช้า '!I119+'เย็น '!I119</f>
        <v>0</v>
      </c>
      <c r="J119" s="30">
        <f>บ่าย!J119+'เช้า '!J119+'เย็น '!J119</f>
        <v>0</v>
      </c>
      <c r="K119" s="30">
        <f>บ่าย!K119+'เช้า '!K119+'เย็น '!K119</f>
        <v>0</v>
      </c>
      <c r="L119" s="36">
        <f t="shared" si="13"/>
        <v>0</v>
      </c>
      <c r="M119" s="11"/>
      <c r="N119" s="11"/>
      <c r="O119" s="11"/>
      <c r="P119" s="11"/>
      <c r="Q119" s="44">
        <f t="shared" si="14"/>
        <v>0</v>
      </c>
    </row>
    <row r="120" spans="2:17">
      <c r="B120" s="11">
        <v>1100002</v>
      </c>
      <c r="C120" s="21" t="s">
        <v>123</v>
      </c>
      <c r="D120" s="30">
        <f>บ่าย!D120+'เช้า '!D120+'เย็น '!D120</f>
        <v>0</v>
      </c>
      <c r="E120" s="30">
        <f>บ่าย!E120+'เช้า '!E120+'เย็น '!E120</f>
        <v>0</v>
      </c>
      <c r="F120" s="30">
        <f>บ่าย!F120+'เช้า '!F120+'เย็น '!F120</f>
        <v>0</v>
      </c>
      <c r="G120" s="30">
        <f>บ่าย!G120+'เช้า '!G120+'เย็น '!G120</f>
        <v>0</v>
      </c>
      <c r="H120" s="30">
        <f>บ่าย!H120+'เช้า '!H120+'เย็น '!H120</f>
        <v>0</v>
      </c>
      <c r="I120" s="30">
        <f>บ่าย!I120+'เช้า '!I120+'เย็น '!I120</f>
        <v>0</v>
      </c>
      <c r="J120" s="30">
        <f>บ่าย!J120+'เช้า '!J120+'เย็น '!J120</f>
        <v>0</v>
      </c>
      <c r="K120" s="30">
        <f>บ่าย!K120+'เช้า '!K120+'เย็น '!K120</f>
        <v>0</v>
      </c>
      <c r="L120" s="36">
        <f t="shared" si="13"/>
        <v>0</v>
      </c>
      <c r="M120" s="11"/>
      <c r="N120" s="11"/>
      <c r="O120" s="11"/>
      <c r="P120" s="11"/>
      <c r="Q120" s="44">
        <f t="shared" si="14"/>
        <v>0</v>
      </c>
    </row>
    <row r="121" spans="2:17">
      <c r="B121" s="11">
        <v>1200001</v>
      </c>
      <c r="C121" s="21" t="s">
        <v>93</v>
      </c>
      <c r="D121" s="30">
        <f>บ่าย!D121+'เช้า '!D121+'เย็น '!D121</f>
        <v>0</v>
      </c>
      <c r="E121" s="30">
        <f>บ่าย!E121+'เช้า '!E121+'เย็น '!E121</f>
        <v>0</v>
      </c>
      <c r="F121" s="30">
        <f>บ่าย!F121+'เช้า '!F121+'เย็น '!F121</f>
        <v>0</v>
      </c>
      <c r="G121" s="30">
        <f>บ่าย!G121+'เช้า '!G121+'เย็น '!G121</f>
        <v>0</v>
      </c>
      <c r="H121" s="30">
        <f>บ่าย!H121+'เช้า '!H121+'เย็น '!H121</f>
        <v>0</v>
      </c>
      <c r="I121" s="30">
        <f>บ่าย!I121+'เช้า '!I121+'เย็น '!I121</f>
        <v>0</v>
      </c>
      <c r="J121" s="30">
        <f>บ่าย!J121+'เช้า '!J121+'เย็น '!J121</f>
        <v>0</v>
      </c>
      <c r="K121" s="30">
        <f>บ่าย!K121+'เช้า '!K121+'เย็น '!K121</f>
        <v>0</v>
      </c>
      <c r="L121" s="36">
        <f t="shared" si="13"/>
        <v>0</v>
      </c>
      <c r="M121" s="11"/>
      <c r="N121" s="11"/>
      <c r="O121" s="11"/>
      <c r="P121" s="11"/>
      <c r="Q121" s="44">
        <f t="shared" si="14"/>
        <v>0</v>
      </c>
    </row>
    <row r="122" spans="2:17">
      <c r="B122" s="11">
        <v>1005761</v>
      </c>
      <c r="C122" s="21" t="s">
        <v>94</v>
      </c>
      <c r="D122" s="30">
        <f>บ่าย!D122+'เช้า '!D122+'เย็น '!D122</f>
        <v>0</v>
      </c>
      <c r="E122" s="30">
        <f>บ่าย!E122+'เช้า '!E122+'เย็น '!E122</f>
        <v>0</v>
      </c>
      <c r="F122" s="30">
        <f>บ่าย!F122+'เช้า '!F122+'เย็น '!F122</f>
        <v>0</v>
      </c>
      <c r="G122" s="30">
        <f>บ่าย!G122+'เช้า '!G122+'เย็น '!G122</f>
        <v>0</v>
      </c>
      <c r="H122" s="30">
        <f>บ่าย!H122+'เช้า '!H122+'เย็น '!H122</f>
        <v>0</v>
      </c>
      <c r="I122" s="30">
        <f>บ่าย!I122+'เช้า '!I122+'เย็น '!I122</f>
        <v>0</v>
      </c>
      <c r="J122" s="30">
        <f>บ่าย!J122+'เช้า '!J122+'เย็น '!J122</f>
        <v>0</v>
      </c>
      <c r="K122" s="30">
        <f>บ่าย!K122+'เช้า '!K122+'เย็น '!K122</f>
        <v>0</v>
      </c>
      <c r="L122" s="36">
        <f t="shared" si="13"/>
        <v>0</v>
      </c>
      <c r="M122" s="11"/>
      <c r="N122" s="11"/>
      <c r="O122" s="11"/>
      <c r="P122" s="11"/>
      <c r="Q122" s="44">
        <f t="shared" si="14"/>
        <v>0</v>
      </c>
    </row>
    <row r="123" spans="2:17">
      <c r="B123" s="11">
        <v>1114501</v>
      </c>
      <c r="C123" s="21" t="s">
        <v>95</v>
      </c>
      <c r="D123" s="30">
        <f>บ่าย!D123+'เช้า '!D123+'เย็น '!D123</f>
        <v>1</v>
      </c>
      <c r="E123" s="30">
        <f>บ่าย!E123+'เช้า '!E123+'เย็น '!E123</f>
        <v>8</v>
      </c>
      <c r="F123" s="30">
        <f>บ่าย!F123+'เช้า '!F123+'เย็น '!F123</f>
        <v>6</v>
      </c>
      <c r="G123" s="30">
        <f>บ่าย!G123+'เช้า '!G123+'เย็น '!G123</f>
        <v>73</v>
      </c>
      <c r="H123" s="30">
        <f>บ่าย!H123+'เช้า '!H123+'เย็น '!H123</f>
        <v>0</v>
      </c>
      <c r="I123" s="30">
        <f>บ่าย!I123+'เช้า '!I123+'เย็น '!I123</f>
        <v>0</v>
      </c>
      <c r="J123" s="30">
        <f>บ่าย!J123+'เช้า '!J123+'เย็น '!J123</f>
        <v>0</v>
      </c>
      <c r="K123" s="30">
        <f>บ่าย!K123+'เช้า '!K123+'เย็น '!K123</f>
        <v>0</v>
      </c>
      <c r="L123" s="36">
        <f t="shared" si="13"/>
        <v>88</v>
      </c>
      <c r="M123" s="11">
        <v>92</v>
      </c>
      <c r="N123" s="11">
        <v>63</v>
      </c>
      <c r="O123" s="11"/>
      <c r="P123" s="11"/>
      <c r="Q123" s="44">
        <f t="shared" si="14"/>
        <v>67</v>
      </c>
    </row>
    <row r="124" spans="2:17">
      <c r="B124" s="11">
        <v>1114502</v>
      </c>
      <c r="C124" s="21" t="s">
        <v>96</v>
      </c>
      <c r="D124" s="30">
        <f>บ่าย!D124+'เช้า '!D124+'เย็น '!D124</f>
        <v>1</v>
      </c>
      <c r="E124" s="30">
        <f>บ่าย!E124+'เช้า '!E124+'เย็น '!E124</f>
        <v>0</v>
      </c>
      <c r="F124" s="30">
        <f>บ่าย!F124+'เช้า '!F124+'เย็น '!F124</f>
        <v>7</v>
      </c>
      <c r="G124" s="30">
        <f>บ่าย!G124+'เช้า '!G124+'เย็น '!G124</f>
        <v>70</v>
      </c>
      <c r="H124" s="30">
        <f>บ่าย!H124+'เช้า '!H124+'เย็น '!H124</f>
        <v>0</v>
      </c>
      <c r="I124" s="30">
        <f>บ่าย!I124+'เช้า '!I124+'เย็น '!I124</f>
        <v>0</v>
      </c>
      <c r="J124" s="30">
        <f>บ่าย!J124+'เช้า '!J124+'เย็น '!J124</f>
        <v>0</v>
      </c>
      <c r="K124" s="30">
        <f>บ่าย!K124+'เช้า '!K124+'เย็น '!K124</f>
        <v>0</v>
      </c>
      <c r="L124" s="36">
        <f t="shared" si="13"/>
        <v>78</v>
      </c>
      <c r="M124" s="11">
        <v>75</v>
      </c>
      <c r="N124" s="11">
        <v>80</v>
      </c>
      <c r="O124" s="11"/>
      <c r="P124" s="11"/>
      <c r="Q124" s="44">
        <f t="shared" si="14"/>
        <v>77</v>
      </c>
    </row>
    <row r="125" spans="2:17">
      <c r="B125" s="11">
        <v>1114503</v>
      </c>
      <c r="C125" s="21" t="s">
        <v>97</v>
      </c>
      <c r="D125" s="30">
        <f>บ่าย!D125+'เช้า '!D125+'เย็น '!D125</f>
        <v>1</v>
      </c>
      <c r="E125" s="30">
        <f>บ่าย!E125+'เช้า '!E125+'เย็น '!E125</f>
        <v>1</v>
      </c>
      <c r="F125" s="30">
        <f>บ่าย!F125+'เช้า '!F125+'เย็น '!F125</f>
        <v>4</v>
      </c>
      <c r="G125" s="30">
        <f>บ่าย!G125+'เช้า '!G125+'เย็น '!G125</f>
        <v>73</v>
      </c>
      <c r="H125" s="30">
        <f>บ่าย!H125+'เช้า '!H125+'เย็น '!H125</f>
        <v>0</v>
      </c>
      <c r="I125" s="30">
        <f>บ่าย!I125+'เช้า '!I125+'เย็น '!I125</f>
        <v>0</v>
      </c>
      <c r="J125" s="30">
        <f>บ่าย!J125+'เช้า '!J125+'เย็น '!J125</f>
        <v>0</v>
      </c>
      <c r="K125" s="30">
        <f>บ่าย!K125+'เช้า '!K125+'เย็น '!K125</f>
        <v>0</v>
      </c>
      <c r="L125" s="36">
        <f t="shared" si="13"/>
        <v>79</v>
      </c>
      <c r="M125" s="11">
        <v>137</v>
      </c>
      <c r="N125" s="11">
        <v>18</v>
      </c>
      <c r="O125" s="11"/>
      <c r="P125" s="11"/>
      <c r="Q125" s="44">
        <f t="shared" si="14"/>
        <v>76</v>
      </c>
    </row>
    <row r="126" spans="2:17">
      <c r="B126" s="11">
        <v>1124021</v>
      </c>
      <c r="C126" s="21" t="s">
        <v>98</v>
      </c>
      <c r="D126" s="30">
        <f>บ่าย!D126+'เช้า '!D126+'เย็น '!D126</f>
        <v>0</v>
      </c>
      <c r="E126" s="30">
        <f>บ่าย!E126+'เช้า '!E126+'เย็น '!E126</f>
        <v>10</v>
      </c>
      <c r="F126" s="30">
        <f>บ่าย!F126+'เช้า '!F126+'เย็น '!F126</f>
        <v>2</v>
      </c>
      <c r="G126" s="30">
        <f>บ่าย!G126+'เช้า '!G126+'เย็น '!G126</f>
        <v>2</v>
      </c>
      <c r="H126" s="30">
        <f>บ่าย!H126+'เช้า '!H126+'เย็น '!H126</f>
        <v>0</v>
      </c>
      <c r="I126" s="30">
        <f>บ่าย!I126+'เช้า '!I126+'เย็น '!I126</f>
        <v>0</v>
      </c>
      <c r="J126" s="30">
        <f>บ่าย!J126+'เช้า '!J126+'เย็น '!J126</f>
        <v>0</v>
      </c>
      <c r="K126" s="30">
        <f>บ่าย!K126+'เช้า '!K126+'เย็น '!K126</f>
        <v>0</v>
      </c>
      <c r="L126" s="36">
        <f t="shared" si="13"/>
        <v>14</v>
      </c>
      <c r="M126" s="11">
        <v>40</v>
      </c>
      <c r="N126" s="11">
        <v>9</v>
      </c>
      <c r="O126" s="11"/>
      <c r="P126" s="11">
        <v>40</v>
      </c>
      <c r="Q126" s="44">
        <f t="shared" si="14"/>
        <v>75</v>
      </c>
    </row>
    <row r="127" spans="2:17">
      <c r="B127" s="11">
        <v>1113084</v>
      </c>
      <c r="C127" s="21" t="s">
        <v>99</v>
      </c>
      <c r="D127" s="30">
        <f>บ่าย!D127+'เช้า '!D127+'เย็น '!D127</f>
        <v>0</v>
      </c>
      <c r="E127" s="30">
        <f>บ่าย!E127+'เช้า '!E127+'เย็น '!E127</f>
        <v>0</v>
      </c>
      <c r="F127" s="30">
        <f>บ่าย!F127+'เช้า '!F127+'เย็น '!F127</f>
        <v>0</v>
      </c>
      <c r="G127" s="30">
        <f>บ่าย!G127+'เช้า '!G127+'เย็น '!G127</f>
        <v>0</v>
      </c>
      <c r="H127" s="30">
        <f>บ่าย!H127+'เช้า '!H127+'เย็น '!H127</f>
        <v>0</v>
      </c>
      <c r="I127" s="30">
        <f>บ่าย!I127+'เช้า '!I127+'เย็น '!I127</f>
        <v>0</v>
      </c>
      <c r="J127" s="30">
        <f>บ่าย!J127+'เช้า '!J127+'เย็น '!J127</f>
        <v>0</v>
      </c>
      <c r="K127" s="30">
        <f>บ่าย!K127+'เช้า '!K127+'เย็น '!K127</f>
        <v>0</v>
      </c>
      <c r="L127" s="36">
        <f t="shared" si="13"/>
        <v>0</v>
      </c>
      <c r="M127" s="11"/>
      <c r="N127" s="11"/>
      <c r="O127" s="11"/>
      <c r="P127" s="11"/>
      <c r="Q127" s="44">
        <f t="shared" si="14"/>
        <v>0</v>
      </c>
    </row>
    <row r="128" spans="2:17">
      <c r="B128" s="11">
        <v>900003</v>
      </c>
      <c r="C128" s="21" t="s">
        <v>132</v>
      </c>
      <c r="D128" s="30">
        <f>บ่าย!D128+'เช้า '!D128+'เย็น '!D128</f>
        <v>0</v>
      </c>
      <c r="E128" s="30">
        <f>บ่าย!E128+'เช้า '!E128+'เย็น '!E128</f>
        <v>0</v>
      </c>
      <c r="F128" s="30">
        <f>บ่าย!F128+'เช้า '!F128+'เย็น '!F128</f>
        <v>0</v>
      </c>
      <c r="G128" s="30">
        <f>บ่าย!G128+'เช้า '!G128+'เย็น '!G128</f>
        <v>0</v>
      </c>
      <c r="H128" s="30">
        <f>บ่าย!H128+'เช้า '!H128+'เย็น '!H128</f>
        <v>0</v>
      </c>
      <c r="I128" s="30">
        <f>บ่าย!I128+'เช้า '!I128+'เย็น '!I128</f>
        <v>0</v>
      </c>
      <c r="J128" s="30">
        <f>บ่าย!J128+'เช้า '!J128+'เย็น '!J128</f>
        <v>0</v>
      </c>
      <c r="K128" s="30">
        <f>บ่าย!K128+'เช้า '!K128+'เย็น '!K128</f>
        <v>0</v>
      </c>
      <c r="L128" s="36">
        <f t="shared" si="13"/>
        <v>0</v>
      </c>
      <c r="M128" s="11"/>
      <c r="N128" s="11"/>
      <c r="O128" s="11"/>
      <c r="P128" s="11"/>
      <c r="Q128" s="44">
        <f t="shared" si="14"/>
        <v>0</v>
      </c>
    </row>
    <row r="129" spans="2:18">
      <c r="B129" s="11">
        <v>900004</v>
      </c>
      <c r="C129" s="21" t="s">
        <v>100</v>
      </c>
      <c r="D129" s="30">
        <f>บ่าย!D129+'เช้า '!D129+'เย็น '!D129</f>
        <v>0</v>
      </c>
      <c r="E129" s="30">
        <f>บ่าย!E129+'เช้า '!E129+'เย็น '!E129</f>
        <v>0</v>
      </c>
      <c r="F129" s="30">
        <f>บ่าย!F129+'เช้า '!F129+'เย็น '!F129</f>
        <v>0</v>
      </c>
      <c r="G129" s="30">
        <f>บ่าย!G129+'เช้า '!G129+'เย็น '!G129</f>
        <v>0</v>
      </c>
      <c r="H129" s="30">
        <f>บ่าย!H129+'เช้า '!H129+'เย็น '!H129</f>
        <v>0</v>
      </c>
      <c r="I129" s="30">
        <f>บ่าย!I129+'เช้า '!I129+'เย็น '!I129</f>
        <v>0</v>
      </c>
      <c r="J129" s="30">
        <f>บ่าย!J129+'เช้า '!J129+'เย็น '!J129</f>
        <v>0</v>
      </c>
      <c r="K129" s="30">
        <f>บ่าย!K129+'เช้า '!K129+'เย็น '!K129</f>
        <v>0</v>
      </c>
      <c r="L129" s="36">
        <f t="shared" si="13"/>
        <v>0</v>
      </c>
      <c r="M129" s="11"/>
      <c r="N129" s="11"/>
      <c r="O129" s="11"/>
      <c r="P129" s="11"/>
      <c r="Q129" s="44">
        <f t="shared" si="14"/>
        <v>0</v>
      </c>
    </row>
    <row r="130" spans="2:18">
      <c r="B130" s="11">
        <v>1200002</v>
      </c>
      <c r="C130" s="21" t="s">
        <v>101</v>
      </c>
      <c r="D130" s="30">
        <f>บ่าย!D130+'เช้า '!D130+'เย็น '!D130</f>
        <v>0</v>
      </c>
      <c r="E130" s="30">
        <f>บ่าย!E130+'เช้า '!E130+'เย็น '!E130</f>
        <v>0</v>
      </c>
      <c r="F130" s="30">
        <f>บ่าย!F130+'เช้า '!F130+'เย็น '!F130</f>
        <v>0</v>
      </c>
      <c r="G130" s="30">
        <f>บ่าย!G130+'เช้า '!G130+'เย็น '!G130</f>
        <v>0</v>
      </c>
      <c r="H130" s="30">
        <f>บ่าย!H130+'เช้า '!H130+'เย็น '!H130</f>
        <v>0</v>
      </c>
      <c r="I130" s="30">
        <f>บ่าย!I130+'เช้า '!I130+'เย็น '!I130</f>
        <v>0</v>
      </c>
      <c r="J130" s="30">
        <f>บ่าย!J130+'เช้า '!J130+'เย็น '!J130</f>
        <v>0</v>
      </c>
      <c r="K130" s="30">
        <f>บ่าย!K130+'เช้า '!K130+'เย็น '!K130</f>
        <v>0</v>
      </c>
      <c r="L130" s="36">
        <f t="shared" si="13"/>
        <v>0</v>
      </c>
      <c r="M130" s="11"/>
      <c r="N130" s="11"/>
      <c r="O130" s="11"/>
      <c r="P130" s="11"/>
      <c r="Q130" s="44">
        <f t="shared" si="14"/>
        <v>0</v>
      </c>
    </row>
    <row r="131" spans="2:18">
      <c r="B131" s="11">
        <v>1200003</v>
      </c>
      <c r="C131" s="21" t="s">
        <v>102</v>
      </c>
      <c r="D131" s="30">
        <f>บ่าย!D131+'เช้า '!D131+'เย็น '!D131</f>
        <v>0</v>
      </c>
      <c r="E131" s="30">
        <f>บ่าย!E131+'เช้า '!E131+'เย็น '!E131</f>
        <v>0</v>
      </c>
      <c r="F131" s="30">
        <f>บ่าย!F131+'เช้า '!F131+'เย็น '!F131</f>
        <v>0</v>
      </c>
      <c r="G131" s="30">
        <f>บ่าย!G131+'เช้า '!G131+'เย็น '!G131</f>
        <v>0</v>
      </c>
      <c r="H131" s="30">
        <f>บ่าย!H131+'เช้า '!H131+'เย็น '!H131</f>
        <v>0</v>
      </c>
      <c r="I131" s="30">
        <f>บ่าย!I131+'เช้า '!I131+'เย็น '!I131</f>
        <v>0</v>
      </c>
      <c r="J131" s="30">
        <f>บ่าย!J131+'เช้า '!J131+'เย็น '!J131</f>
        <v>0</v>
      </c>
      <c r="K131" s="30">
        <f>บ่าย!K131+'เช้า '!K131+'เย็น '!K131</f>
        <v>0</v>
      </c>
      <c r="L131" s="36">
        <f t="shared" si="13"/>
        <v>0</v>
      </c>
      <c r="M131" s="11"/>
      <c r="N131" s="11"/>
      <c r="O131" s="11"/>
      <c r="P131" s="11"/>
      <c r="Q131" s="44">
        <f t="shared" si="14"/>
        <v>0</v>
      </c>
    </row>
    <row r="132" spans="2:18">
      <c r="B132" s="11">
        <v>1200004</v>
      </c>
      <c r="C132" s="21" t="s">
        <v>103</v>
      </c>
      <c r="D132" s="30">
        <f>บ่าย!D132+'เช้า '!D132+'เย็น '!D132</f>
        <v>0</v>
      </c>
      <c r="E132" s="30">
        <f>บ่าย!E132+'เช้า '!E132+'เย็น '!E132</f>
        <v>0</v>
      </c>
      <c r="F132" s="30">
        <f>บ่าย!F132+'เช้า '!F132+'เย็น '!F132</f>
        <v>0</v>
      </c>
      <c r="G132" s="30">
        <f>บ่าย!G132+'เช้า '!G132+'เย็น '!G132</f>
        <v>0</v>
      </c>
      <c r="H132" s="30">
        <f>บ่าย!H132+'เช้า '!H132+'เย็น '!H132</f>
        <v>0</v>
      </c>
      <c r="I132" s="30">
        <f>บ่าย!I132+'เช้า '!I132+'เย็น '!I132</f>
        <v>0</v>
      </c>
      <c r="J132" s="30">
        <f>บ่าย!J132+'เช้า '!J132+'เย็น '!J132</f>
        <v>0</v>
      </c>
      <c r="K132" s="30">
        <f>บ่าย!K132+'เช้า '!K132+'เย็น '!K132</f>
        <v>0</v>
      </c>
      <c r="L132" s="36">
        <f t="shared" si="13"/>
        <v>0</v>
      </c>
      <c r="M132" s="11"/>
      <c r="N132" s="11"/>
      <c r="O132" s="11"/>
      <c r="P132" s="11"/>
      <c r="Q132" s="44">
        <f t="shared" si="14"/>
        <v>0</v>
      </c>
    </row>
    <row r="133" spans="2:18">
      <c r="B133" s="11">
        <v>1200093</v>
      </c>
      <c r="C133" s="21" t="s">
        <v>91</v>
      </c>
      <c r="D133" s="30">
        <f>บ่าย!D133+'เช้า '!D133+'เย็น '!D133</f>
        <v>0</v>
      </c>
      <c r="E133" s="30">
        <f>บ่าย!E133+'เช้า '!E133+'เย็น '!E133</f>
        <v>0</v>
      </c>
      <c r="F133" s="30">
        <f>บ่าย!F133+'เช้า '!F133+'เย็น '!F133</f>
        <v>0</v>
      </c>
      <c r="G133" s="30">
        <f>บ่าย!G133+'เช้า '!G133+'เย็น '!G133</f>
        <v>0</v>
      </c>
      <c r="H133" s="30">
        <f>บ่าย!H133+'เช้า '!H133+'เย็น '!H133</f>
        <v>0</v>
      </c>
      <c r="I133" s="30">
        <f>บ่าย!I133+'เช้า '!I133+'เย็น '!I133</f>
        <v>0</v>
      </c>
      <c r="J133" s="30">
        <f>บ่าย!J133+'เช้า '!J133+'เย็น '!J133</f>
        <v>0</v>
      </c>
      <c r="K133" s="30">
        <f>บ่าย!K133+'เช้า '!K133+'เย็น '!K133</f>
        <v>0</v>
      </c>
      <c r="L133" s="36">
        <f t="shared" si="13"/>
        <v>0</v>
      </c>
      <c r="M133" s="11"/>
      <c r="N133" s="11"/>
      <c r="O133" s="11"/>
      <c r="P133" s="11"/>
      <c r="Q133" s="44">
        <f t="shared" si="14"/>
        <v>0</v>
      </c>
    </row>
    <row r="134" spans="2:18">
      <c r="B134" s="11">
        <v>1200092</v>
      </c>
      <c r="C134" s="19" t="s">
        <v>92</v>
      </c>
      <c r="D134" s="30">
        <f>บ่าย!D134+'เช้า '!D134+'เย็น '!D134</f>
        <v>0</v>
      </c>
      <c r="E134" s="30">
        <f>บ่าย!E134+'เช้า '!E134+'เย็น '!E134</f>
        <v>0</v>
      </c>
      <c r="F134" s="30">
        <f>บ่าย!F134+'เช้า '!F134+'เย็น '!F134</f>
        <v>0</v>
      </c>
      <c r="G134" s="30">
        <f>บ่าย!G134+'เช้า '!G134+'เย็น '!G134</f>
        <v>0</v>
      </c>
      <c r="H134" s="30">
        <f>บ่าย!H134+'เช้า '!H134+'เย็น '!H134</f>
        <v>0</v>
      </c>
      <c r="I134" s="30">
        <f>บ่าย!I134+'เช้า '!I134+'เย็น '!I134</f>
        <v>0</v>
      </c>
      <c r="J134" s="30">
        <f>บ่าย!J134+'เช้า '!J134+'เย็น '!J134</f>
        <v>0</v>
      </c>
      <c r="K134" s="30">
        <f>บ่าย!K134+'เช้า '!K134+'เย็น '!K134</f>
        <v>0</v>
      </c>
      <c r="L134" s="36">
        <f t="shared" si="13"/>
        <v>0</v>
      </c>
      <c r="M134" s="11"/>
      <c r="N134" s="11"/>
      <c r="O134" s="11"/>
      <c r="P134" s="11"/>
      <c r="Q134" s="44">
        <f t="shared" si="14"/>
        <v>0</v>
      </c>
    </row>
    <row r="135" spans="2:18">
      <c r="B135" s="22"/>
      <c r="C135" s="21" t="s">
        <v>124</v>
      </c>
      <c r="D135" s="30">
        <f>บ่าย!D135+'เช้า '!D135+'เย็น '!D135</f>
        <v>0</v>
      </c>
      <c r="E135" s="30">
        <f>บ่าย!E135+'เช้า '!E135+'เย็น '!E135</f>
        <v>0</v>
      </c>
      <c r="F135" s="30">
        <f>บ่าย!F135+'เช้า '!F135+'เย็น '!F135</f>
        <v>0</v>
      </c>
      <c r="G135" s="30">
        <f>บ่าย!G135+'เช้า '!G135+'เย็น '!G135</f>
        <v>0</v>
      </c>
      <c r="H135" s="30">
        <f>บ่าย!H135+'เช้า '!H135+'เย็น '!H135</f>
        <v>0</v>
      </c>
      <c r="I135" s="30">
        <f>บ่าย!I135+'เช้า '!I135+'เย็น '!I135</f>
        <v>0</v>
      </c>
      <c r="J135" s="30">
        <f>บ่าย!J135+'เช้า '!J135+'เย็น '!J135</f>
        <v>0</v>
      </c>
      <c r="K135" s="30">
        <f>บ่าย!K135+'เช้า '!K135+'เย็น '!K135</f>
        <v>0</v>
      </c>
      <c r="L135" s="36">
        <f t="shared" si="13"/>
        <v>0</v>
      </c>
      <c r="M135" s="11"/>
      <c r="N135" s="11"/>
      <c r="O135" s="11"/>
      <c r="P135" s="11"/>
      <c r="Q135" s="44">
        <f t="shared" si="14"/>
        <v>0</v>
      </c>
    </row>
    <row r="136" spans="2:18">
      <c r="B136" s="22"/>
      <c r="C136" s="21" t="s">
        <v>125</v>
      </c>
      <c r="D136" s="30">
        <f>บ่าย!D136+'เช้า '!D136+'เย็น '!D136</f>
        <v>0</v>
      </c>
      <c r="E136" s="30">
        <f>บ่าย!E136+'เช้า '!E136+'เย็น '!E136</f>
        <v>2</v>
      </c>
      <c r="F136" s="30">
        <f>บ่าย!F136+'เช้า '!F136+'เย็น '!F136</f>
        <v>0</v>
      </c>
      <c r="G136" s="30">
        <f>บ่าย!G136+'เช้า '!G136+'เย็น '!G136</f>
        <v>0</v>
      </c>
      <c r="H136" s="30">
        <f>บ่าย!H136+'เช้า '!H136+'เย็น '!H136</f>
        <v>0</v>
      </c>
      <c r="I136" s="30">
        <f>บ่าย!I136+'เช้า '!I136+'เย็น '!I136</f>
        <v>0</v>
      </c>
      <c r="J136" s="30">
        <f>บ่าย!J136+'เช้า '!J136+'เย็น '!J136</f>
        <v>0</v>
      </c>
      <c r="K136" s="30">
        <f>บ่าย!K136+'เช้า '!K136+'เย็น '!K136</f>
        <v>0</v>
      </c>
      <c r="L136" s="36">
        <f t="shared" si="13"/>
        <v>2</v>
      </c>
      <c r="M136" s="11"/>
      <c r="N136" s="11"/>
      <c r="O136" s="11"/>
      <c r="P136" s="11"/>
      <c r="Q136" s="44">
        <f t="shared" si="14"/>
        <v>-2</v>
      </c>
    </row>
    <row r="137" spans="2:18">
      <c r="B137" s="22">
        <v>20052721</v>
      </c>
      <c r="C137" s="21" t="s">
        <v>142</v>
      </c>
      <c r="D137" s="30">
        <f>บ่าย!D137+'เช้า '!D137+'เย็น '!D137</f>
        <v>0</v>
      </c>
      <c r="E137" s="30">
        <f>บ่าย!E137+'เช้า '!E137+'เย็น '!E137</f>
        <v>0</v>
      </c>
      <c r="F137" s="30">
        <f>บ่าย!F137+'เช้า '!F137+'เย็น '!F137</f>
        <v>0</v>
      </c>
      <c r="G137" s="30">
        <f>บ่าย!G137+'เช้า '!G137+'เย็น '!G137</f>
        <v>0</v>
      </c>
      <c r="H137" s="30">
        <f>บ่าย!H137+'เช้า '!H137+'เย็น '!H137</f>
        <v>0</v>
      </c>
      <c r="I137" s="30">
        <f>บ่าย!I137+'เช้า '!I137+'เย็น '!I137</f>
        <v>0</v>
      </c>
      <c r="J137" s="30">
        <f>บ่าย!J137+'เช้า '!J137+'เย็น '!J137</f>
        <v>0</v>
      </c>
      <c r="K137" s="30">
        <f>บ่าย!K137+'เช้า '!K137+'เย็น '!K137</f>
        <v>0</v>
      </c>
      <c r="L137" s="36">
        <f t="shared" si="13"/>
        <v>0</v>
      </c>
      <c r="M137" s="11"/>
      <c r="N137" s="11"/>
      <c r="O137" s="11"/>
      <c r="P137" s="11"/>
      <c r="Q137" s="44">
        <f t="shared" si="14"/>
        <v>0</v>
      </c>
    </row>
    <row r="138" spans="2:18">
      <c r="B138" s="50">
        <v>1004046</v>
      </c>
      <c r="C138" s="49" t="s">
        <v>143</v>
      </c>
      <c r="D138" s="30">
        <f>บ่าย!D138+'เช้า '!D138+'เย็น '!D138</f>
        <v>0</v>
      </c>
      <c r="E138" s="30">
        <f>บ่าย!E138+'เช้า '!E138+'เย็น '!E138</f>
        <v>0</v>
      </c>
      <c r="F138" s="30">
        <f>บ่าย!F138+'เช้า '!F138+'เย็น '!F138</f>
        <v>0</v>
      </c>
      <c r="G138" s="30">
        <f>บ่าย!G138+'เช้า '!G138+'เย็น '!G138</f>
        <v>0</v>
      </c>
      <c r="H138" s="30">
        <f>บ่าย!H138+'เช้า '!H138+'เย็น '!H138</f>
        <v>0</v>
      </c>
      <c r="I138" s="30">
        <f>บ่าย!I138+'เช้า '!I138+'เย็น '!I138</f>
        <v>0</v>
      </c>
      <c r="J138" s="30">
        <f>บ่าย!J138+'เช้า '!J138+'เย็น '!J138</f>
        <v>0</v>
      </c>
      <c r="K138" s="30">
        <f>บ่าย!K138+'เช้า '!K138+'เย็น '!K138</f>
        <v>0</v>
      </c>
      <c r="L138" s="36">
        <f t="shared" si="13"/>
        <v>0</v>
      </c>
      <c r="M138" s="11"/>
      <c r="N138" s="11"/>
      <c r="O138" s="11"/>
      <c r="P138" s="11"/>
      <c r="Q138" s="44">
        <f t="shared" si="14"/>
        <v>0</v>
      </c>
    </row>
    <row r="139" spans="2:18">
      <c r="B139" s="50"/>
      <c r="C139" s="49" t="s">
        <v>138</v>
      </c>
      <c r="D139" s="30">
        <f>บ่าย!D139+'เช้า '!D139+'เย็น '!D139</f>
        <v>0</v>
      </c>
      <c r="E139" s="30">
        <f>บ่าย!E139+'เช้า '!E139+'เย็น '!E139</f>
        <v>0</v>
      </c>
      <c r="F139" s="30">
        <f>บ่าย!F139+'เช้า '!F139+'เย็น '!F139</f>
        <v>0</v>
      </c>
      <c r="G139" s="30">
        <f>บ่าย!G139+'เช้า '!G139+'เย็น '!G139</f>
        <v>0</v>
      </c>
      <c r="H139" s="30">
        <f>บ่าย!H139+'เช้า '!H139+'เย็น '!H139</f>
        <v>0</v>
      </c>
      <c r="I139" s="30">
        <f>บ่าย!I139+'เช้า '!I139+'เย็น '!I139</f>
        <v>0</v>
      </c>
      <c r="J139" s="30">
        <f>บ่าย!J139+'เช้า '!J139+'เย็น '!J139</f>
        <v>0</v>
      </c>
      <c r="K139" s="30">
        <f>บ่าย!K139+'เช้า '!K139+'เย็น '!K139</f>
        <v>0</v>
      </c>
      <c r="L139" s="36">
        <f t="shared" si="13"/>
        <v>0</v>
      </c>
      <c r="M139" s="11"/>
      <c r="N139" s="11"/>
      <c r="O139" s="11"/>
      <c r="P139" s="11"/>
      <c r="Q139" s="44">
        <f t="shared" si="14"/>
        <v>0</v>
      </c>
    </row>
    <row r="140" spans="2:18">
      <c r="B140" s="58"/>
      <c r="C140" s="59" t="s">
        <v>139</v>
      </c>
      <c r="D140" s="30">
        <f>บ่าย!D140+'เช้า '!D140+'เย็น '!D140</f>
        <v>0</v>
      </c>
      <c r="E140" s="30">
        <f>บ่าย!E140+'เช้า '!E140+'เย็น '!E140</f>
        <v>0</v>
      </c>
      <c r="F140" s="30">
        <f>บ่าย!F140+'เช้า '!F140+'เย็น '!F140</f>
        <v>0</v>
      </c>
      <c r="G140" s="30">
        <f>บ่าย!G140+'เช้า '!G140+'เย็น '!G140</f>
        <v>0</v>
      </c>
      <c r="H140" s="30">
        <f>บ่าย!H140+'เช้า '!H140+'เย็น '!H140</f>
        <v>0</v>
      </c>
      <c r="I140" s="30">
        <f>บ่าย!I140+'เช้า '!I140+'เย็น '!I140</f>
        <v>0</v>
      </c>
      <c r="J140" s="30">
        <f>บ่าย!J140+'เช้า '!J140+'เย็น '!J140</f>
        <v>0</v>
      </c>
      <c r="K140" s="30">
        <f>บ่าย!K140+'เช้า '!K140+'เย็น '!K140</f>
        <v>0</v>
      </c>
      <c r="L140" s="36"/>
      <c r="M140" s="57"/>
      <c r="N140" s="57"/>
      <c r="O140" s="57"/>
      <c r="P140" s="57"/>
      <c r="Q140" s="44">
        <f t="shared" si="14"/>
        <v>0</v>
      </c>
    </row>
    <row r="141" spans="2:18">
      <c r="B141" s="50">
        <v>20059548</v>
      </c>
      <c r="C141" s="49" t="s">
        <v>144</v>
      </c>
      <c r="D141" s="30">
        <f>บ่าย!D141+'เช้า '!D141+'เย็น '!D141</f>
        <v>0</v>
      </c>
      <c r="E141" s="30">
        <f>บ่าย!E141+'เช้า '!E141+'เย็น '!E141</f>
        <v>0</v>
      </c>
      <c r="F141" s="30">
        <f>บ่าย!F141+'เช้า '!F141+'เย็น '!F141</f>
        <v>0</v>
      </c>
      <c r="G141" s="30">
        <f>บ่าย!G141+'เช้า '!G141+'เย็น '!G141</f>
        <v>0</v>
      </c>
      <c r="H141" s="30">
        <f>บ่าย!H141+'เช้า '!H141+'เย็น '!H141</f>
        <v>0</v>
      </c>
      <c r="I141" s="30">
        <f>บ่าย!I141+'เช้า '!I141+'เย็น '!I141</f>
        <v>0</v>
      </c>
      <c r="J141" s="30">
        <f>บ่าย!J141+'เช้า '!J141+'เย็น '!J141</f>
        <v>0</v>
      </c>
      <c r="K141" s="30">
        <f>บ่าย!K141+'เช้า '!K141+'เย็น '!K141</f>
        <v>0</v>
      </c>
      <c r="L141" s="36"/>
      <c r="M141" s="11"/>
      <c r="N141" s="11"/>
      <c r="O141" s="11"/>
      <c r="P141" s="11"/>
      <c r="Q141" s="44">
        <f t="shared" si="14"/>
        <v>0</v>
      </c>
      <c r="R141" s="61"/>
    </row>
    <row r="142" spans="2:18">
      <c r="B142" s="50">
        <v>20054646</v>
      </c>
      <c r="C142" s="49" t="s">
        <v>145</v>
      </c>
      <c r="D142" s="30">
        <f>บ่าย!D142+'เช้า '!D142+'เย็น '!D142</f>
        <v>0</v>
      </c>
      <c r="E142" s="30">
        <f>บ่าย!E142+'เช้า '!E142+'เย็น '!E142</f>
        <v>0</v>
      </c>
      <c r="F142" s="30">
        <f>บ่าย!F142+'เช้า '!F142+'เย็น '!F142</f>
        <v>0</v>
      </c>
      <c r="G142" s="30">
        <f>บ่าย!G142+'เช้า '!G142+'เย็น '!G142</f>
        <v>0</v>
      </c>
      <c r="H142" s="30">
        <f>บ่าย!H142+'เช้า '!H142+'เย็น '!H142</f>
        <v>0</v>
      </c>
      <c r="I142" s="30">
        <f>บ่าย!I142+'เช้า '!I142+'เย็น '!I142</f>
        <v>0</v>
      </c>
      <c r="J142" s="30">
        <f>บ่าย!J142+'เช้า '!J142+'เย็น '!J142</f>
        <v>0</v>
      </c>
      <c r="K142" s="30">
        <f>บ่าย!K142+'เช้า '!K142+'เย็น '!K142</f>
        <v>0</v>
      </c>
      <c r="L142" s="36"/>
      <c r="M142" s="11">
        <v>150</v>
      </c>
      <c r="N142" s="11"/>
      <c r="O142" s="11"/>
      <c r="P142" s="11"/>
      <c r="Q142" s="44">
        <f t="shared" si="14"/>
        <v>150</v>
      </c>
    </row>
    <row r="143" spans="2:18">
      <c r="B143" s="50">
        <v>1100044</v>
      </c>
      <c r="C143" s="49" t="s">
        <v>147</v>
      </c>
      <c r="D143" s="30">
        <f>บ่าย!D143+'เช้า '!D143+'เย็น '!D143</f>
        <v>0</v>
      </c>
      <c r="E143" s="30">
        <f>บ่าย!E143+'เช้า '!E143+'เย็น '!E143</f>
        <v>0</v>
      </c>
      <c r="F143" s="30">
        <f>บ่าย!F143+'เช้า '!F143+'เย็น '!F143</f>
        <v>0</v>
      </c>
      <c r="G143" s="30">
        <f>บ่าย!G143+'เช้า '!G143+'เย็น '!G143</f>
        <v>0</v>
      </c>
      <c r="H143" s="30">
        <f>บ่าย!H143+'เช้า '!H143+'เย็น '!H143</f>
        <v>0</v>
      </c>
      <c r="I143" s="30">
        <f>บ่าย!I143+'เช้า '!I143+'เย็น '!I143</f>
        <v>0</v>
      </c>
      <c r="J143" s="30">
        <f>บ่าย!J143+'เช้า '!J143+'เย็น '!J143</f>
        <v>0</v>
      </c>
      <c r="K143" s="30">
        <f>บ่าย!K143+'เช้า '!K143+'เย็น '!K143</f>
        <v>0</v>
      </c>
      <c r="L143" s="36"/>
      <c r="M143" s="11"/>
      <c r="N143" s="11">
        <v>20</v>
      </c>
      <c r="O143" s="11"/>
      <c r="P143" s="11"/>
      <c r="Q143" s="44">
        <f t="shared" si="14"/>
        <v>20</v>
      </c>
    </row>
    <row r="144" spans="2:18">
      <c r="B144" s="50"/>
      <c r="C144" s="49"/>
      <c r="D144" s="30">
        <f>บ่าย!D144+'เช้า '!D144+'เย็น '!D144</f>
        <v>0</v>
      </c>
      <c r="E144" s="30">
        <f>บ่าย!E144+'เช้า '!E144+'เย็น '!E144</f>
        <v>0</v>
      </c>
      <c r="F144" s="30">
        <f>บ่าย!F144+'เช้า '!F144+'เย็น '!F144</f>
        <v>0</v>
      </c>
      <c r="G144" s="30">
        <f>บ่าย!G144+'เช้า '!G144+'เย็น '!G144</f>
        <v>0</v>
      </c>
      <c r="H144" s="30">
        <f>บ่าย!H144+'เช้า '!H144+'เย็น '!H144</f>
        <v>0</v>
      </c>
      <c r="I144" s="30">
        <f>บ่าย!I144+'เช้า '!I144+'เย็น '!I144</f>
        <v>0</v>
      </c>
      <c r="J144" s="30">
        <f>บ่าย!J144+'เช้า '!J144+'เย็น '!J144</f>
        <v>0</v>
      </c>
      <c r="K144" s="30">
        <f>บ่าย!K144+'เช้า '!K144+'เย็น '!K144</f>
        <v>0</v>
      </c>
      <c r="L144" s="36"/>
      <c r="M144" s="11"/>
      <c r="N144" s="11"/>
      <c r="O144" s="11"/>
      <c r="P144" s="11"/>
      <c r="Q144" s="44">
        <f t="shared" si="14"/>
        <v>0</v>
      </c>
    </row>
    <row r="145" spans="2:17">
      <c r="B145" s="50"/>
      <c r="C145" s="49"/>
      <c r="D145" s="30">
        <f>บ่าย!D145+'เช้า '!D145+'เย็น '!D145</f>
        <v>0</v>
      </c>
      <c r="E145" s="30">
        <f>บ่าย!E145+'เช้า '!E145+'เย็น '!E145</f>
        <v>0</v>
      </c>
      <c r="F145" s="30">
        <f>บ่าย!F145+'เช้า '!F145+'เย็น '!F145</f>
        <v>0</v>
      </c>
      <c r="G145" s="30">
        <f>บ่าย!G145+'เช้า '!G145+'เย็น '!G145</f>
        <v>0</v>
      </c>
      <c r="H145" s="30">
        <f>บ่าย!H145+'เช้า '!H145+'เย็น '!H145</f>
        <v>0</v>
      </c>
      <c r="I145" s="30">
        <f>บ่าย!I145+'เช้า '!I145+'เย็น '!I145</f>
        <v>0</v>
      </c>
      <c r="J145" s="30">
        <f>บ่าย!J145+'เช้า '!J145+'เย็น '!J145</f>
        <v>0</v>
      </c>
      <c r="K145" s="30">
        <f>บ่าย!K145+'เช้า '!K145+'เย็น '!K145</f>
        <v>0</v>
      </c>
      <c r="L145" s="36"/>
      <c r="M145" s="11"/>
      <c r="N145" s="11"/>
      <c r="O145" s="11"/>
      <c r="P145" s="11"/>
      <c r="Q145" s="44">
        <f t="shared" si="14"/>
        <v>0</v>
      </c>
    </row>
    <row r="146" spans="2:17">
      <c r="B146" s="50"/>
      <c r="C146" s="49"/>
      <c r="D146" s="30">
        <f>บ่าย!D146+'เช้า '!D146+'เย็น '!D146</f>
        <v>0</v>
      </c>
      <c r="E146" s="30">
        <f>บ่าย!E146+'เช้า '!E146+'เย็น '!E146</f>
        <v>0</v>
      </c>
      <c r="F146" s="30">
        <f>บ่าย!F146+'เช้า '!F146+'เย็น '!F146</f>
        <v>0</v>
      </c>
      <c r="G146" s="30">
        <f>บ่าย!G146+'เช้า '!G146+'เย็น '!G146</f>
        <v>0</v>
      </c>
      <c r="H146" s="30">
        <f>บ่าย!H146+'เช้า '!H146+'เย็น '!H146</f>
        <v>0</v>
      </c>
      <c r="I146" s="30">
        <f>บ่าย!I146+'เช้า '!I146+'เย็น '!I146</f>
        <v>0</v>
      </c>
      <c r="J146" s="30">
        <f>บ่าย!J146+'เช้า '!J146+'เย็น '!J146</f>
        <v>0</v>
      </c>
      <c r="K146" s="30">
        <f>บ่าย!K146+'เช้า '!K146+'เย็น '!K146</f>
        <v>0</v>
      </c>
      <c r="L146" s="36"/>
      <c r="M146" s="11"/>
      <c r="N146" s="11"/>
      <c r="O146" s="11"/>
      <c r="P146" s="11"/>
      <c r="Q146" s="44">
        <f t="shared" si="14"/>
        <v>0</v>
      </c>
    </row>
    <row r="147" spans="2:17">
      <c r="B147" s="50"/>
      <c r="C147" s="49"/>
      <c r="D147" s="30">
        <f>บ่าย!D147+'เช้า '!D147+'เย็น '!D147</f>
        <v>0</v>
      </c>
      <c r="E147" s="30">
        <f>บ่าย!E147+'เช้า '!E147+'เย็น '!E147</f>
        <v>0</v>
      </c>
      <c r="F147" s="30">
        <f>บ่าย!F147+'เช้า '!F147+'เย็น '!F147</f>
        <v>0</v>
      </c>
      <c r="G147" s="30">
        <f>บ่าย!G147+'เช้า '!G147+'เย็น '!G147</f>
        <v>0</v>
      </c>
      <c r="H147" s="30">
        <f>บ่าย!H147+'เช้า '!H147+'เย็น '!H147</f>
        <v>0</v>
      </c>
      <c r="I147" s="30">
        <f>บ่าย!I147+'เช้า '!I147+'เย็น '!I147</f>
        <v>0</v>
      </c>
      <c r="J147" s="30">
        <f>บ่าย!J147+'เช้า '!J147+'เย็น '!J147</f>
        <v>0</v>
      </c>
      <c r="K147" s="30">
        <f>บ่าย!K147+'เช้า '!K147+'เย็น '!K147</f>
        <v>0</v>
      </c>
      <c r="L147" s="36"/>
      <c r="M147" s="11"/>
      <c r="N147" s="11"/>
      <c r="O147" s="11"/>
      <c r="P147" s="11"/>
      <c r="Q147" s="44">
        <f t="shared" si="14"/>
        <v>0</v>
      </c>
    </row>
    <row r="148" spans="2:17">
      <c r="B148" s="50"/>
      <c r="C148" s="49"/>
      <c r="D148" s="30">
        <f>บ่าย!D148+'เช้า '!D148+'เย็น '!D148</f>
        <v>0</v>
      </c>
      <c r="E148" s="30">
        <f>บ่าย!E148+'เช้า '!E148+'เย็น '!E148</f>
        <v>0</v>
      </c>
      <c r="F148" s="30">
        <f>บ่าย!F148+'เช้า '!F148+'เย็น '!F148</f>
        <v>0</v>
      </c>
      <c r="G148" s="30">
        <f>บ่าย!G148+'เช้า '!G148+'เย็น '!G148</f>
        <v>0</v>
      </c>
      <c r="H148" s="30">
        <f>บ่าย!H148+'เช้า '!H148+'เย็น '!H148</f>
        <v>0</v>
      </c>
      <c r="I148" s="30">
        <f>บ่าย!I148+'เช้า '!I148+'เย็น '!I148</f>
        <v>0</v>
      </c>
      <c r="J148" s="30">
        <f>บ่าย!J148+'เช้า '!J148+'เย็น '!J148</f>
        <v>0</v>
      </c>
      <c r="K148" s="30">
        <f>บ่าย!K148+'เช้า '!K148+'เย็น '!K148</f>
        <v>0</v>
      </c>
      <c r="L148" s="36"/>
      <c r="M148" s="11"/>
      <c r="N148" s="11"/>
      <c r="O148" s="11"/>
      <c r="P148" s="11"/>
      <c r="Q148" s="44"/>
    </row>
    <row r="149" spans="2:17">
      <c r="B149" s="50"/>
      <c r="C149" s="49"/>
      <c r="D149" s="30">
        <f>บ่าย!D149+'เช้า '!D149+'เย็น '!D149</f>
        <v>0</v>
      </c>
      <c r="E149" s="30">
        <f>บ่าย!E149+'เช้า '!E149+'เย็น '!E149</f>
        <v>0</v>
      </c>
      <c r="F149" s="30">
        <f>บ่าย!F149+'เช้า '!F149+'เย็น '!F149</f>
        <v>0</v>
      </c>
      <c r="G149" s="30">
        <f>บ่าย!G149+'เช้า '!G149+'เย็น '!G149</f>
        <v>0</v>
      </c>
      <c r="H149" s="30">
        <f>บ่าย!H149+'เช้า '!H149+'เย็น '!H149</f>
        <v>0</v>
      </c>
      <c r="I149" s="30">
        <f>บ่าย!I149+'เช้า '!I149+'เย็น '!I149</f>
        <v>0</v>
      </c>
      <c r="J149" s="30">
        <f>บ่าย!J149+'เช้า '!J149+'เย็น '!J149</f>
        <v>0</v>
      </c>
      <c r="K149" s="30">
        <f>บ่าย!K149+'เช้า '!K149+'เย็น '!K149</f>
        <v>0</v>
      </c>
      <c r="L149" s="36"/>
      <c r="M149" s="11"/>
      <c r="N149" s="11"/>
      <c r="O149" s="11"/>
      <c r="P149" s="11"/>
      <c r="Q149" s="44"/>
    </row>
    <row r="150" spans="2:17">
      <c r="B150" s="50"/>
      <c r="C150" s="49"/>
      <c r="D150" s="30">
        <f>บ่าย!D150+'เช้า '!D150+'เย็น '!D150</f>
        <v>0</v>
      </c>
      <c r="E150" s="30">
        <f>บ่าย!E150+'เช้า '!E150+'เย็น '!E150</f>
        <v>0</v>
      </c>
      <c r="F150" s="30">
        <f>บ่าย!F150+'เช้า '!F150+'เย็น '!F150</f>
        <v>0</v>
      </c>
      <c r="G150" s="30">
        <f>บ่าย!G150+'เช้า '!G150+'เย็น '!G150</f>
        <v>0</v>
      </c>
      <c r="H150" s="30">
        <f>บ่าย!H150+'เช้า '!H150+'เย็น '!H150</f>
        <v>0</v>
      </c>
      <c r="I150" s="30">
        <f>บ่าย!I150+'เช้า '!I150+'เย็น '!I150</f>
        <v>0</v>
      </c>
      <c r="J150" s="30">
        <f>บ่าย!J150+'เช้า '!J150+'เย็น '!J150</f>
        <v>0</v>
      </c>
      <c r="K150" s="30">
        <f>บ่าย!K150+'เช้า '!K150+'เย็น '!K150</f>
        <v>0</v>
      </c>
      <c r="L150" s="36"/>
      <c r="M150" s="11"/>
      <c r="N150" s="11"/>
      <c r="O150" s="11"/>
      <c r="P150" s="11"/>
      <c r="Q150" s="44"/>
    </row>
    <row r="151" spans="2:17">
      <c r="B151" s="50"/>
      <c r="C151" s="49"/>
      <c r="D151" s="30">
        <f>บ่าย!D151+'เช้า '!D151+'เย็น '!D151</f>
        <v>0</v>
      </c>
      <c r="E151" s="30">
        <f>บ่าย!E151+'เช้า '!E151+'เย็น '!E151</f>
        <v>0</v>
      </c>
      <c r="F151" s="30">
        <f>บ่าย!F151+'เช้า '!F151+'เย็น '!F151</f>
        <v>0</v>
      </c>
      <c r="G151" s="30">
        <f>บ่าย!G151+'เช้า '!G151+'เย็น '!G151</f>
        <v>0</v>
      </c>
      <c r="H151" s="30">
        <f>บ่าย!H151+'เช้า '!H151+'เย็น '!H151</f>
        <v>0</v>
      </c>
      <c r="I151" s="30">
        <f>บ่าย!I151+'เช้า '!I151+'เย็น '!I151</f>
        <v>0</v>
      </c>
      <c r="J151" s="30">
        <f>บ่าย!J151+'เช้า '!J151+'เย็น '!J151</f>
        <v>0</v>
      </c>
      <c r="K151" s="30">
        <f>บ่าย!K151+'เช้า '!K151+'เย็น '!K151</f>
        <v>0</v>
      </c>
      <c r="L151" s="36">
        <f t="shared" si="13"/>
        <v>0</v>
      </c>
      <c r="M151" s="11"/>
      <c r="N151" s="11"/>
      <c r="O151" s="11"/>
      <c r="P151" s="11"/>
      <c r="Q151" s="44">
        <f t="shared" si="14"/>
        <v>0</v>
      </c>
    </row>
    <row r="152" spans="2:17" ht="40.5" customHeight="1">
      <c r="B152" s="11"/>
      <c r="C152" s="21"/>
      <c r="D152" s="60">
        <f>SUM(D114:D151,D90:D99,D79:D87,D69:D76,D7:D66,D102:D111)</f>
        <v>107</v>
      </c>
      <c r="E152" s="60">
        <f t="shared" ref="E152:Q152" si="15">SUM(E114:E151,E90:E99,E79:E87,E69:E76,E7:E66,E102:E111)</f>
        <v>192</v>
      </c>
      <c r="F152" s="60">
        <f t="shared" si="15"/>
        <v>83</v>
      </c>
      <c r="G152" s="60">
        <f t="shared" si="15"/>
        <v>425</v>
      </c>
      <c r="H152" s="60">
        <f t="shared" si="15"/>
        <v>0</v>
      </c>
      <c r="I152" s="60">
        <f t="shared" si="15"/>
        <v>0</v>
      </c>
      <c r="J152" s="60">
        <f t="shared" si="15"/>
        <v>0</v>
      </c>
      <c r="K152" s="60">
        <f t="shared" si="15"/>
        <v>13</v>
      </c>
      <c r="L152" s="60">
        <f t="shared" si="15"/>
        <v>820</v>
      </c>
      <c r="M152" s="60">
        <f t="shared" si="15"/>
        <v>552</v>
      </c>
      <c r="N152" s="60">
        <f t="shared" si="15"/>
        <v>1657</v>
      </c>
      <c r="O152" s="60">
        <f t="shared" si="15"/>
        <v>30</v>
      </c>
      <c r="P152" s="60">
        <f t="shared" si="15"/>
        <v>95</v>
      </c>
      <c r="Q152" s="60">
        <f t="shared" si="15"/>
        <v>2143</v>
      </c>
    </row>
    <row r="153" spans="2:17">
      <c r="B153" s="37"/>
      <c r="C153" s="35"/>
      <c r="D153" s="38"/>
      <c r="E153" s="38"/>
      <c r="F153" s="38"/>
      <c r="G153" s="38"/>
      <c r="H153" s="38"/>
      <c r="I153" s="38"/>
      <c r="J153" s="38"/>
      <c r="K153" s="38"/>
      <c r="L153" s="39"/>
    </row>
    <row r="154" spans="2:17">
      <c r="B154" s="37"/>
      <c r="C154" s="35"/>
      <c r="D154" s="38"/>
      <c r="E154" s="38"/>
      <c r="F154" s="38"/>
      <c r="G154" s="38"/>
      <c r="H154" s="38"/>
      <c r="I154" s="38"/>
      <c r="J154" s="38"/>
      <c r="K154" s="38"/>
      <c r="L154" s="39"/>
    </row>
    <row r="155" spans="2:17">
      <c r="C155" s="24"/>
      <c r="D155" s="31"/>
      <c r="E155" s="67"/>
      <c r="F155" s="67"/>
      <c r="G155" s="26"/>
      <c r="L155" s="40"/>
    </row>
    <row r="156" spans="2:17">
      <c r="B156" s="67" t="s">
        <v>104</v>
      </c>
      <c r="C156" s="67"/>
      <c r="D156" s="32"/>
      <c r="E156" s="63"/>
      <c r="F156" s="63"/>
      <c r="G156" s="27"/>
      <c r="H156" s="26"/>
      <c r="I156" s="67" t="s">
        <v>104</v>
      </c>
      <c r="J156" s="67"/>
      <c r="K156" s="67"/>
      <c r="L156" s="67"/>
    </row>
    <row r="157" spans="2:17">
      <c r="B157" s="63" t="s">
        <v>105</v>
      </c>
      <c r="C157" s="63"/>
      <c r="D157" s="33"/>
      <c r="E157" s="33"/>
      <c r="F157" s="33"/>
      <c r="G157" s="33"/>
      <c r="H157" s="33"/>
      <c r="I157" s="63" t="s">
        <v>106</v>
      </c>
      <c r="J157" s="63"/>
      <c r="K157" s="63"/>
      <c r="L157" s="63"/>
    </row>
    <row r="158" spans="2:17">
      <c r="B158" s="31"/>
      <c r="C158" s="31"/>
      <c r="D158" s="33"/>
      <c r="E158" s="33"/>
      <c r="F158" s="33"/>
      <c r="G158" s="33"/>
      <c r="H158" s="33"/>
      <c r="I158" s="31"/>
      <c r="J158" s="31"/>
      <c r="K158" s="31"/>
      <c r="L158" s="34"/>
    </row>
    <row r="159" spans="2:17" ht="21"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4"/>
    </row>
    <row r="160" spans="2:17" ht="21"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4"/>
    </row>
    <row r="161" spans="2:12" ht="21"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4"/>
    </row>
    <row r="162" spans="2:12" ht="21"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4"/>
    </row>
    <row r="163" spans="2:12" ht="21"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4"/>
    </row>
    <row r="164" spans="2:12">
      <c r="D164" s="31"/>
      <c r="E164" s="31"/>
      <c r="F164" s="31"/>
      <c r="G164" s="31"/>
      <c r="H164" s="31"/>
    </row>
    <row r="165" spans="2:12">
      <c r="D165" s="31"/>
      <c r="E165" s="31"/>
      <c r="F165" s="31"/>
      <c r="G165" s="31"/>
      <c r="H165" s="31"/>
    </row>
    <row r="166" spans="2:12">
      <c r="D166" s="31"/>
      <c r="E166" s="31"/>
      <c r="F166" s="31"/>
      <c r="G166" s="31"/>
      <c r="H166" s="31"/>
    </row>
    <row r="167" spans="2:12">
      <c r="D167" s="31"/>
      <c r="E167" s="31"/>
      <c r="F167" s="31"/>
      <c r="G167" s="31"/>
      <c r="H167" s="31"/>
    </row>
    <row r="168" spans="2:12">
      <c r="D168" s="31"/>
      <c r="E168" s="31"/>
      <c r="F168" s="31"/>
      <c r="G168" s="31"/>
      <c r="H168" s="31"/>
    </row>
    <row r="169" spans="2:12">
      <c r="D169" s="31"/>
      <c r="E169" s="31"/>
      <c r="F169" s="31"/>
      <c r="G169" s="31"/>
      <c r="H169" s="31"/>
    </row>
    <row r="170" spans="2:12">
      <c r="D170" s="31"/>
      <c r="E170" s="31"/>
      <c r="F170" s="31"/>
      <c r="G170" s="31"/>
      <c r="H170" s="31"/>
    </row>
    <row r="171" spans="2:12">
      <c r="D171" s="31"/>
      <c r="E171" s="31"/>
      <c r="F171" s="31"/>
      <c r="G171" s="31"/>
      <c r="H171" s="31"/>
    </row>
    <row r="172" spans="2:12">
      <c r="D172" s="31"/>
      <c r="E172" s="31"/>
      <c r="F172" s="31"/>
      <c r="G172" s="31"/>
      <c r="H172" s="31"/>
    </row>
    <row r="173" spans="2:12">
      <c r="D173" s="31"/>
      <c r="E173" s="31"/>
      <c r="F173" s="31"/>
      <c r="G173" s="31"/>
      <c r="H173" s="31"/>
    </row>
    <row r="174" spans="2:12">
      <c r="D174" s="31"/>
      <c r="E174" s="31"/>
      <c r="F174" s="31"/>
      <c r="G174" s="31"/>
      <c r="H174" s="31"/>
    </row>
  </sheetData>
  <mergeCells count="20">
    <mergeCell ref="B89:Q89"/>
    <mergeCell ref="N2:N4"/>
    <mergeCell ref="O2:O4"/>
    <mergeCell ref="P2:P4"/>
    <mergeCell ref="B1:L1"/>
    <mergeCell ref="B2:C3"/>
    <mergeCell ref="E2:F3"/>
    <mergeCell ref="M2:M4"/>
    <mergeCell ref="Q2:Q4"/>
    <mergeCell ref="B6:Q6"/>
    <mergeCell ref="B68:Q68"/>
    <mergeCell ref="B78:Q78"/>
    <mergeCell ref="B157:C157"/>
    <mergeCell ref="I157:L157"/>
    <mergeCell ref="B101:Q101"/>
    <mergeCell ref="B113:Q113"/>
    <mergeCell ref="E155:F155"/>
    <mergeCell ref="B156:C156"/>
    <mergeCell ref="E156:F156"/>
    <mergeCell ref="I156:L156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2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เช้า </vt:lpstr>
      <vt:lpstr>บ่าย</vt:lpstr>
      <vt:lpstr>เย็น </vt:lpstr>
      <vt:lpstr>รวม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Natchaya Sukjan</dc:creator>
  <cp:lastModifiedBy>Wanwanach Online01</cp:lastModifiedBy>
  <cp:lastPrinted>2025-07-17T00:37:39Z</cp:lastPrinted>
  <dcterms:created xsi:type="dcterms:W3CDTF">2024-04-30T05:21:27Z</dcterms:created>
  <dcterms:modified xsi:type="dcterms:W3CDTF">2025-07-19T00:11:30Z</dcterms:modified>
</cp:coreProperties>
</file>