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C265C61C-A373-4E57-A8F3-A1900F37F84B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L69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D152" i="5" l="1"/>
  <c r="E152" i="5"/>
  <c r="F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<sst xmlns="http://schemas.openxmlformats.org/spreadsheetml/2006/main" count="630" uniqueCount="151">
  <si>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</si>
  <si>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</si>
  <si>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</si>
  <si>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</si>
  <si>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</si>
  <si>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</si>
  <si>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</si>
  <si>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</si>
  <si>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</si>
  <si>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</si>
  <si>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</si>
  <si>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</si>
  <si>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</si>
  <si>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</si>
  <si>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</si>
  <si>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</si>
  <si>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</si>
  <si>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</si>
  <si>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</si>
  <si>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</si>
  <si>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</si>
  <si>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</si>
  <si>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</si>
  <si>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</si>
  <si>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</si>
  <si>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</si>
  <si>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</si>
  <si>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</si>
  <si>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</si>
  <si>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</si>
  <si>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</si>
  <si>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</si>
  <si>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</si>
  <si>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</si>
  <si>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</si>
  <si>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</si>
  <si>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</si>
  <si>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</si>
  <si>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</si>
  <si>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</si>
  <si>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</si>
  <si>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</si>
  <si>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</si>
  <si>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</si>
  <si>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</si>
  <si>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</si>
  <si>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</si>
  <si>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</si>
  <si>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</si>
  <si>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</si>
  <si>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</si>
  <si>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</si>
  <si>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</si>
  <si>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</si>
  <si>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</si>
  <si>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</si>
  <si>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</si>
  <si>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</si>
  <si>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</si>
  <si>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</si>
  <si>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</si>
  <si>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</si>
  <si>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</si>
  <si>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</si>
  <si>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</si>
  <si>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</si>
  <si>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</si>
  <si>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</si>
  <si>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</si>
  <si>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</si>
  <si>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</si>
  <si>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</si>
  <si>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</si>
  <si>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</si>
  <si>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</si>
  <si>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</si>
  <si>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</si>
  <si>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</si>
  <si>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</si>
  <si>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</si>
  <si>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</si>
  <si>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</si>
  <si>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</si>
  <si>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</si>
  <si>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</si>
  <si>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</si>
  <si>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</si>
  <si>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</si>
  <si>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</si>
  <si>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</si>
  <si>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</si>
  <si>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</si>
  <si>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</si>
  <si>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</si>
  <si>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</si>
  <si>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</si>
  <si>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</si>
  <si>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</si>
  <si>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</si>
  <si>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</si>
  <si>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</si>
  <si>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</si>
  <si>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</si>
  <si>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</si>
  <si>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</si>
  <si>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</si>
  <si>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</si>
  <si>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</si>
  <si>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</si>
  <si>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</si>
  <si>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</si>
  <si>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</si>
  <si>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</si>
  <si>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</si>
  <si>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</si>
  <si>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</si>
  <si>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</si>
  <si>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</si>
  <si>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</si>
  <si>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</si>
  <si>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</si>
  <si>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</si>
  <si>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</si>
  <si>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</si>
  <si>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</si>
  <si>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</si>
  <si>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</si>
  <si>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</si>
  <si>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</si>
  <si>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</si>
  <si>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</si>
  <si>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</si>
  <si>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</si>
  <si>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</si>
  <si>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</si>
  <si>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</si>
  <si>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</si>
  <si>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</si>
  <si>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</si>
  <si>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</si>
  <si>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</si>
  <si>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</si>
  <si>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</si>
  <si>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</si>
  <si>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</si>
  <si>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</si>
  <si>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</si>
  <si>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</si>
  <si>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8/7/68  รวม</t>
  </si>
  <si>
    <t>ยอดจริง ออนไลน์ วันที่  8/7/68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</si>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</sst>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51" zoomScale="60" zoomScaleNormal="60" workbookViewId="0">
      <selection activeCell="C66" sqref="C60:C6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>
        <v>22</v>
      </c>
      <c r="E7" s="30">
        <v>13</v>
      </c>
      <c r="F7" s="30">
        <v>63</v>
      </c>
      <c r="G7" s="30">
        <v>3</v>
      </c>
      <c r="H7" s="30"/>
      <c r="I7" s="30"/>
      <c r="J7" s="43"/>
      <c r="K7" s="43"/>
      <c r="L7" s="36">
        <f>SUM(D7:K7)</f>
        <v>101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>
        <v>2</v>
      </c>
      <c r="E25" s="30">
        <v>3</v>
      </c>
      <c r="F25" s="30">
        <v>12</v>
      </c>
      <c r="G25" s="30">
        <v>3</v>
      </c>
      <c r="H25" s="30"/>
      <c r="I25" s="30"/>
      <c r="J25" s="43"/>
      <c r="K25" s="43"/>
      <c r="L25" s="36">
        <f t="shared" si="0"/>
        <v>20</v>
      </c>
    </row>
    <row r="26" spans="2:12" x14ac:dyDescent="0.25">
      <c r="B26" s="11">
        <v>1004055</v>
      </c>
      <c r="C26" s="15" t="s">
        <v>108</v>
      </c>
      <c r="D26" s="30">
        <v>10</v>
      </c>
      <c r="E26" s="30">
        <v>8</v>
      </c>
      <c r="F26" s="30">
        <v>1</v>
      </c>
      <c r="G26" s="30">
        <v>102</v>
      </c>
      <c r="H26" s="30"/>
      <c r="I26" s="30"/>
      <c r="J26" s="43"/>
      <c r="K26" s="43"/>
      <c r="L26" s="36">
        <f t="shared" si="0"/>
        <v>121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7</v>
      </c>
      <c r="F40" s="30"/>
      <c r="G40" s="30"/>
      <c r="H40" s="30"/>
      <c r="I40" s="30"/>
      <c r="J40" s="43"/>
      <c r="K40" s="43"/>
      <c r="L40" s="36">
        <f t="shared" si="0"/>
        <v>7</v>
      </c>
    </row>
    <row r="41" spans="2:12" x14ac:dyDescent="0.25">
      <c r="B41" s="11">
        <v>1111058</v>
      </c>
      <c r="C41" s="15" t="s">
        <v>31</v>
      </c>
      <c r="D41" s="30"/>
      <c r="E41" s="30">
        <v>7</v>
      </c>
      <c r="F41" s="30"/>
      <c r="G41" s="30"/>
      <c r="H41" s="30"/>
      <c r="I41" s="30"/>
      <c r="J41" s="43"/>
      <c r="K41" s="43"/>
      <c r="L41" s="36">
        <f t="shared" si="0"/>
        <v>7</v>
      </c>
    </row>
    <row r="42" spans="2:12" x14ac:dyDescent="0.25">
      <c r="B42" s="11">
        <v>1111059</v>
      </c>
      <c r="C42" s="15" t="s">
        <v>32</v>
      </c>
      <c r="D42" s="30"/>
      <c r="E42" s="30">
        <v>7</v>
      </c>
      <c r="F42" s="30"/>
      <c r="G42" s="30"/>
      <c r="H42" s="30"/>
      <c r="I42" s="30"/>
      <c r="J42" s="43"/>
      <c r="K42" s="43"/>
      <c r="L42" s="36">
        <f t="shared" si="0"/>
        <v>7</v>
      </c>
    </row>
    <row r="43" spans="2:12" x14ac:dyDescent="0.25">
      <c r="B43" s="11">
        <v>1111060</v>
      </c>
      <c r="C43" s="15" t="s">
        <v>33</v>
      </c>
      <c r="D43" s="30"/>
      <c r="E43" s="30">
        <v>7</v>
      </c>
      <c r="F43" s="30"/>
      <c r="G43" s="30"/>
      <c r="H43" s="30"/>
      <c r="I43" s="30"/>
      <c r="J43" s="43"/>
      <c r="K43" s="43"/>
      <c r="L43" s="36">
        <f t="shared" si="0"/>
        <v>7</v>
      </c>
    </row>
    <row r="44" spans="2:12" x14ac:dyDescent="0.25">
      <c r="B44" s="11">
        <v>1111061</v>
      </c>
      <c r="C44" s="15" t="s">
        <v>34</v>
      </c>
      <c r="D44" s="30"/>
      <c r="E44" s="30">
        <v>7</v>
      </c>
      <c r="F44" s="30"/>
      <c r="G44" s="30"/>
      <c r="H44" s="30"/>
      <c r="I44" s="30"/>
      <c r="J44" s="43"/>
      <c r="K44" s="43"/>
      <c r="L44" s="36">
        <f t="shared" si="0"/>
        <v>7</v>
      </c>
    </row>
    <row r="45" spans="2:12" x14ac:dyDescent="0.25">
      <c r="B45" s="11">
        <v>1111062</v>
      </c>
      <c r="C45" s="15" t="s">
        <v>35</v>
      </c>
      <c r="D45" s="30"/>
      <c r="E45" s="30">
        <v>7</v>
      </c>
      <c r="F45" s="30"/>
      <c r="G45" s="30"/>
      <c r="H45" s="30"/>
      <c r="I45" s="30"/>
      <c r="J45" s="43"/>
      <c r="K45" s="43"/>
      <c r="L45" s="36">
        <f t="shared" si="0"/>
        <v>7</v>
      </c>
    </row>
    <row r="46" spans="2:12" x14ac:dyDescent="0.25">
      <c r="B46" s="11">
        <v>1111063</v>
      </c>
      <c r="C46" s="15" t="s">
        <v>36</v>
      </c>
      <c r="D46" s="30"/>
      <c r="E46" s="30">
        <v>7</v>
      </c>
      <c r="F46" s="30"/>
      <c r="G46" s="30"/>
      <c r="H46" s="30"/>
      <c r="I46" s="30"/>
      <c r="J46" s="43"/>
      <c r="K46" s="43"/>
      <c r="L46" s="36">
        <f t="shared" si="0"/>
        <v>7</v>
      </c>
    </row>
    <row r="47" spans="2:12" x14ac:dyDescent="0.25">
      <c r="B47" s="11">
        <v>1111064</v>
      </c>
      <c r="C47" s="15" t="s">
        <v>37</v>
      </c>
      <c r="D47" s="30"/>
      <c r="E47" s="30">
        <v>7</v>
      </c>
      <c r="F47" s="30"/>
      <c r="G47" s="30"/>
      <c r="H47" s="30"/>
      <c r="I47" s="30"/>
      <c r="J47" s="43"/>
      <c r="K47" s="43"/>
      <c r="L47" s="36">
        <f t="shared" si="0"/>
        <v>7</v>
      </c>
    </row>
    <row r="48" spans="2:12" x14ac:dyDescent="0.25">
      <c r="B48" s="11">
        <v>1111065</v>
      </c>
      <c r="C48" s="15" t="s">
        <v>38</v>
      </c>
      <c r="D48" s="30"/>
      <c r="E48" s="30">
        <v>7</v>
      </c>
      <c r="F48" s="30"/>
      <c r="G48" s="30"/>
      <c r="H48" s="30"/>
      <c r="I48" s="30"/>
      <c r="J48" s="43"/>
      <c r="K48" s="43"/>
      <c r="L48" s="36">
        <f t="shared" si="0"/>
        <v>7</v>
      </c>
    </row>
    <row r="49" spans="2:12" x14ac:dyDescent="0.25">
      <c r="B49" s="11">
        <v>1111066</v>
      </c>
      <c r="C49" s="15" t="s">
        <v>39</v>
      </c>
      <c r="D49" s="30"/>
      <c r="E49" s="30">
        <v>7</v>
      </c>
      <c r="F49" s="30"/>
      <c r="G49" s="30"/>
      <c r="H49" s="30"/>
      <c r="I49" s="30"/>
      <c r="J49" s="43"/>
      <c r="K49" s="43"/>
      <c r="L49" s="36">
        <f t="shared" si="0"/>
        <v>7</v>
      </c>
    </row>
    <row r="50" spans="2:12" x14ac:dyDescent="0.25">
      <c r="B50" s="11">
        <v>1111067</v>
      </c>
      <c r="C50" s="15" t="s">
        <v>40</v>
      </c>
      <c r="D50" s="30"/>
      <c r="E50" s="30">
        <v>7</v>
      </c>
      <c r="F50" s="30"/>
      <c r="G50" s="30"/>
      <c r="H50" s="30"/>
      <c r="I50" s="30"/>
      <c r="J50" s="43"/>
      <c r="K50" s="43"/>
      <c r="L50" s="36">
        <f t="shared" si="0"/>
        <v>7</v>
      </c>
    </row>
    <row r="51" spans="2:12" x14ac:dyDescent="0.25">
      <c r="B51" s="11">
        <v>1111068</v>
      </c>
      <c r="C51" s="15" t="s">
        <v>41</v>
      </c>
      <c r="D51" s="30"/>
      <c r="E51" s="30">
        <v>7</v>
      </c>
      <c r="F51" s="30"/>
      <c r="G51" s="30"/>
      <c r="H51" s="30"/>
      <c r="I51" s="30"/>
      <c r="J51" s="43"/>
      <c r="K51" s="43"/>
      <c r="L51" s="36">
        <f t="shared" si="0"/>
        <v>7</v>
      </c>
    </row>
    <row r="52" spans="2:12" x14ac:dyDescent="0.25">
      <c r="B52" s="11">
        <v>1111069</v>
      </c>
      <c r="C52" s="15" t="s">
        <v>42</v>
      </c>
      <c r="D52" s="30"/>
      <c r="E52" s="30">
        <v>6</v>
      </c>
      <c r="F52" s="30"/>
      <c r="G52" s="30"/>
      <c r="H52" s="30"/>
      <c r="I52" s="30"/>
      <c r="J52" s="43"/>
      <c r="K52" s="43"/>
      <c r="L52" s="36">
        <f t="shared" si="0"/>
        <v>6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332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>
        <v>16</v>
      </c>
      <c r="E69" s="30"/>
      <c r="F69" s="30">
        <v>8</v>
      </c>
      <c r="G69" s="30">
        <v>3</v>
      </c>
      <c r="H69" s="30"/>
      <c r="I69" s="30"/>
      <c r="J69" s="43"/>
      <c r="K69" s="43">
        <v>17</v>
      </c>
      <c r="L69" s="36">
        <f t="shared" ref="L69:L76" si="1">SUM(D69:K69)</f>
        <v>44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44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11</v>
      </c>
      <c r="E87" s="30">
        <v>9</v>
      </c>
      <c r="F87" s="30"/>
      <c r="G87" s="30">
        <v>69</v>
      </c>
      <c r="H87" s="30"/>
      <c r="I87" s="30"/>
      <c r="J87" s="43"/>
      <c r="K87" s="43"/>
      <c r="L87" s="36">
        <f t="shared" si="2"/>
        <v>89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89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10</v>
      </c>
      <c r="E90" s="30">
        <v>1</v>
      </c>
      <c r="F90" s="30">
        <v>6</v>
      </c>
      <c r="G90" s="30">
        <v>38</v>
      </c>
      <c r="H90" s="30">
        <v>2</v>
      </c>
      <c r="I90" s="30"/>
      <c r="J90" s="43"/>
      <c r="K90" s="43"/>
      <c r="L90" s="36">
        <f t="shared" ref="L90:L99" si="3">SUM(D90:K90)</f>
        <v>57</v>
      </c>
    </row>
    <row r="91" spans="2:12" x14ac:dyDescent="0.25">
      <c r="B91" s="11">
        <v>1112011</v>
      </c>
      <c r="C91" s="19" t="s">
        <v>76</v>
      </c>
      <c r="D91" s="30">
        <v>8</v>
      </c>
      <c r="E91" s="30">
        <v>1</v>
      </c>
      <c r="F91" s="30">
        <v>22</v>
      </c>
      <c r="G91" s="30">
        <v>38</v>
      </c>
      <c r="H91" s="30">
        <v>2</v>
      </c>
      <c r="I91" s="30"/>
      <c r="J91" s="43"/>
      <c r="K91" s="43"/>
      <c r="L91" s="36">
        <f t="shared" si="3"/>
        <v>71</v>
      </c>
    </row>
    <row r="92" spans="2:12" x14ac:dyDescent="0.25">
      <c r="B92" s="11">
        <v>1112003</v>
      </c>
      <c r="C92" s="19" t="s">
        <v>77</v>
      </c>
      <c r="D92" s="30">
        <v>14</v>
      </c>
      <c r="E92" s="30">
        <v>1</v>
      </c>
      <c r="F92" s="30">
        <v>4</v>
      </c>
      <c r="G92" s="30">
        <v>38</v>
      </c>
      <c r="H92" s="30">
        <v>2</v>
      </c>
      <c r="I92" s="30"/>
      <c r="J92" s="43"/>
      <c r="K92" s="43"/>
      <c r="L92" s="36">
        <f t="shared" si="3"/>
        <v>59</v>
      </c>
    </row>
    <row r="93" spans="2:12" x14ac:dyDescent="0.25">
      <c r="B93" s="11">
        <v>1112005</v>
      </c>
      <c r="C93" s="19" t="s">
        <v>78</v>
      </c>
      <c r="D93" s="30">
        <v>13</v>
      </c>
      <c r="E93" s="30">
        <v>1</v>
      </c>
      <c r="F93" s="30">
        <v>4</v>
      </c>
      <c r="G93" s="30">
        <v>38</v>
      </c>
      <c r="H93" s="30">
        <v>2</v>
      </c>
      <c r="I93" s="30"/>
      <c r="J93" s="43"/>
      <c r="K93" s="43"/>
      <c r="L93" s="36">
        <f t="shared" si="3"/>
        <v>58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8</v>
      </c>
      <c r="E97" s="30">
        <v>1</v>
      </c>
      <c r="F97" s="30">
        <v>4</v>
      </c>
      <c r="G97" s="30">
        <v>40</v>
      </c>
      <c r="H97" s="30">
        <v>2</v>
      </c>
      <c r="I97" s="30"/>
      <c r="J97" s="43"/>
      <c r="K97" s="43"/>
      <c r="L97" s="36">
        <f t="shared" si="3"/>
        <v>55</v>
      </c>
    </row>
    <row r="98" spans="2:12" x14ac:dyDescent="0.25">
      <c r="B98" s="11">
        <v>1112013</v>
      </c>
      <c r="C98" s="19" t="s">
        <v>83</v>
      </c>
      <c r="D98" s="30">
        <v>9</v>
      </c>
      <c r="E98" s="30">
        <v>1</v>
      </c>
      <c r="F98" s="30">
        <v>4</v>
      </c>
      <c r="G98" s="30">
        <v>39</v>
      </c>
      <c r="H98" s="30">
        <v>2</v>
      </c>
      <c r="I98" s="30"/>
      <c r="J98" s="43"/>
      <c r="K98" s="43"/>
      <c r="L98" s="36">
        <f t="shared" si="3"/>
        <v>55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355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>
        <v>29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29</v>
      </c>
    </row>
    <row r="115" spans="2:12" x14ac:dyDescent="0.25">
      <c r="B115" s="11">
        <v>1113171</v>
      </c>
      <c r="C115" s="21" t="s">
        <v>88</v>
      </c>
      <c r="D115" s="30">
        <v>13</v>
      </c>
      <c r="E115" s="30"/>
      <c r="F115" s="30">
        <v>3</v>
      </c>
      <c r="G115" s="30"/>
      <c r="H115" s="30"/>
      <c r="I115" s="30"/>
      <c r="J115" s="43"/>
      <c r="K115" s="43"/>
      <c r="L115" s="36">
        <f t="shared" si="5"/>
        <v>16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>
        <v>1</v>
      </c>
      <c r="F120" s="30"/>
      <c r="G120" s="30">
        <v>4</v>
      </c>
      <c r="H120" s="30"/>
      <c r="I120" s="30"/>
      <c r="J120" s="43"/>
      <c r="K120" s="43"/>
      <c r="L120" s="36">
        <f t="shared" si="5"/>
        <v>5</v>
      </c>
    </row>
    <row r="121" spans="2:12" x14ac:dyDescent="0.25">
      <c r="B121" s="11">
        <v>1200001</v>
      </c>
      <c r="C121" s="21" t="s">
        <v>93</v>
      </c>
      <c r="D121" s="30">
        <v>50</v>
      </c>
      <c r="E121" s="30"/>
      <c r="F121" s="30"/>
      <c r="G121" s="30"/>
      <c r="H121" s="30"/>
      <c r="I121" s="30"/>
      <c r="J121" s="43"/>
      <c r="K121" s="43"/>
      <c r="L121" s="36">
        <f t="shared" si="5"/>
        <v>50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2</v>
      </c>
      <c r="E123" s="30">
        <v>4</v>
      </c>
      <c r="F123" s="30">
        <v>14</v>
      </c>
      <c r="G123" s="30">
        <v>233</v>
      </c>
      <c r="H123" s="30">
        <v>3</v>
      </c>
      <c r="I123" s="30">
        <v>2</v>
      </c>
      <c r="J123" s="43"/>
      <c r="K123" s="43"/>
      <c r="L123" s="36">
        <f t="shared" si="5"/>
        <v>258</v>
      </c>
    </row>
    <row r="124" spans="2:12" x14ac:dyDescent="0.25">
      <c r="B124" s="11">
        <v>1114502</v>
      </c>
      <c r="C124" s="21" t="s">
        <v>96</v>
      </c>
      <c r="D124" s="30">
        <v>2</v>
      </c>
      <c r="E124" s="30"/>
      <c r="F124" s="30">
        <v>2</v>
      </c>
      <c r="G124" s="30">
        <v>197</v>
      </c>
      <c r="H124" s="30">
        <v>3</v>
      </c>
      <c r="I124" s="30">
        <v>2</v>
      </c>
      <c r="J124" s="43"/>
      <c r="K124" s="43"/>
      <c r="L124" s="36">
        <f t="shared" si="5"/>
        <v>206</v>
      </c>
    </row>
    <row r="125" spans="2:12" x14ac:dyDescent="0.25">
      <c r="B125" s="11">
        <v>1114503</v>
      </c>
      <c r="C125" s="21" t="s">
        <v>97</v>
      </c>
      <c r="D125" s="30">
        <v>2</v>
      </c>
      <c r="E125" s="30"/>
      <c r="F125" s="30">
        <v>4</v>
      </c>
      <c r="G125" s="30">
        <v>179</v>
      </c>
      <c r="H125" s="30">
        <v>3</v>
      </c>
      <c r="I125" s="30">
        <v>2</v>
      </c>
      <c r="J125" s="43"/>
      <c r="K125" s="43"/>
      <c r="L125" s="36">
        <f t="shared" si="5"/>
        <v>190</v>
      </c>
    </row>
    <row r="126" spans="2:12" x14ac:dyDescent="0.25">
      <c r="B126" s="11">
        <v>1124021</v>
      </c>
      <c r="C126" s="21" t="s">
        <v>98</v>
      </c>
      <c r="D126" s="30"/>
      <c r="E126" s="30">
        <v>4</v>
      </c>
      <c r="F126" s="30">
        <v>6</v>
      </c>
      <c r="G126" s="30">
        <v>31</v>
      </c>
      <c r="H126" s="30"/>
      <c r="I126" s="30"/>
      <c r="J126" s="43"/>
      <c r="K126" s="43"/>
      <c r="L126" s="36">
        <f t="shared" si="5"/>
        <v>41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43"/>
      <c r="K135" s="43"/>
      <c r="L135" s="36">
        <f t="shared" si="5"/>
        <v>2</v>
      </c>
    </row>
    <row r="136" spans="2:12" x14ac:dyDescent="0.25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43"/>
      <c r="K136" s="43"/>
      <c r="L136" s="36">
        <f t="shared" si="5"/>
        <v>1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A120" zoomScale="50" zoomScaleNormal="50" workbookViewId="0">
      <selection activeCell="N144" sqref="N14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7" t="s">
        <v>148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2:18" x14ac:dyDescent="0.25">
      <c r="B2" s="78"/>
      <c r="C2" s="79"/>
      <c r="D2" s="1"/>
      <c r="E2" s="80"/>
      <c r="F2" s="80"/>
      <c r="G2" s="2"/>
      <c r="H2" s="2"/>
      <c r="I2" s="2"/>
      <c r="J2" s="2"/>
      <c r="K2" s="2"/>
      <c r="L2" s="2"/>
      <c r="M2" s="3" t="s">
        <v>0</v>
      </c>
      <c r="N2" s="74" t="s">
        <v>127</v>
      </c>
      <c r="O2" s="74" t="s">
        <v>130</v>
      </c>
      <c r="P2" s="74" t="s">
        <v>140</v>
      </c>
      <c r="Q2" s="74" t="s">
        <v>141</v>
      </c>
      <c r="R2" s="82" t="s">
        <v>1</v>
      </c>
    </row>
    <row r="3" spans="2:18" x14ac:dyDescent="0.25">
      <c r="B3" s="78"/>
      <c r="C3" s="79"/>
      <c r="D3" s="4"/>
      <c r="E3" s="81"/>
      <c r="F3" s="81"/>
      <c r="G3" s="5"/>
      <c r="H3" s="5"/>
      <c r="I3" s="5"/>
      <c r="J3" s="85"/>
      <c r="K3" s="41"/>
      <c r="L3" s="41"/>
      <c r="M3" s="6" t="s">
        <v>2</v>
      </c>
      <c r="N3" s="75"/>
      <c r="O3" s="75"/>
      <c r="P3" s="75"/>
      <c r="Q3" s="75"/>
      <c r="R3" s="83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6"/>
      <c r="O4" s="76"/>
      <c r="P4" s="76"/>
      <c r="Q4" s="76"/>
      <c r="R4" s="84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1" t="s">
        <v>11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3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22</v>
      </c>
      <c r="E7" s="30">
        <f>'เย็น '!E7+'เช้า '!E7+บ่าย!E7</f>
        <v>13</v>
      </c>
      <c r="F7" s="30">
        <f>'เย็น '!F7+'เช้า '!F7+บ่าย!F7</f>
        <v>63</v>
      </c>
      <c r="G7" s="30">
        <f>'เย็น '!G7+'เช้า '!G7+บ่าย!G7</f>
        <v>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3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101</v>
      </c>
      <c r="N7" s="11">
        <v>90</v>
      </c>
      <c r="O7" s="11"/>
      <c r="P7" s="11">
        <v>30</v>
      </c>
      <c r="Q7" s="11">
        <v>70</v>
      </c>
      <c r="R7" s="44">
        <f>(N7+O7+P7+Q7)-M7</f>
        <v>89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3</v>
      </c>
      <c r="F25" s="30">
        <f>'เย็น '!F25+'เช้า '!F25+บ่าย!F25</f>
        <v>12</v>
      </c>
      <c r="G25" s="30">
        <f>'เย็น '!G25+'เช้า '!G25+บ่าย!G25</f>
        <v>3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3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20</v>
      </c>
      <c r="N25" s="11">
        <v>15</v>
      </c>
      <c r="O25" s="11">
        <v>3</v>
      </c>
      <c r="P25" s="11"/>
      <c r="Q25" s="11">
        <v>10</v>
      </c>
      <c r="R25" s="44">
        <f t="shared" si="2"/>
        <v>8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10</v>
      </c>
      <c r="E26" s="30">
        <f>'เย็น '!E26+'เช้า '!E26+บ่าย!E26</f>
        <v>8</v>
      </c>
      <c r="F26" s="30">
        <f>'เย็น '!F26+'เช้า '!F26+บ่าย!F26</f>
        <v>1</v>
      </c>
      <c r="G26" s="30">
        <f>'เย็น '!G26+'เช้า '!G26+บ่าย!G26</f>
        <v>102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102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121</v>
      </c>
      <c r="N26" s="11">
        <v>120</v>
      </c>
      <c r="O26" s="11">
        <v>2</v>
      </c>
      <c r="P26" s="11"/>
      <c r="Q26" s="11">
        <v>90</v>
      </c>
      <c r="R26" s="44">
        <f t="shared" si="2"/>
        <v>91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7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7</v>
      </c>
      <c r="N40" s="11"/>
      <c r="O40" s="11"/>
      <c r="P40" s="11"/>
      <c r="Q40" s="11"/>
      <c r="R40" s="44">
        <f t="shared" si="2"/>
        <v>-7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7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7</v>
      </c>
      <c r="N41" s="11"/>
      <c r="O41" s="11"/>
      <c r="P41" s="11"/>
      <c r="Q41" s="11"/>
      <c r="R41" s="44">
        <f t="shared" si="2"/>
        <v>-7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7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7</v>
      </c>
      <c r="N42" s="11"/>
      <c r="O42" s="11"/>
      <c r="P42" s="11"/>
      <c r="Q42" s="11"/>
      <c r="R42" s="44">
        <f t="shared" si="2"/>
        <v>-7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7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7</v>
      </c>
      <c r="N43" s="11"/>
      <c r="O43" s="11"/>
      <c r="P43" s="11"/>
      <c r="Q43" s="11"/>
      <c r="R43" s="44">
        <f t="shared" si="2"/>
        <v>-7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7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7</v>
      </c>
      <c r="N44" s="11"/>
      <c r="O44" s="11"/>
      <c r="P44" s="11"/>
      <c r="Q44" s="11"/>
      <c r="R44" s="44">
        <f t="shared" si="2"/>
        <v>-7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7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7</v>
      </c>
      <c r="N45" s="11"/>
      <c r="O45" s="11"/>
      <c r="P45" s="11"/>
      <c r="Q45" s="11"/>
      <c r="R45" s="44">
        <f t="shared" si="2"/>
        <v>-7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7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7</v>
      </c>
      <c r="N46" s="11"/>
      <c r="O46" s="11"/>
      <c r="P46" s="11"/>
      <c r="Q46" s="11"/>
      <c r="R46" s="44">
        <f t="shared" si="2"/>
        <v>-7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7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7</v>
      </c>
      <c r="N47" s="11"/>
      <c r="O47" s="11"/>
      <c r="P47" s="11"/>
      <c r="Q47" s="11"/>
      <c r="R47" s="44">
        <f t="shared" si="2"/>
        <v>-7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7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7</v>
      </c>
      <c r="N48" s="11"/>
      <c r="O48" s="11"/>
      <c r="P48" s="11"/>
      <c r="Q48" s="11"/>
      <c r="R48" s="44">
        <f t="shared" si="2"/>
        <v>-7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7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7</v>
      </c>
      <c r="N49" s="11"/>
      <c r="O49" s="11"/>
      <c r="P49" s="11"/>
      <c r="Q49" s="11"/>
      <c r="R49" s="44">
        <f t="shared" si="2"/>
        <v>-7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7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7</v>
      </c>
      <c r="N50" s="11"/>
      <c r="O50" s="11"/>
      <c r="P50" s="11"/>
      <c r="Q50" s="11"/>
      <c r="R50" s="44">
        <f t="shared" si="2"/>
        <v>-7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7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7</v>
      </c>
      <c r="N51" s="11"/>
      <c r="O51" s="11"/>
      <c r="P51" s="11"/>
      <c r="Q51" s="11"/>
      <c r="R51" s="44">
        <f t="shared" si="2"/>
        <v>-7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6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6</v>
      </c>
      <c r="N52" s="11"/>
      <c r="O52" s="11"/>
      <c r="P52" s="11"/>
      <c r="Q52" s="11"/>
      <c r="R52" s="44">
        <f t="shared" si="2"/>
        <v>-6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1" t="s">
        <v>55</v>
      </c>
      <c r="C68" s="72"/>
      <c r="D68" s="72"/>
      <c r="E68" s="72"/>
      <c r="F68" s="72"/>
      <c r="G68" s="72"/>
      <c r="H68" s="72"/>
      <c r="I68" s="72"/>
      <c r="J68" s="30">
        <f t="shared" si="0"/>
        <v>0</v>
      </c>
      <c r="K68" s="72"/>
      <c r="L68" s="72"/>
      <c r="M68" s="36">
        <f t="shared" si="1"/>
        <v>0</v>
      </c>
      <c r="N68" s="72"/>
      <c r="O68" s="72"/>
      <c r="P68" s="72"/>
      <c r="Q68" s="72"/>
      <c r="R68" s="73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16</v>
      </c>
      <c r="E69" s="30">
        <f>'เย็น '!E69+'เช้า '!E69+บ่าย!E69</f>
        <v>0</v>
      </c>
      <c r="F69" s="30">
        <f>'เย็น '!F69+'เช้า '!F69+บ่าย!F69</f>
        <v>8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3</v>
      </c>
      <c r="K69" s="30">
        <f>'เย็น '!J69+'เช้า '!J69+บ่าย!J69</f>
        <v>0</v>
      </c>
      <c r="L69" s="30">
        <f>'เย็น '!K69+'เช้า '!K69+บ่าย!K69</f>
        <v>17</v>
      </c>
      <c r="M69" s="36">
        <f t="shared" si="1"/>
        <v>44</v>
      </c>
      <c r="N69" s="11">
        <v>30</v>
      </c>
      <c r="O69" s="11">
        <v>38</v>
      </c>
      <c r="P69" s="11"/>
      <c r="Q69" s="11">
        <v>15</v>
      </c>
      <c r="R69" s="44">
        <f t="shared" ref="R69:R76" si="4">(N69+O69+P69+Q69)-M69</f>
        <v>39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1" t="s">
        <v>64</v>
      </c>
      <c r="C78" s="72"/>
      <c r="D78" s="72"/>
      <c r="E78" s="72"/>
      <c r="F78" s="72"/>
      <c r="G78" s="72"/>
      <c r="H78" s="72"/>
      <c r="I78" s="72"/>
      <c r="J78" s="30">
        <f t="shared" si="5"/>
        <v>0</v>
      </c>
      <c r="K78" s="72"/>
      <c r="L78" s="72"/>
      <c r="M78" s="36">
        <f t="shared" si="6"/>
        <v>0</v>
      </c>
      <c r="N78" s="72"/>
      <c r="O78" s="72"/>
      <c r="P78" s="72"/>
      <c r="Q78" s="72"/>
      <c r="R78" s="73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11</v>
      </c>
      <c r="E87" s="30">
        <f>'เย็น '!E87+'เช้า '!E87+บ่าย!E87</f>
        <v>9</v>
      </c>
      <c r="F87" s="30">
        <f>'เย็น '!F87+'เช้า '!F87+บ่าย!F87</f>
        <v>0</v>
      </c>
      <c r="G87" s="30">
        <f>'เย็น '!G87+'เช้า '!G87+บ่าย!G87</f>
        <v>69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69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89</v>
      </c>
      <c r="N87" s="11">
        <v>120</v>
      </c>
      <c r="O87" s="11">
        <v>107</v>
      </c>
      <c r="P87" s="11"/>
      <c r="Q87" s="11">
        <v>90</v>
      </c>
      <c r="R87" s="44">
        <f t="shared" si="8"/>
        <v>228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1" t="s">
        <v>74</v>
      </c>
      <c r="C89" s="72"/>
      <c r="D89" s="72"/>
      <c r="E89" s="72"/>
      <c r="F89" s="72"/>
      <c r="G89" s="72"/>
      <c r="H89" s="72"/>
      <c r="I89" s="72"/>
      <c r="J89" s="30">
        <f t="shared" si="5"/>
        <v>0</v>
      </c>
      <c r="K89" s="72"/>
      <c r="L89" s="72"/>
      <c r="M89" s="36">
        <f t="shared" si="6"/>
        <v>0</v>
      </c>
      <c r="N89" s="72"/>
      <c r="O89" s="72"/>
      <c r="P89" s="72"/>
      <c r="Q89" s="72"/>
      <c r="R89" s="73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10</v>
      </c>
      <c r="E90" s="30">
        <f>'เย็น '!E90+'เช้า '!E90+บ่าย!E90</f>
        <v>1</v>
      </c>
      <c r="F90" s="30">
        <f>'เย็น '!F90+'เช้า '!F90+บ่าย!F90</f>
        <v>6</v>
      </c>
      <c r="G90" s="30">
        <f>'เย็น '!G90+'เช้า '!G90+บ่าย!G90</f>
        <v>38</v>
      </c>
      <c r="H90" s="30">
        <f>'เย็น '!H90+'เช้า '!H90+บ่าย!H90</f>
        <v>2</v>
      </c>
      <c r="I90" s="30">
        <f>'เย็น '!I90+'เช้า '!I90+บ่าย!I90</f>
        <v>0</v>
      </c>
      <c r="J90" s="30">
        <f t="shared" si="5"/>
        <v>40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57</v>
      </c>
      <c r="N90" s="11">
        <v>70</v>
      </c>
      <c r="O90" s="11">
        <v>109</v>
      </c>
      <c r="P90" s="11"/>
      <c r="Q90" s="11"/>
      <c r="R90" s="44">
        <f t="shared" ref="R90:R100" si="9">(N90+O90+P90+Q90)-M90</f>
        <v>122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8</v>
      </c>
      <c r="E91" s="30">
        <f>'เย็น '!E91+'เช้า '!E91+บ่าย!E91</f>
        <v>1</v>
      </c>
      <c r="F91" s="30">
        <f>'เย็น '!F91+'เช้า '!F91+บ่าย!F91</f>
        <v>22</v>
      </c>
      <c r="G91" s="30">
        <f>'เย็น '!G91+'เช้า '!G91+บ่าย!G91</f>
        <v>38</v>
      </c>
      <c r="H91" s="30">
        <f>'เย็น '!H91+'เช้า '!H91+บ่าย!H91</f>
        <v>2</v>
      </c>
      <c r="I91" s="30">
        <f>'เย็น '!I91+'เช้า '!I91+บ่าย!I91</f>
        <v>0</v>
      </c>
      <c r="J91" s="30">
        <f t="shared" si="5"/>
        <v>40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71</v>
      </c>
      <c r="N91" s="11">
        <v>74</v>
      </c>
      <c r="O91" s="11">
        <v>107</v>
      </c>
      <c r="P91" s="11"/>
      <c r="Q91" s="11"/>
      <c r="R91" s="44">
        <f t="shared" si="9"/>
        <v>110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14</v>
      </c>
      <c r="E92" s="30">
        <f>'เย็น '!E92+'เช้า '!E92+บ่าย!E92</f>
        <v>1</v>
      </c>
      <c r="F92" s="30">
        <f>'เย็น '!F92+'เช้า '!F92+บ่าย!F92</f>
        <v>4</v>
      </c>
      <c r="G92" s="30">
        <f>'เย็น '!G92+'เช้า '!G92+บ่าย!G92</f>
        <v>38</v>
      </c>
      <c r="H92" s="30">
        <f>'เย็น '!H92+'เช้า '!H92+บ่าย!H92</f>
        <v>2</v>
      </c>
      <c r="I92" s="30">
        <f>'เย็น '!I92+'เช้า '!I92+บ่าย!I92</f>
        <v>0</v>
      </c>
      <c r="J92" s="30">
        <f t="shared" si="5"/>
        <v>40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59</v>
      </c>
      <c r="N92" s="11">
        <v>70</v>
      </c>
      <c r="O92" s="11">
        <v>109</v>
      </c>
      <c r="P92" s="11"/>
      <c r="Q92" s="11"/>
      <c r="R92" s="44">
        <f t="shared" si="9"/>
        <v>120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13</v>
      </c>
      <c r="E93" s="30">
        <f>'เย็น '!E93+'เช้า '!E93+บ่าย!E93</f>
        <v>1</v>
      </c>
      <c r="F93" s="30">
        <f>'เย็น '!F93+'เช้า '!F93+บ่าย!F93</f>
        <v>4</v>
      </c>
      <c r="G93" s="30">
        <f>'เย็น '!G93+'เช้า '!G93+บ่าย!G93</f>
        <v>38</v>
      </c>
      <c r="H93" s="30">
        <f>'เย็น '!H93+'เช้า '!H93+บ่าย!H93</f>
        <v>2</v>
      </c>
      <c r="I93" s="30">
        <f>'เย็น '!I93+'เช้า '!I93+บ่าย!I93</f>
        <v>0</v>
      </c>
      <c r="J93" s="30">
        <f t="shared" si="5"/>
        <v>40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58</v>
      </c>
      <c r="N93" s="11">
        <v>70</v>
      </c>
      <c r="O93" s="11">
        <v>116</v>
      </c>
      <c r="P93" s="11"/>
      <c r="Q93" s="11"/>
      <c r="R93" s="44">
        <f t="shared" si="9"/>
        <v>128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8</v>
      </c>
      <c r="E97" s="30">
        <f>'เย็น '!E97+'เช้า '!E97+บ่าย!E97</f>
        <v>1</v>
      </c>
      <c r="F97" s="30">
        <f>'เย็น '!F97+'เช้า '!F97+บ่าย!F97</f>
        <v>4</v>
      </c>
      <c r="G97" s="30">
        <f>'เย็น '!G97+'เช้า '!G97+บ่าย!G97</f>
        <v>40</v>
      </c>
      <c r="H97" s="30">
        <f>'เย็น '!H97+'เช้า '!H97+บ่าย!H97</f>
        <v>2</v>
      </c>
      <c r="I97" s="30">
        <f>'เย็น '!I97+'เช้า '!I97+บ่าย!I97</f>
        <v>0</v>
      </c>
      <c r="J97" s="30">
        <f t="shared" si="5"/>
        <v>42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55</v>
      </c>
      <c r="N97" s="11">
        <v>70</v>
      </c>
      <c r="O97" s="11">
        <v>111</v>
      </c>
      <c r="P97" s="11"/>
      <c r="Q97" s="11"/>
      <c r="R97" s="44">
        <f t="shared" si="9"/>
        <v>126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9</v>
      </c>
      <c r="E98" s="30">
        <f>'เย็น '!E98+'เช้า '!E98+บ่าย!E98</f>
        <v>1</v>
      </c>
      <c r="F98" s="30">
        <f>'เย็น '!F98+'เช้า '!F98+บ่าย!F98</f>
        <v>4</v>
      </c>
      <c r="G98" s="30">
        <f>'เย็น '!G98+'เช้า '!G98+บ่าย!G98</f>
        <v>39</v>
      </c>
      <c r="H98" s="30">
        <f>'เย็น '!H98+'เช้า '!H98+บ่าย!H98</f>
        <v>2</v>
      </c>
      <c r="I98" s="30">
        <f>'เย็น '!I98+'เช้า '!I98+บ่าย!I98</f>
        <v>0</v>
      </c>
      <c r="J98" s="30">
        <f t="shared" si="5"/>
        <v>41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55</v>
      </c>
      <c r="N98" s="11">
        <v>70</v>
      </c>
      <c r="O98" s="11">
        <v>111</v>
      </c>
      <c r="P98" s="11"/>
      <c r="Q98" s="11"/>
      <c r="R98" s="44">
        <f t="shared" si="9"/>
        <v>126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424</v>
      </c>
      <c r="O100" s="11">
        <f>SUM(O90:O99)</f>
        <v>663</v>
      </c>
      <c r="P100" s="11">
        <f>SUM(P90:P99)</f>
        <v>0</v>
      </c>
      <c r="Q100" s="11">
        <f>SUM(Q90:Q99)</f>
        <v>0</v>
      </c>
      <c r="R100" s="44">
        <f t="shared" si="9"/>
        <v>1087</v>
      </c>
    </row>
    <row r="101" spans="2:18" x14ac:dyDescent="0.25">
      <c r="B101" s="71" t="s">
        <v>85</v>
      </c>
      <c r="C101" s="72"/>
      <c r="D101" s="72"/>
      <c r="E101" s="72"/>
      <c r="F101" s="72"/>
      <c r="G101" s="72"/>
      <c r="H101" s="72"/>
      <c r="I101" s="72"/>
      <c r="J101" s="30">
        <f t="shared" si="5"/>
        <v>0</v>
      </c>
      <c r="K101" s="72"/>
      <c r="L101" s="72"/>
      <c r="M101" s="36">
        <f t="shared" si="6"/>
        <v>0</v>
      </c>
      <c r="N101" s="72"/>
      <c r="O101" s="72"/>
      <c r="P101" s="72"/>
      <c r="Q101" s="72"/>
      <c r="R101" s="73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1" t="s">
        <v>86</v>
      </c>
      <c r="C113" s="72"/>
      <c r="D113" s="72"/>
      <c r="E113" s="72"/>
      <c r="F113" s="72"/>
      <c r="G113" s="72"/>
      <c r="H113" s="72"/>
      <c r="I113" s="72"/>
      <c r="J113" s="30">
        <f t="shared" si="5"/>
        <v>0</v>
      </c>
      <c r="K113" s="72"/>
      <c r="L113" s="72"/>
      <c r="M113" s="36">
        <f t="shared" si="6"/>
        <v>0</v>
      </c>
      <c r="N113" s="72"/>
      <c r="O113" s="72"/>
      <c r="P113" s="72"/>
      <c r="Q113" s="72"/>
      <c r="R113" s="73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29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29</v>
      </c>
      <c r="N114" s="11"/>
      <c r="O114" s="11">
        <v>31</v>
      </c>
      <c r="P114" s="11"/>
      <c r="Q114" s="11"/>
      <c r="R114" s="44">
        <f t="shared" ref="R114:R151" si="11">(N114+O114+P114+Q114)-M114</f>
        <v>2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13</v>
      </c>
      <c r="E115" s="30">
        <f>บ่าย!E115+'เช้า '!E115+'เย็น '!E115</f>
        <v>0</v>
      </c>
      <c r="F115" s="30">
        <f>บ่าย!F115+'เช้า '!F115+'เย็น '!F115</f>
        <v>3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16</v>
      </c>
      <c r="N115" s="11"/>
      <c r="O115" s="11">
        <v>18</v>
      </c>
      <c r="P115" s="11"/>
      <c r="Q115" s="11"/>
      <c r="R115" s="44">
        <f t="shared" si="11"/>
        <v>2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1</v>
      </c>
      <c r="F120" s="30">
        <f>บ่าย!F120+'เช้า '!F120+'เย็น '!F120</f>
        <v>0</v>
      </c>
      <c r="G120" s="30">
        <f>บ่าย!G120+'เช้า '!G120+'เย็น '!G120</f>
        <v>4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4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5</v>
      </c>
      <c r="N120" s="11"/>
      <c r="O120" s="11">
        <v>7</v>
      </c>
      <c r="P120" s="11"/>
      <c r="Q120" s="11"/>
      <c r="R120" s="44">
        <f t="shared" si="11"/>
        <v>2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50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50</v>
      </c>
      <c r="N121" s="11"/>
      <c r="O121" s="11">
        <v>50</v>
      </c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2</v>
      </c>
      <c r="E123" s="30">
        <f>บ่าย!E123+'เช้า '!E123+'เย็น '!E123</f>
        <v>4</v>
      </c>
      <c r="F123" s="30">
        <f>บ่าย!F123+'เช้า '!F123+'เย็น '!F123</f>
        <v>14</v>
      </c>
      <c r="G123" s="30">
        <f>บ่าย!G123+'เช้า '!G123+'เย็น '!G123</f>
        <v>233</v>
      </c>
      <c r="H123" s="30">
        <f>บ่าย!H123+'เช้า '!H123+'เย็น '!H123</f>
        <v>3</v>
      </c>
      <c r="I123" s="30">
        <f>บ่าย!I123+'เช้า '!I123+'เย็น '!I123</f>
        <v>2</v>
      </c>
      <c r="J123" s="30">
        <f t="shared" si="5"/>
        <v>238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258</v>
      </c>
      <c r="N123" s="11">
        <v>553</v>
      </c>
      <c r="O123" s="11">
        <v>903</v>
      </c>
      <c r="P123" s="11"/>
      <c r="Q123" s="11"/>
      <c r="R123" s="44">
        <f t="shared" si="11"/>
        <v>1198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2</v>
      </c>
      <c r="E124" s="30">
        <f>บ่าย!E124+'เช้า '!E124+'เย็น '!E124</f>
        <v>0</v>
      </c>
      <c r="F124" s="30">
        <f>บ่าย!F124+'เช้า '!F124+'เย็น '!F124</f>
        <v>2</v>
      </c>
      <c r="G124" s="30">
        <f>บ่าย!G124+'เช้า '!G124+'เย็น '!G124</f>
        <v>197</v>
      </c>
      <c r="H124" s="30">
        <f>บ่าย!H124+'เช้า '!H124+'เย็น '!H124</f>
        <v>3</v>
      </c>
      <c r="I124" s="30">
        <f>บ่าย!I124+'เช้า '!I124+'เย็น '!I124</f>
        <v>2</v>
      </c>
      <c r="J124" s="30">
        <f t="shared" si="5"/>
        <v>202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206</v>
      </c>
      <c r="N124" s="11">
        <v>406</v>
      </c>
      <c r="O124" s="11">
        <v>692</v>
      </c>
      <c r="P124" s="11"/>
      <c r="Q124" s="11"/>
      <c r="R124" s="44">
        <f t="shared" si="11"/>
        <v>892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2</v>
      </c>
      <c r="E125" s="30">
        <f>บ่าย!E125+'เช้า '!E125+'เย็น '!E125</f>
        <v>0</v>
      </c>
      <c r="F125" s="30">
        <f>บ่าย!F125+'เช้า '!F125+'เย็น '!F125</f>
        <v>4</v>
      </c>
      <c r="G125" s="30">
        <f>บ่าย!G125+'เช้า '!G125+'เย็น '!G125</f>
        <v>179</v>
      </c>
      <c r="H125" s="30">
        <f>บ่าย!H125+'เช้า '!H125+'เย็น '!H125</f>
        <v>3</v>
      </c>
      <c r="I125" s="30">
        <f>บ่าย!I125+'เช้า '!I125+'เย็น '!I125</f>
        <v>2</v>
      </c>
      <c r="J125" s="30">
        <f t="shared" si="5"/>
        <v>184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190</v>
      </c>
      <c r="N125" s="11">
        <v>395</v>
      </c>
      <c r="O125" s="11">
        <v>740</v>
      </c>
      <c r="P125" s="11"/>
      <c r="Q125" s="11"/>
      <c r="R125" s="44">
        <f t="shared" si="11"/>
        <v>945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4</v>
      </c>
      <c r="F126" s="30">
        <f>บ่าย!F126+'เช้า '!F126+'เย็น '!F126</f>
        <v>6</v>
      </c>
      <c r="G126" s="30">
        <f>บ่าย!G126+'เช้า '!G126+'เย็น '!G126</f>
        <v>31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31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41</v>
      </c>
      <c r="N126" s="11">
        <v>40</v>
      </c>
      <c r="O126" s="11">
        <v>4</v>
      </c>
      <c r="P126" s="11"/>
      <c r="Q126" s="11">
        <v>30</v>
      </c>
      <c r="R126" s="44">
        <f t="shared" si="11"/>
        <v>33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2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2</v>
      </c>
      <c r="N135" s="11"/>
      <c r="O135" s="11"/>
      <c r="P135" s="11"/>
      <c r="Q135" s="11"/>
      <c r="R135" s="44">
        <f t="shared" si="11"/>
        <v>-2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1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1</v>
      </c>
      <c r="N136" s="11"/>
      <c r="O136" s="11"/>
      <c r="P136" s="11"/>
      <c r="Q136" s="11"/>
      <c r="R136" s="44">
        <f t="shared" si="11"/>
        <v>-1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221</v>
      </c>
      <c r="E152" s="60">
        <f t="shared" ref="E152:R152" si="14">SUM(E114:E151,E90:E99,E79:E87,E69:E76,E7:E66,E102:E111)</f>
        <v>141</v>
      </c>
      <c r="F152" s="60">
        <f t="shared" si="14"/>
        <v>157</v>
      </c>
      <c r="G152" s="60">
        <f t="shared" si="14"/>
        <v>1055</v>
      </c>
      <c r="H152" s="60">
        <f t="shared" si="14"/>
        <v>21</v>
      </c>
      <c r="I152" s="60">
        <f t="shared" si="14"/>
        <v>6</v>
      </c>
      <c r="J152" s="60"/>
      <c r="K152" s="60">
        <f t="shared" si="14"/>
        <v>0</v>
      </c>
      <c r="L152" s="60">
        <f t="shared" si="14"/>
        <v>17</v>
      </c>
      <c r="M152" s="60">
        <f t="shared" si="14"/>
        <v>1618</v>
      </c>
      <c r="N152" s="60">
        <f t="shared" si="14"/>
        <v>2193</v>
      </c>
      <c r="O152" s="60">
        <f t="shared" si="14"/>
        <v>3258</v>
      </c>
      <c r="P152" s="60">
        <f t="shared" si="14"/>
        <v>30</v>
      </c>
      <c r="Q152" s="60">
        <f t="shared" si="14"/>
        <v>305</v>
      </c>
      <c r="R152" s="60">
        <f t="shared" si="14"/>
        <v>4168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2025-07-08T00:46:29Z</cp:lastPrinted>
  <dcterms:created xsi:type="dcterms:W3CDTF">2024-04-30T05:21:27Z</dcterms:created>
  <dcterms:modified xsi:type="dcterms:W3CDTF">2025-07-16T08:58:08Z</dcterms:modified>
</cp:coreProperties>
</file>