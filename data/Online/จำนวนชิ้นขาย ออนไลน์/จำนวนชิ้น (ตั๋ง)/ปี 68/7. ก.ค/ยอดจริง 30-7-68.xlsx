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40FE7728-A07B-47D6-8A64-5EE9CFB05C58}" xr6:coauthVersionLast="47" xr6:coauthVersionMax="47" xr10:uidLastSave="{00000000-0000-0000-0000-000000000000}"/>
  <bookViews>
    <workbookView xWindow="10185" yWindow="60" windowWidth="18660" windowHeight="14805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9" i="5" l="1"/>
  <c r="Q140" i="5"/>
  <c r="Q141" i="5"/>
  <c r="Q142" i="5"/>
  <c r="Q143" i="5"/>
  <c r="Q144" i="5"/>
  <c r="Q145" i="5"/>
  <c r="Q146" i="5"/>
  <c r="Q147" i="5"/>
  <c r="Q14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Q137" i="5" s="1"/>
  <c r="L135" i="5"/>
  <c r="Q135" i="5" s="1"/>
  <c r="L136" i="5"/>
  <c r="Q136" i="5" s="1"/>
  <c r="L131" i="5"/>
  <c r="Q131" i="5" s="1"/>
  <c r="L132" i="5"/>
  <c r="Q132" i="5" s="1"/>
  <c r="L133" i="5"/>
  <c r="Q133" i="5" s="1"/>
  <c r="L134" i="5"/>
  <c r="Q134" i="5" s="1"/>
  <c r="L138" i="5"/>
  <c r="Q138" i="5" s="1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<sst xmlns="http://schemas.openxmlformats.org/spreadsheetml/2006/main" count="633" uniqueCount="151">
  <si>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</si>
  <si>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</si>
  <si>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</si>
  <si>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</si>
  <si>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</si>
  <si>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</si>
  <si>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</si>
  <si>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</si>
  <si>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</si>
  <si>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</si>
  <si>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</si>
  <si>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</si>
  <si>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</si>
  <si>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</si>
  <si>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</si>
  <si>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</si>
  <si>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</si>
  <si>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</si>
  <si>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</si>
  <si>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</si>
  <si>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</si>
  <si>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</si>
  <si>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</si>
  <si>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</si>
  <si>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</si>
  <si>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</si>
  <si>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</si>
  <si>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</si>
  <si>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</si>
  <si>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</si>
  <si>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</si>
  <si>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</si>
  <si>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</si>
  <si>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</si>
  <si>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</si>
  <si>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</si>
  <si>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</si>
  <si>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</si>
  <si>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</si>
  <si>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</si>
  <si>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</si>
  <si>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</si>
  <si>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</si>
  <si>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</si>
  <si>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</si>
  <si>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</si>
  <si>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</si>
  <si>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</si>
  <si>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</si>
  <si>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</si>
  <si>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</si>
  <si>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</si>
  <si>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</si>
  <si>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</si>
  <si>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</si>
  <si>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</si>
  <si>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</si>
  <si>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</si>
  <si>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</si>
  <si>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</si>
  <si>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</si>
  <si>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</si>
  <si>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</si>
  <si>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</si>
  <si>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</si>
  <si>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</si>
  <si>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</si>
  <si>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</si>
  <si>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</si>
  <si>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</si>
  <si>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</si>
  <si>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</si>
  <si>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</si>
  <si>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</si>
  <si>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</si>
  <si>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</si>
  <si>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</si>
  <si>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</si>
  <si>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</si>
  <si>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</si>
  <si>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</si>
  <si>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</si>
  <si>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</si>
  <si>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</si>
  <si>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</si>
  <si>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</si>
  <si>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</si>
  <si>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</si>
  <si>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</si>
  <si>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</si>
  <si>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</si>
  <si>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</si>
  <si>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</si>
  <si>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</si>
  <si>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</si>
  <si>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</si>
  <si>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</si>
  <si>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</si>
  <si>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</si>
  <si>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</si>
  <si>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</si>
  <si>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</si>
  <si>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</si>
  <si>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</si>
  <si>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</si>
  <si>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</si>
  <si>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</si>
  <si>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</si>
  <si>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</si>
  <si>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</si>
  <si>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</si>
  <si>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</si>
  <si>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</si>
  <si>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</si>
  <si>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</si>
  <si>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</si>
  <si>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</si>
  <si>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</si>
  <si>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</si>
  <si>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</si>
  <si>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</si>
  <si>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</si>
  <si>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</si>
  <si>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</si>
  <si>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</si>
  <si>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</si>
  <si>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</si>
  <si>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</si>
  <si>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</si>
  <si>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</si>
  <si>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</si>
  <si>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</si>
  <si>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</si>
  <si>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</si>
  <si>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</si>
  <si>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</si>
  <si>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</si>
  <si>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</si>
  <si>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</si>
  <si>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</si>
  <si>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</si>
  <si>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</si>
  <si>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</si>
  <si>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</si>
  <si>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</si>
  <si>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</si>
  <si>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</si>
  <si>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</si>
  <si>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</si>
  <si>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 30/7/68 รวม</t>
  </si>
  <si>
    <t>ยอดจริง ออนไลน์ วันที่ 30/7/68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</si>
</sst>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P49" sqref="P4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150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2</v>
      </c>
      <c r="E7" s="30">
        <v>14</v>
      </c>
      <c r="F7" s="30">
        <v>18</v>
      </c>
      <c r="G7" s="30">
        <v>8</v>
      </c>
      <c r="H7" s="30"/>
      <c r="I7" s="30"/>
      <c r="J7" s="43"/>
      <c r="K7" s="43">
        <v>14</v>
      </c>
      <c r="L7" s="36">
        <f>SUM(D7:K7)</f>
        <v>56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2</v>
      </c>
      <c r="E25" s="30">
        <v>9</v>
      </c>
      <c r="F25" s="30"/>
      <c r="G25" s="30"/>
      <c r="H25" s="30"/>
      <c r="I25" s="30"/>
      <c r="J25" s="43"/>
      <c r="K25" s="43"/>
      <c r="L25" s="36">
        <f t="shared" si="0"/>
        <v>11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24</v>
      </c>
      <c r="H26" s="30"/>
      <c r="I26" s="30"/>
      <c r="J26" s="43"/>
      <c r="K26" s="43">
        <v>11</v>
      </c>
      <c r="L26" s="36">
        <f t="shared" si="0"/>
        <v>35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102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2</v>
      </c>
      <c r="E69" s="30"/>
      <c r="F69" s="30"/>
      <c r="G69" s="30">
        <v>2</v>
      </c>
      <c r="H69" s="30"/>
      <c r="I69" s="30"/>
      <c r="J69" s="43"/>
      <c r="K69" s="43"/>
      <c r="L69" s="36">
        <f t="shared" ref="L69:L76" si="1">SUM(D69:K69)</f>
        <v>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3</v>
      </c>
      <c r="F87" s="30"/>
      <c r="G87" s="30">
        <v>42</v>
      </c>
      <c r="H87" s="30"/>
      <c r="I87" s="30"/>
      <c r="J87" s="43"/>
      <c r="K87" s="43"/>
      <c r="L87" s="36">
        <f t="shared" si="2"/>
        <v>45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45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3</v>
      </c>
      <c r="E90" s="30"/>
      <c r="F90" s="30"/>
      <c r="G90" s="30">
        <v>34</v>
      </c>
      <c r="H90" s="30"/>
      <c r="I90" s="30"/>
      <c r="J90" s="43"/>
      <c r="K90" s="43">
        <v>5</v>
      </c>
      <c r="L90" s="36">
        <f t="shared" ref="L90:L99" si="3">SUM(D90:K90)</f>
        <v>42</v>
      </c>
    </row>
    <row r="91" spans="2:12">
      <c r="B91" s="11">
        <v>1112011</v>
      </c>
      <c r="C91" s="19" t="s">
        <v>76</v>
      </c>
      <c r="D91" s="30">
        <v>2</v>
      </c>
      <c r="E91" s="30"/>
      <c r="F91" s="30">
        <v>2</v>
      </c>
      <c r="G91" s="30">
        <v>32</v>
      </c>
      <c r="H91" s="30"/>
      <c r="I91" s="30"/>
      <c r="J91" s="43"/>
      <c r="K91" s="43">
        <v>5</v>
      </c>
      <c r="L91" s="36">
        <f t="shared" si="3"/>
        <v>41</v>
      </c>
    </row>
    <row r="92" spans="2:12">
      <c r="B92" s="11">
        <v>1112003</v>
      </c>
      <c r="C92" s="19" t="s">
        <v>77</v>
      </c>
      <c r="D92" s="30">
        <v>4</v>
      </c>
      <c r="E92" s="30"/>
      <c r="F92" s="30"/>
      <c r="G92" s="30">
        <v>33</v>
      </c>
      <c r="H92" s="30"/>
      <c r="I92" s="30"/>
      <c r="J92" s="43"/>
      <c r="K92" s="43"/>
      <c r="L92" s="36">
        <f t="shared" si="3"/>
        <v>37</v>
      </c>
    </row>
    <row r="93" spans="2:12">
      <c r="B93" s="11">
        <v>1112005</v>
      </c>
      <c r="C93" s="19" t="s">
        <v>78</v>
      </c>
      <c r="D93" s="30">
        <v>5</v>
      </c>
      <c r="E93" s="30"/>
      <c r="F93" s="30"/>
      <c r="G93" s="30">
        <v>32</v>
      </c>
      <c r="H93" s="30"/>
      <c r="I93" s="30"/>
      <c r="J93" s="43"/>
      <c r="K93" s="43"/>
      <c r="L93" s="36">
        <f t="shared" si="3"/>
        <v>37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/>
      <c r="F97" s="30"/>
      <c r="G97" s="30">
        <v>34</v>
      </c>
      <c r="H97" s="30"/>
      <c r="I97" s="30"/>
      <c r="J97" s="43"/>
      <c r="K97" s="43"/>
      <c r="L97" s="36">
        <f t="shared" si="3"/>
        <v>37</v>
      </c>
    </row>
    <row r="98" spans="2:12">
      <c r="B98" s="11">
        <v>1112013</v>
      </c>
      <c r="C98" s="19" t="s">
        <v>83</v>
      </c>
      <c r="D98" s="30">
        <v>5</v>
      </c>
      <c r="E98" s="30"/>
      <c r="F98" s="30"/>
      <c r="G98" s="30">
        <v>32</v>
      </c>
      <c r="H98" s="30"/>
      <c r="I98" s="30"/>
      <c r="J98" s="43"/>
      <c r="K98" s="43">
        <v>5</v>
      </c>
      <c r="L98" s="36">
        <f t="shared" si="3"/>
        <v>42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236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110</v>
      </c>
      <c r="L105" s="36">
        <f t="shared" si="4"/>
        <v>110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110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</v>
      </c>
      <c r="E123" s="30">
        <v>7</v>
      </c>
      <c r="F123" s="30">
        <v>3</v>
      </c>
      <c r="G123" s="30">
        <v>92</v>
      </c>
      <c r="H123" s="30"/>
      <c r="I123" s="30"/>
      <c r="J123" s="43"/>
      <c r="K123" s="43"/>
      <c r="L123" s="36">
        <f t="shared" si="5"/>
        <v>103</v>
      </c>
    </row>
    <row r="124" spans="2:12">
      <c r="B124" s="11">
        <v>1114502</v>
      </c>
      <c r="C124" s="21" t="s">
        <v>96</v>
      </c>
      <c r="D124" s="30">
        <v>1</v>
      </c>
      <c r="E124" s="30">
        <v>2</v>
      </c>
      <c r="F124" s="30">
        <v>1</v>
      </c>
      <c r="G124" s="30">
        <v>92</v>
      </c>
      <c r="H124" s="30"/>
      <c r="I124" s="30"/>
      <c r="J124" s="43"/>
      <c r="K124" s="43"/>
      <c r="L124" s="36">
        <f t="shared" si="5"/>
        <v>96</v>
      </c>
    </row>
    <row r="125" spans="2:12">
      <c r="B125" s="11">
        <v>1114503</v>
      </c>
      <c r="C125" s="21" t="s">
        <v>97</v>
      </c>
      <c r="D125" s="30">
        <v>1</v>
      </c>
      <c r="E125" s="30">
        <v>1</v>
      </c>
      <c r="F125" s="30">
        <v>2</v>
      </c>
      <c r="G125" s="30">
        <v>95</v>
      </c>
      <c r="H125" s="30"/>
      <c r="I125" s="30"/>
      <c r="J125" s="43"/>
      <c r="K125" s="43"/>
      <c r="L125" s="36">
        <f t="shared" si="5"/>
        <v>99</v>
      </c>
    </row>
    <row r="126" spans="2:12">
      <c r="B126" s="11">
        <v>1124021</v>
      </c>
      <c r="C126" s="21" t="s">
        <v>98</v>
      </c>
      <c r="D126" s="30">
        <v>2</v>
      </c>
      <c r="E126" s="30">
        <v>12</v>
      </c>
      <c r="F126" s="30"/>
      <c r="G126" s="30">
        <v>3</v>
      </c>
      <c r="H126" s="30"/>
      <c r="I126" s="30"/>
      <c r="J126" s="43"/>
      <c r="K126" s="43"/>
      <c r="L126" s="36">
        <f t="shared" si="5"/>
        <v>17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>
        <v>10</v>
      </c>
      <c r="F136" s="30"/>
      <c r="G136" s="30"/>
      <c r="H136" s="30"/>
      <c r="I136" s="30"/>
      <c r="J136" s="43"/>
      <c r="K136" s="43"/>
      <c r="L136" s="36">
        <f t="shared" si="5"/>
        <v>10</v>
      </c>
    </row>
    <row r="137" spans="2:12">
      <c r="B137" s="22">
        <v>20052721</v>
      </c>
      <c r="C137" s="21" t="s">
        <v>142</v>
      </c>
      <c r="D137" s="30">
        <v>4</v>
      </c>
      <c r="E137" s="30"/>
      <c r="F137" s="30"/>
      <c r="G137" s="30"/>
      <c r="H137" s="30"/>
      <c r="I137" s="30"/>
      <c r="J137" s="43"/>
      <c r="K137" s="43"/>
      <c r="L137" s="36">
        <f t="shared" si="5"/>
        <v>4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78">
        <v>24</v>
      </c>
      <c r="H142" s="9"/>
      <c r="I142" s="9"/>
      <c r="J142" s="9"/>
      <c r="K142" s="9"/>
      <c r="L142" s="36">
        <f t="shared" si="6"/>
        <v>24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N44" sqref="N4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14</v>
      </c>
      <c r="F7" s="30">
        <f>'เย็น '!F7+'เช้า '!F7+บ่าย!F7</f>
        <v>18</v>
      </c>
      <c r="G7" s="30">
        <f>'เย็น '!G7+'เช้า '!G7+บ่าย!G7</f>
        <v>8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14</v>
      </c>
      <c r="L7" s="36">
        <f>SUM(D7:K7)</f>
        <v>56</v>
      </c>
      <c r="M7" s="11">
        <v>61</v>
      </c>
      <c r="N7" s="11">
        <v>4</v>
      </c>
      <c r="O7" s="11"/>
      <c r="P7" s="11">
        <v>50</v>
      </c>
      <c r="Q7" s="44">
        <f>(M7+N7+O7+P7)-L7</f>
        <v>59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9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11</v>
      </c>
      <c r="M25" s="11"/>
      <c r="N25" s="11"/>
      <c r="O25" s="11">
        <v>5</v>
      </c>
      <c r="P25" s="11"/>
      <c r="Q25" s="44">
        <f t="shared" si="1"/>
        <v>-6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24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11</v>
      </c>
      <c r="L26" s="36">
        <f t="shared" si="0"/>
        <v>35</v>
      </c>
      <c r="M26" s="11">
        <v>51</v>
      </c>
      <c r="N26" s="11">
        <v>20</v>
      </c>
      <c r="O26" s="11"/>
      <c r="P26" s="11">
        <v>40</v>
      </c>
      <c r="Q26" s="44">
        <f t="shared" si="1"/>
        <v>76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0</v>
      </c>
      <c r="F69" s="30">
        <f>'เย็น '!F69+'เช้า '!F69+บ่าย!F69</f>
        <v>0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4</v>
      </c>
      <c r="M69" s="11">
        <v>10</v>
      </c>
      <c r="N69" s="11">
        <v>2</v>
      </c>
      <c r="O69" s="11"/>
      <c r="P69" s="11">
        <v>10</v>
      </c>
      <c r="Q69" s="44">
        <f t="shared" ref="Q69:Q76" si="5">(M69+N69+O69+P69)-L69</f>
        <v>18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42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45</v>
      </c>
      <c r="M87" s="11">
        <v>40</v>
      </c>
      <c r="N87" s="11">
        <v>12</v>
      </c>
      <c r="O87" s="11"/>
      <c r="P87" s="11">
        <v>30</v>
      </c>
      <c r="Q87" s="44">
        <f t="shared" si="8"/>
        <v>37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3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34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5</v>
      </c>
      <c r="L90" s="36">
        <f t="shared" ref="L90:L99" si="9">SUM(D90:K90)</f>
        <v>42</v>
      </c>
      <c r="M90" s="11">
        <v>28</v>
      </c>
      <c r="N90" s="11"/>
      <c r="O90" s="11">
        <v>14</v>
      </c>
      <c r="P90" s="11">
        <v>30</v>
      </c>
      <c r="Q90" s="44">
        <f t="shared" ref="Q90:Q100" si="10">(M90+N90+O90+P90)-L90</f>
        <v>30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0</v>
      </c>
      <c r="F91" s="30">
        <f>'เย็น '!F91+'เช้า '!F91+บ่าย!F91</f>
        <v>2</v>
      </c>
      <c r="G91" s="30">
        <f>'เย็น '!G91+'เช้า '!G91+บ่าย!G91</f>
        <v>32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41</v>
      </c>
      <c r="M91" s="11">
        <v>35</v>
      </c>
      <c r="N91" s="11"/>
      <c r="O91" s="11">
        <v>6</v>
      </c>
      <c r="P91" s="11">
        <v>30</v>
      </c>
      <c r="Q91" s="44">
        <f t="shared" si="10"/>
        <v>30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33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37</v>
      </c>
      <c r="M92" s="11">
        <v>30</v>
      </c>
      <c r="N92" s="11"/>
      <c r="O92" s="11">
        <v>7</v>
      </c>
      <c r="P92" s="11">
        <v>30</v>
      </c>
      <c r="Q92" s="44">
        <f t="shared" si="10"/>
        <v>30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32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37</v>
      </c>
      <c r="M93" s="11">
        <v>30</v>
      </c>
      <c r="N93" s="11"/>
      <c r="O93" s="11">
        <v>7</v>
      </c>
      <c r="P93" s="11">
        <v>30</v>
      </c>
      <c r="Q93" s="44">
        <f t="shared" si="10"/>
        <v>30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34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37</v>
      </c>
      <c r="M97" s="11">
        <v>30</v>
      </c>
      <c r="N97" s="11"/>
      <c r="O97" s="11">
        <v>7</v>
      </c>
      <c r="P97" s="11">
        <v>30</v>
      </c>
      <c r="Q97" s="44">
        <f t="shared" si="10"/>
        <v>30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5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32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42</v>
      </c>
      <c r="M98" s="11">
        <v>35</v>
      </c>
      <c r="N98" s="11"/>
      <c r="O98" s="11">
        <v>7</v>
      </c>
      <c r="P98" s="11">
        <v>30</v>
      </c>
      <c r="Q98" s="44">
        <f t="shared" si="10"/>
        <v>30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236</v>
      </c>
      <c r="M100" s="11">
        <f>SUM(M90:M99)</f>
        <v>188</v>
      </c>
      <c r="N100" s="11">
        <f>SUM(N90:N99)</f>
        <v>0</v>
      </c>
      <c r="O100" s="11">
        <f>SUM(O90:O99)</f>
        <v>48</v>
      </c>
      <c r="P100" s="11">
        <f>SUM(P90:P99)</f>
        <v>180</v>
      </c>
      <c r="Q100" s="44">
        <f t="shared" si="10"/>
        <v>180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110</v>
      </c>
      <c r="L105" s="36">
        <f t="shared" si="11"/>
        <v>110</v>
      </c>
      <c r="M105" s="11">
        <v>110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110</v>
      </c>
      <c r="M112" s="11">
        <f>SUM(M102:M111)</f>
        <v>110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0</v>
      </c>
      <c r="M114" s="11"/>
      <c r="N114" s="11"/>
      <c r="O114" s="11"/>
      <c r="P114" s="11"/>
      <c r="Q114" s="44">
        <f t="shared" ref="Q114:Q151" si="14">(M114+N114+O114+P114)-L114</f>
        <v>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1</v>
      </c>
      <c r="E123" s="30">
        <f>บ่าย!E123+'เช้า '!E123+'เย็น '!E123</f>
        <v>7</v>
      </c>
      <c r="F123" s="30">
        <f>บ่าย!F123+'เช้า '!F123+'เย็น '!F123</f>
        <v>3</v>
      </c>
      <c r="G123" s="30">
        <f>บ่าย!G123+'เช้า '!G123+'เย็น '!G123</f>
        <v>92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103</v>
      </c>
      <c r="M123" s="11">
        <v>200</v>
      </c>
      <c r="N123" s="11"/>
      <c r="O123" s="11"/>
      <c r="P123" s="11"/>
      <c r="Q123" s="44">
        <f t="shared" si="14"/>
        <v>97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1</v>
      </c>
      <c r="E124" s="30">
        <f>บ่าย!E124+'เช้า '!E124+'เย็น '!E124</f>
        <v>2</v>
      </c>
      <c r="F124" s="30">
        <f>บ่าย!F124+'เช้า '!F124+'เย็น '!F124</f>
        <v>1</v>
      </c>
      <c r="G124" s="30">
        <f>บ่าย!G124+'เช้า '!G124+'เย็น '!G124</f>
        <v>92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96</v>
      </c>
      <c r="M124" s="11">
        <v>150</v>
      </c>
      <c r="N124" s="11"/>
      <c r="O124" s="11"/>
      <c r="P124" s="11"/>
      <c r="Q124" s="44">
        <f t="shared" si="14"/>
        <v>54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1</v>
      </c>
      <c r="F125" s="30">
        <f>บ่าย!F125+'เช้า '!F125+'เย็น '!F125</f>
        <v>2</v>
      </c>
      <c r="G125" s="30">
        <f>บ่าย!G125+'เช้า '!G125+'เย็น '!G125</f>
        <v>95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99</v>
      </c>
      <c r="M125" s="11">
        <v>150</v>
      </c>
      <c r="N125" s="11">
        <v>2</v>
      </c>
      <c r="O125" s="11"/>
      <c r="P125" s="11"/>
      <c r="Q125" s="44">
        <f t="shared" si="14"/>
        <v>53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2</v>
      </c>
      <c r="E126" s="30">
        <f>บ่าย!E126+'เช้า '!E126+'เย็น '!E126</f>
        <v>12</v>
      </c>
      <c r="F126" s="30">
        <f>บ่าย!F126+'เช้า '!F126+'เย็น '!F126</f>
        <v>0</v>
      </c>
      <c r="G126" s="30">
        <f>บ่าย!G126+'เช้า '!G126+'เย็น '!G126</f>
        <v>3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17</v>
      </c>
      <c r="M126" s="11">
        <v>15</v>
      </c>
      <c r="N126" s="11"/>
      <c r="O126" s="11">
        <v>2</v>
      </c>
      <c r="P126" s="11">
        <v>15</v>
      </c>
      <c r="Q126" s="44">
        <f t="shared" si="14"/>
        <v>15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1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10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10</v>
      </c>
      <c r="M136" s="11"/>
      <c r="N136" s="11"/>
      <c r="O136" s="11"/>
      <c r="P136" s="11"/>
      <c r="Q136" s="44">
        <f t="shared" si="14"/>
        <v>-10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4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4</v>
      </c>
      <c r="M137" s="11"/>
      <c r="N137" s="11"/>
      <c r="O137" s="11">
        <v>4</v>
      </c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24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24</v>
      </c>
      <c r="M142" s="11">
        <v>90</v>
      </c>
      <c r="N142" s="11"/>
      <c r="O142" s="11"/>
      <c r="P142" s="11"/>
      <c r="Q142" s="44">
        <f t="shared" si="14"/>
        <v>66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>
        <f t="shared" si="14"/>
        <v>0</v>
      </c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>
        <f t="shared" si="13"/>
        <v>0</v>
      </c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>
        <f t="shared" si="13"/>
        <v>0</v>
      </c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37</v>
      </c>
      <c r="E152" s="60">
        <f t="shared" ref="E152:Q152" si="15">SUM(E114:E151,E90:E99,E79:E87,E69:E76,E7:E66,E102:E111)</f>
        <v>59</v>
      </c>
      <c r="F152" s="60">
        <f t="shared" si="15"/>
        <v>26</v>
      </c>
      <c r="G152" s="60">
        <f t="shared" si="15"/>
        <v>579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150</v>
      </c>
      <c r="L152" s="60">
        <f t="shared" si="15"/>
        <v>851</v>
      </c>
      <c r="M152" s="60">
        <f t="shared" si="15"/>
        <v>1065</v>
      </c>
      <c r="N152" s="60">
        <f t="shared" si="15"/>
        <v>40</v>
      </c>
      <c r="O152" s="60">
        <f t="shared" si="15"/>
        <v>59</v>
      </c>
      <c r="P152" s="60">
        <f t="shared" si="15"/>
        <v>325</v>
      </c>
      <c r="Q152" s="60">
        <f t="shared" si="15"/>
        <v>638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2025-07-30T00:58:57Z</cp:lastPrinted>
  <dcterms:created xsi:type="dcterms:W3CDTF">2024-04-30T05:21:27Z</dcterms:created>
  <dcterms:modified xsi:type="dcterms:W3CDTF">2025-07-30T01:58:04Z</dcterms:modified>
</cp:coreProperties>
</file>