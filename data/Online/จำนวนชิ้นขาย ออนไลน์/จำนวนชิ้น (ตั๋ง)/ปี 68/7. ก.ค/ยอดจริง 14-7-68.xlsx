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84AFC5A1-6BF4-4FAD-89AF-5753F727D73A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R77" i="5" s="1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R137" i="5" s="1"/>
  <c r="E137" i="5"/>
  <c r="F137" i="5"/>
  <c r="G137" i="5"/>
  <c r="H137" i="5"/>
  <c r="I137" i="5"/>
  <c r="K137" i="5"/>
  <c r="L137" i="5"/>
  <c r="D138" i="5"/>
  <c r="R138" i="5" s="1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R140" i="5" s="1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R144" i="5" s="1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39" i="5" l="1"/>
  <c r="R143" i="5"/>
  <c r="R141" i="5"/>
  <c r="R147" i="5"/>
  <c r="R145" i="5"/>
  <c r="R142" i="5"/>
  <c r="R146" i="5"/>
  <c r="R151" i="5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5" i="5"/>
  <c r="R136" i="5"/>
  <c r="R131" i="5"/>
  <c r="R132" i="5"/>
  <c r="R133" i="5"/>
  <c r="R134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H99" i="5"/>
  <c r="H152" i="5" s="1"/>
  <c r="I99" i="5"/>
  <c r="I152" i="5" s="1"/>
  <c r="K99" i="5"/>
  <c r="K152" i="5" s="1"/>
  <c r="D66" i="5"/>
  <c r="E66" i="5"/>
  <c r="F66" i="5"/>
  <c r="F152" i="5" s="1"/>
  <c r="G66" i="5"/>
  <c r="H66" i="5"/>
  <c r="I66" i="5"/>
  <c r="K66" i="5"/>
  <c r="G152" i="5" l="1"/>
  <c r="E152" i="5"/>
  <c r="D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<sst xmlns="http://schemas.openxmlformats.org/spreadsheetml/2006/main" count="630" uniqueCount="151">
  <si>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</si>
  <si>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</si>
  <si>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</si>
  <si>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</si>
  <si>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</si>
  <si>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</si>
  <si>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</si>
  <si>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</si>
  <si>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</si>
  <si>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</si>
  <si>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</si>
  <si>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</si>
  <si>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</si>
  <si>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</si>
  <si>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</si>
  <si>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</si>
  <si>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</si>
  <si>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</si>
  <si>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</si>
  <si>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</si>
  <si>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</si>
  <si>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</si>
  <si>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</si>
  <si>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</si>
  <si>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</si>
  <si>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</si>
  <si>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</si>
  <si>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</si>
  <si>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</si>
  <si>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</si>
  <si>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</si>
  <si>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</si>
  <si>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</si>
  <si>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</si>
  <si>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</si>
  <si>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</si>
  <si>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</si>
  <si>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</si>
  <si>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</si>
  <si>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</si>
  <si>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</si>
  <si>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</si>
  <si>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</si>
  <si>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</si>
  <si>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</si>
  <si>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</si>
  <si>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</si>
  <si>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</si>
  <si>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</si>
  <si>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</si>
  <si>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</si>
  <si>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</si>
  <si>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</si>
  <si>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</si>
  <si>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</si>
  <si>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</si>
  <si>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</si>
  <si>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</si>
  <si>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</si>
  <si>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</si>
  <si>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</si>
  <si>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</si>
  <si>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</si>
  <si>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</si>
  <si>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</si>
  <si>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</si>
  <si>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</si>
  <si>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</si>
  <si>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</si>
  <si>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</si>
  <si>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</si>
  <si>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</si>
  <si>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</si>
  <si>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</si>
  <si>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</si>
  <si>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</si>
  <si>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</si>
  <si>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</si>
  <si>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</si>
  <si>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</si>
  <si>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</si>
  <si>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</si>
  <si>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</si>
  <si>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</si>
  <si>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</si>
  <si>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</si>
  <si>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</si>
  <si>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</si>
  <si>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</si>
  <si>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</si>
  <si>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</si>
  <si>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</si>
  <si>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</si>
  <si>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</si>
  <si>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</si>
  <si>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</si>
  <si>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</si>
  <si>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</si>
  <si>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</si>
  <si>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</si>
  <si>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</si>
  <si>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</si>
  <si>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</si>
  <si>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</si>
  <si>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</si>
  <si>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</si>
  <si>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</si>
  <si>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</si>
  <si>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</si>
  <si>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</si>
  <si>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</si>
  <si>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</si>
  <si>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</si>
  <si>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</si>
  <si>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</si>
  <si>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</si>
  <si>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</si>
  <si>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</si>
  <si>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</si>
  <si>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</si>
  <si>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</si>
  <si>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</si>
  <si>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</si>
  <si>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</si>
  <si>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</si>
  <si>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</si>
  <si>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</si>
  <si>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</si>
  <si>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</si>
  <si>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</si>
  <si>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</si>
  <si>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</si>
  <si>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</si>
  <si>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</si>
  <si>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</si>
  <si>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</si>
  <si>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</si>
  <si>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</si>
  <si>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</si>
  <si>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</si>
  <si>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</si>
  <si>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</si>
  <si>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</si>
  <si>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</si>
  <si>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</si>
  <si>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</si>
  <si>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</si>
  <si>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</si>
  <si>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14/7/68 รวม</t>
  </si>
  <si>
    <t>ยอดจริง ออนไลน์ วันที่  14/7/68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</si>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</sst>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76" zoomScale="60" zoomScaleNormal="60" workbookViewId="0">
      <selection activeCell="I93" sqref="I9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5" t="s">
        <v>149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 x14ac:dyDescent="0.25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 x14ac:dyDescent="0.25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 x14ac:dyDescent="0.25">
      <c r="B7" s="11">
        <v>1111002</v>
      </c>
      <c r="C7" s="15" t="s">
        <v>107</v>
      </c>
      <c r="D7" s="30">
        <v>8</v>
      </c>
      <c r="E7" s="30">
        <v>18</v>
      </c>
      <c r="F7" s="30">
        <v>16</v>
      </c>
      <c r="G7" s="30">
        <v>9</v>
      </c>
      <c r="H7" s="30">
        <v>4</v>
      </c>
      <c r="I7" s="30"/>
      <c r="J7" s="43"/>
      <c r="K7" s="43"/>
      <c r="L7" s="36">
        <f>SUM(D7:K7)</f>
        <v>55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>
        <v>1</v>
      </c>
      <c r="E25" s="30">
        <v>3</v>
      </c>
      <c r="F25" s="30"/>
      <c r="G25" s="30">
        <v>1</v>
      </c>
      <c r="H25" s="30">
        <v>3</v>
      </c>
      <c r="I25" s="30"/>
      <c r="J25" s="43"/>
      <c r="K25" s="43"/>
      <c r="L25" s="36">
        <f t="shared" si="0"/>
        <v>8</v>
      </c>
    </row>
    <row r="26" spans="2:12" x14ac:dyDescent="0.25">
      <c r="B26" s="11">
        <v>1004055</v>
      </c>
      <c r="C26" s="15" t="s">
        <v>108</v>
      </c>
      <c r="D26" s="30">
        <v>8</v>
      </c>
      <c r="E26" s="30">
        <v>3</v>
      </c>
      <c r="F26" s="30"/>
      <c r="G26" s="30">
        <v>72</v>
      </c>
      <c r="H26" s="30">
        <v>15</v>
      </c>
      <c r="I26" s="30"/>
      <c r="J26" s="43"/>
      <c r="K26" s="43"/>
      <c r="L26" s="36">
        <f t="shared" si="0"/>
        <v>98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>
        <v>2</v>
      </c>
      <c r="E40" s="30"/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 x14ac:dyDescent="0.25">
      <c r="B41" s="11">
        <v>1111058</v>
      </c>
      <c r="C41" s="15" t="s">
        <v>31</v>
      </c>
      <c r="D41" s="30">
        <v>2</v>
      </c>
      <c r="E41" s="30"/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 x14ac:dyDescent="0.25">
      <c r="B42" s="11">
        <v>1111059</v>
      </c>
      <c r="C42" s="15" t="s">
        <v>32</v>
      </c>
      <c r="D42" s="30">
        <v>605</v>
      </c>
      <c r="E42" s="30"/>
      <c r="F42" s="30"/>
      <c r="G42" s="30"/>
      <c r="H42" s="30"/>
      <c r="I42" s="30"/>
      <c r="J42" s="43"/>
      <c r="K42" s="43"/>
      <c r="L42" s="36">
        <f t="shared" si="0"/>
        <v>605</v>
      </c>
    </row>
    <row r="43" spans="2:12" x14ac:dyDescent="0.25">
      <c r="B43" s="11">
        <v>1111060</v>
      </c>
      <c r="C43" s="15" t="s">
        <v>33</v>
      </c>
      <c r="D43" s="30">
        <v>2</v>
      </c>
      <c r="E43" s="30"/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 x14ac:dyDescent="0.25">
      <c r="B44" s="11">
        <v>1111061</v>
      </c>
      <c r="C44" s="15" t="s">
        <v>34</v>
      </c>
      <c r="D44" s="30">
        <v>2</v>
      </c>
      <c r="E44" s="30"/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 x14ac:dyDescent="0.25">
      <c r="B45" s="11">
        <v>1111062</v>
      </c>
      <c r="C45" s="15" t="s">
        <v>35</v>
      </c>
      <c r="D45" s="30">
        <v>2</v>
      </c>
      <c r="E45" s="30"/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 x14ac:dyDescent="0.25">
      <c r="B46" s="11">
        <v>1111063</v>
      </c>
      <c r="C46" s="15" t="s">
        <v>36</v>
      </c>
      <c r="D46" s="30">
        <v>2</v>
      </c>
      <c r="E46" s="30"/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 x14ac:dyDescent="0.25">
      <c r="B47" s="11">
        <v>1111064</v>
      </c>
      <c r="C47" s="15" t="s">
        <v>37</v>
      </c>
      <c r="D47" s="30">
        <v>2</v>
      </c>
      <c r="E47" s="30"/>
      <c r="F47" s="30"/>
      <c r="G47" s="30"/>
      <c r="H47" s="30"/>
      <c r="I47" s="30"/>
      <c r="J47" s="43"/>
      <c r="K47" s="43"/>
      <c r="L47" s="36">
        <f t="shared" si="0"/>
        <v>2</v>
      </c>
    </row>
    <row r="48" spans="2:12" x14ac:dyDescent="0.25">
      <c r="B48" s="11">
        <v>1111065</v>
      </c>
      <c r="C48" s="15" t="s">
        <v>38</v>
      </c>
      <c r="D48" s="30">
        <v>2</v>
      </c>
      <c r="E48" s="30"/>
      <c r="F48" s="30"/>
      <c r="G48" s="30"/>
      <c r="H48" s="30"/>
      <c r="I48" s="30"/>
      <c r="J48" s="43"/>
      <c r="K48" s="43"/>
      <c r="L48" s="36">
        <f t="shared" si="0"/>
        <v>2</v>
      </c>
    </row>
    <row r="49" spans="2:12" x14ac:dyDescent="0.25">
      <c r="B49" s="11">
        <v>1111066</v>
      </c>
      <c r="C49" s="15" t="s">
        <v>39</v>
      </c>
      <c r="D49" s="30">
        <v>1</v>
      </c>
      <c r="E49" s="30"/>
      <c r="F49" s="30"/>
      <c r="G49" s="30"/>
      <c r="H49" s="30"/>
      <c r="I49" s="30"/>
      <c r="J49" s="43"/>
      <c r="K49" s="43"/>
      <c r="L49" s="36">
        <f t="shared" si="0"/>
        <v>1</v>
      </c>
    </row>
    <row r="50" spans="2:12" x14ac:dyDescent="0.25">
      <c r="B50" s="11">
        <v>1111067</v>
      </c>
      <c r="C50" s="15" t="s">
        <v>40</v>
      </c>
      <c r="D50" s="30">
        <v>1</v>
      </c>
      <c r="E50" s="30"/>
      <c r="F50" s="30"/>
      <c r="G50" s="30"/>
      <c r="H50" s="30"/>
      <c r="I50" s="30"/>
      <c r="J50" s="43"/>
      <c r="K50" s="43"/>
      <c r="L50" s="36">
        <f t="shared" si="0"/>
        <v>1</v>
      </c>
    </row>
    <row r="51" spans="2:12" x14ac:dyDescent="0.25">
      <c r="B51" s="11">
        <v>1111068</v>
      </c>
      <c r="C51" s="15" t="s">
        <v>41</v>
      </c>
      <c r="D51" s="30">
        <v>1</v>
      </c>
      <c r="E51" s="30"/>
      <c r="F51" s="30"/>
      <c r="G51" s="30"/>
      <c r="H51" s="30"/>
      <c r="I51" s="30"/>
      <c r="J51" s="43"/>
      <c r="K51" s="43"/>
      <c r="L51" s="36">
        <f t="shared" si="0"/>
        <v>1</v>
      </c>
    </row>
    <row r="52" spans="2:12" x14ac:dyDescent="0.25">
      <c r="B52" s="11">
        <v>1111069</v>
      </c>
      <c r="C52" s="15" t="s">
        <v>42</v>
      </c>
      <c r="D52" s="30">
        <v>1</v>
      </c>
      <c r="E52" s="30"/>
      <c r="F52" s="30"/>
      <c r="G52" s="30"/>
      <c r="H52" s="30"/>
      <c r="I52" s="30"/>
      <c r="J52" s="43"/>
      <c r="K52" s="43"/>
      <c r="L52" s="36">
        <f t="shared" si="0"/>
        <v>1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786</v>
      </c>
    </row>
    <row r="68" spans="2:12" ht="20.399999999999999" x14ac:dyDescent="0.25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 x14ac:dyDescent="0.25">
      <c r="B69" s="11">
        <v>1111009</v>
      </c>
      <c r="C69" s="19" t="s">
        <v>56</v>
      </c>
      <c r="D69" s="30">
        <v>2</v>
      </c>
      <c r="E69" s="30">
        <v>2</v>
      </c>
      <c r="F69" s="30">
        <v>3</v>
      </c>
      <c r="G69" s="30">
        <v>1</v>
      </c>
      <c r="H69" s="30">
        <v>3</v>
      </c>
      <c r="I69" s="30"/>
      <c r="J69" s="43"/>
      <c r="K69" s="43"/>
      <c r="L69" s="36">
        <f t="shared" ref="L69:L76" si="1">SUM(D69:K69)</f>
        <v>11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11</v>
      </c>
    </row>
    <row r="78" spans="2:12" ht="20.399999999999999" x14ac:dyDescent="0.25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>
        <v>45</v>
      </c>
      <c r="H87" s="30">
        <v>15</v>
      </c>
      <c r="I87" s="30"/>
      <c r="J87" s="43"/>
      <c r="K87" s="43"/>
      <c r="L87" s="36">
        <f t="shared" si="2"/>
        <v>60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60</v>
      </c>
    </row>
    <row r="89" spans="2:12" ht="20.399999999999999" x14ac:dyDescent="0.25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 x14ac:dyDescent="0.25">
      <c r="B90" s="11">
        <v>1112009</v>
      </c>
      <c r="C90" s="19" t="s">
        <v>75</v>
      </c>
      <c r="D90" s="30">
        <v>4</v>
      </c>
      <c r="E90" s="30"/>
      <c r="F90" s="30">
        <v>7</v>
      </c>
      <c r="G90" s="30">
        <v>22</v>
      </c>
      <c r="H90" s="30">
        <v>8</v>
      </c>
      <c r="I90" s="30"/>
      <c r="J90" s="43"/>
      <c r="K90" s="43"/>
      <c r="L90" s="36">
        <f t="shared" ref="L90:L99" si="3">SUM(D90:K90)</f>
        <v>41</v>
      </c>
    </row>
    <row r="91" spans="2:12" x14ac:dyDescent="0.25">
      <c r="B91" s="11">
        <v>1112011</v>
      </c>
      <c r="C91" s="19" t="s">
        <v>76</v>
      </c>
      <c r="D91" s="30">
        <v>4</v>
      </c>
      <c r="E91" s="30"/>
      <c r="F91" s="30">
        <v>20</v>
      </c>
      <c r="G91" s="30">
        <v>22</v>
      </c>
      <c r="H91" s="30">
        <v>6</v>
      </c>
      <c r="I91" s="30"/>
      <c r="J91" s="43"/>
      <c r="K91" s="43"/>
      <c r="L91" s="36">
        <f t="shared" si="3"/>
        <v>52</v>
      </c>
    </row>
    <row r="92" spans="2:12" x14ac:dyDescent="0.25">
      <c r="B92" s="11">
        <v>1112003</v>
      </c>
      <c r="C92" s="19" t="s">
        <v>77</v>
      </c>
      <c r="D92" s="30">
        <v>4</v>
      </c>
      <c r="E92" s="30"/>
      <c r="F92" s="30">
        <v>3</v>
      </c>
      <c r="G92" s="30">
        <v>23</v>
      </c>
      <c r="H92" s="30">
        <v>7</v>
      </c>
      <c r="I92" s="30"/>
      <c r="J92" s="43"/>
      <c r="K92" s="43"/>
      <c r="L92" s="36">
        <f t="shared" si="3"/>
        <v>37</v>
      </c>
    </row>
    <row r="93" spans="2:12" x14ac:dyDescent="0.25">
      <c r="B93" s="11">
        <v>1112005</v>
      </c>
      <c r="C93" s="19" t="s">
        <v>78</v>
      </c>
      <c r="D93" s="30">
        <v>4</v>
      </c>
      <c r="E93" s="30"/>
      <c r="F93" s="30">
        <v>2</v>
      </c>
      <c r="G93" s="30">
        <v>33</v>
      </c>
      <c r="H93" s="30">
        <v>7</v>
      </c>
      <c r="I93" s="30"/>
      <c r="J93" s="43"/>
      <c r="K93" s="43"/>
      <c r="L93" s="36">
        <f t="shared" si="3"/>
        <v>46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>
        <v>12</v>
      </c>
      <c r="H96" s="30"/>
      <c r="I96" s="30"/>
      <c r="J96" s="43"/>
      <c r="K96" s="43"/>
      <c r="L96" s="36">
        <f t="shared" si="3"/>
        <v>12</v>
      </c>
    </row>
    <row r="97" spans="2:12" x14ac:dyDescent="0.25">
      <c r="B97" s="11">
        <v>1112015</v>
      </c>
      <c r="C97" s="19" t="s">
        <v>82</v>
      </c>
      <c r="D97" s="30">
        <v>4</v>
      </c>
      <c r="E97" s="30">
        <v>1</v>
      </c>
      <c r="F97" s="30">
        <v>2</v>
      </c>
      <c r="G97" s="30">
        <v>23</v>
      </c>
      <c r="H97" s="30">
        <v>15</v>
      </c>
      <c r="I97" s="30"/>
      <c r="J97" s="43"/>
      <c r="K97" s="43"/>
      <c r="L97" s="36">
        <f t="shared" si="3"/>
        <v>45</v>
      </c>
    </row>
    <row r="98" spans="2:12" x14ac:dyDescent="0.25">
      <c r="B98" s="11">
        <v>1112013</v>
      </c>
      <c r="C98" s="19" t="s">
        <v>83</v>
      </c>
      <c r="D98" s="30">
        <v>4</v>
      </c>
      <c r="E98" s="30"/>
      <c r="F98" s="30">
        <v>1</v>
      </c>
      <c r="G98" s="30">
        <v>1</v>
      </c>
      <c r="H98" s="30"/>
      <c r="I98" s="30"/>
      <c r="J98" s="43"/>
      <c r="K98" s="43"/>
      <c r="L98" s="36">
        <f t="shared" si="3"/>
        <v>6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239</v>
      </c>
    </row>
    <row r="101" spans="2:12" ht="20.399999999999999" x14ac:dyDescent="0.25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 x14ac:dyDescent="0.25">
      <c r="B114" s="11">
        <v>1113170</v>
      </c>
      <c r="C114" s="21" t="s">
        <v>87</v>
      </c>
      <c r="D114" s="30">
        <v>10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10</v>
      </c>
    </row>
    <row r="115" spans="2:12" x14ac:dyDescent="0.25">
      <c r="B115" s="11">
        <v>1113171</v>
      </c>
      <c r="C115" s="21" t="s">
        <v>88</v>
      </c>
      <c r="D115" s="30">
        <v>14</v>
      </c>
      <c r="E115" s="30"/>
      <c r="F115" s="30"/>
      <c r="G115" s="30"/>
      <c r="H115" s="30"/>
      <c r="I115" s="30"/>
      <c r="J115" s="43"/>
      <c r="K115" s="43"/>
      <c r="L115" s="36">
        <f t="shared" si="5"/>
        <v>14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>
        <v>2</v>
      </c>
      <c r="F123" s="30">
        <v>5</v>
      </c>
      <c r="G123" s="30">
        <v>154</v>
      </c>
      <c r="H123" s="30">
        <v>26</v>
      </c>
      <c r="I123" s="30"/>
      <c r="J123" s="43"/>
      <c r="K123" s="43"/>
      <c r="L123" s="36">
        <f t="shared" si="5"/>
        <v>187</v>
      </c>
    </row>
    <row r="124" spans="2:12" x14ac:dyDescent="0.25">
      <c r="B124" s="11">
        <v>1114502</v>
      </c>
      <c r="C124" s="21" t="s">
        <v>96</v>
      </c>
      <c r="D124" s="30"/>
      <c r="E124" s="30">
        <v>2</v>
      </c>
      <c r="F124" s="30">
        <v>2</v>
      </c>
      <c r="G124" s="30">
        <v>145</v>
      </c>
      <c r="H124" s="30">
        <v>29</v>
      </c>
      <c r="I124" s="30"/>
      <c r="J124" s="43"/>
      <c r="K124" s="43"/>
      <c r="L124" s="36">
        <f t="shared" si="5"/>
        <v>178</v>
      </c>
    </row>
    <row r="125" spans="2:12" x14ac:dyDescent="0.25">
      <c r="B125" s="11">
        <v>1114503</v>
      </c>
      <c r="C125" s="21" t="s">
        <v>97</v>
      </c>
      <c r="D125" s="30"/>
      <c r="E125" s="30">
        <v>2</v>
      </c>
      <c r="F125" s="30">
        <v>1</v>
      </c>
      <c r="G125" s="30">
        <v>145</v>
      </c>
      <c r="H125" s="30">
        <v>14</v>
      </c>
      <c r="I125" s="30"/>
      <c r="J125" s="43"/>
      <c r="K125" s="43"/>
      <c r="L125" s="36">
        <f t="shared" si="5"/>
        <v>162</v>
      </c>
    </row>
    <row r="126" spans="2:12" x14ac:dyDescent="0.25">
      <c r="B126" s="11">
        <v>1124021</v>
      </c>
      <c r="C126" s="21" t="s">
        <v>98</v>
      </c>
      <c r="D126" s="30">
        <v>4</v>
      </c>
      <c r="E126" s="30">
        <v>11</v>
      </c>
      <c r="F126" s="30">
        <v>12</v>
      </c>
      <c r="G126" s="30">
        <v>20</v>
      </c>
      <c r="H126" s="30"/>
      <c r="I126" s="30"/>
      <c r="J126" s="43"/>
      <c r="K126" s="43"/>
      <c r="L126" s="36">
        <f t="shared" si="5"/>
        <v>47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63">
        <v>102</v>
      </c>
      <c r="H142" s="9"/>
      <c r="I142" s="9"/>
      <c r="J142" s="9"/>
      <c r="K142" s="9"/>
      <c r="L142" s="36">
        <f t="shared" si="6"/>
        <v>102</v>
      </c>
    </row>
    <row r="143" spans="2:12" x14ac:dyDescent="0.25">
      <c r="B143" s="50">
        <v>1100044</v>
      </c>
      <c r="C143" s="49" t="s">
        <v>146</v>
      </c>
      <c r="D143" s="51"/>
      <c r="E143" s="51"/>
      <c r="F143" s="62"/>
      <c r="G143" s="63">
        <v>9</v>
      </c>
      <c r="H143" s="9"/>
      <c r="I143" s="9"/>
      <c r="J143" s="9"/>
      <c r="K143" s="9"/>
      <c r="L143" s="36">
        <f t="shared" si="6"/>
        <v>9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8" t="s">
        <v>104</v>
      </c>
      <c r="C153" s="68"/>
      <c r="D153" s="32"/>
      <c r="E153" s="64"/>
      <c r="F153" s="64"/>
      <c r="G153" s="27"/>
      <c r="H153" s="26"/>
      <c r="I153" s="68" t="s">
        <v>104</v>
      </c>
      <c r="J153" s="68"/>
      <c r="K153" s="68"/>
      <c r="L153" s="68"/>
    </row>
    <row r="154" spans="2:12" x14ac:dyDescent="0.25">
      <c r="B154" s="64" t="s">
        <v>105</v>
      </c>
      <c r="C154" s="64"/>
      <c r="D154" s="33"/>
      <c r="E154" s="33"/>
      <c r="F154" s="33"/>
      <c r="G154" s="33"/>
      <c r="H154" s="33"/>
      <c r="I154" s="64" t="s">
        <v>106</v>
      </c>
      <c r="J154" s="64"/>
      <c r="K154" s="64"/>
      <c r="L154" s="64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5" t="s">
        <v>135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 x14ac:dyDescent="0.25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 x14ac:dyDescent="0.25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8" t="s">
        <v>104</v>
      </c>
      <c r="C153" s="68"/>
      <c r="D153" s="32"/>
      <c r="E153" s="64"/>
      <c r="F153" s="64"/>
      <c r="G153" s="27"/>
      <c r="H153" s="26"/>
      <c r="I153" s="68" t="s">
        <v>104</v>
      </c>
      <c r="J153" s="68"/>
      <c r="K153" s="68"/>
      <c r="L153" s="68"/>
    </row>
    <row r="154" spans="2:12" x14ac:dyDescent="0.25">
      <c r="B154" s="64" t="s">
        <v>105</v>
      </c>
      <c r="C154" s="64"/>
      <c r="D154" s="33"/>
      <c r="E154" s="33"/>
      <c r="F154" s="33"/>
      <c r="G154" s="33"/>
      <c r="H154" s="33"/>
      <c r="I154" s="64" t="s">
        <v>106</v>
      </c>
      <c r="J154" s="64"/>
      <c r="K154" s="64"/>
      <c r="L154" s="64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5" t="s">
        <v>137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 x14ac:dyDescent="0.25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 x14ac:dyDescent="0.25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8" t="s">
        <v>104</v>
      </c>
      <c r="C156" s="68"/>
      <c r="D156" s="32"/>
      <c r="E156" s="64"/>
      <c r="F156" s="64"/>
      <c r="G156" s="27"/>
      <c r="H156" s="26"/>
      <c r="I156" s="68" t="s">
        <v>104</v>
      </c>
      <c r="J156" s="68"/>
      <c r="K156" s="68"/>
      <c r="L156" s="68"/>
    </row>
    <row r="157" spans="2:12" x14ac:dyDescent="0.25">
      <c r="B157" s="64" t="s">
        <v>105</v>
      </c>
      <c r="C157" s="64"/>
      <c r="D157" s="33"/>
      <c r="E157" s="33"/>
      <c r="F157" s="33"/>
      <c r="G157" s="33"/>
      <c r="H157" s="33"/>
      <c r="I157" s="64" t="s">
        <v>106</v>
      </c>
      <c r="J157" s="64"/>
      <c r="K157" s="64"/>
      <c r="L157" s="64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" zoomScale="50" zoomScaleNormal="50" workbookViewId="0">
      <selection activeCell="P63" sqref="P6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80" t="s">
        <v>148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2:18" x14ac:dyDescent="0.25">
      <c r="B2" s="81"/>
      <c r="C2" s="82"/>
      <c r="D2" s="1"/>
      <c r="E2" s="83"/>
      <c r="F2" s="83"/>
      <c r="G2" s="2"/>
      <c r="H2" s="2"/>
      <c r="I2" s="2"/>
      <c r="J2" s="2"/>
      <c r="K2" s="2"/>
      <c r="L2" s="2"/>
      <c r="M2" s="3" t="s">
        <v>0</v>
      </c>
      <c r="N2" s="77" t="s">
        <v>127</v>
      </c>
      <c r="O2" s="77" t="s">
        <v>130</v>
      </c>
      <c r="P2" s="77" t="s">
        <v>140</v>
      </c>
      <c r="Q2" s="77" t="s">
        <v>141</v>
      </c>
      <c r="R2" s="85" t="s">
        <v>1</v>
      </c>
    </row>
    <row r="3" spans="2:18" x14ac:dyDescent="0.25">
      <c r="B3" s="81"/>
      <c r="C3" s="82"/>
      <c r="D3" s="4"/>
      <c r="E3" s="84"/>
      <c r="F3" s="84"/>
      <c r="G3" s="5"/>
      <c r="H3" s="5"/>
      <c r="I3" s="5"/>
      <c r="J3" s="73"/>
      <c r="K3" s="41"/>
      <c r="L3" s="41"/>
      <c r="M3" s="6" t="s">
        <v>2</v>
      </c>
      <c r="N3" s="78"/>
      <c r="O3" s="78"/>
      <c r="P3" s="78"/>
      <c r="Q3" s="78"/>
      <c r="R3" s="86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9"/>
      <c r="O4" s="79"/>
      <c r="P4" s="79"/>
      <c r="Q4" s="79"/>
      <c r="R4" s="87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4" t="s">
        <v>11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6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8</v>
      </c>
      <c r="E7" s="30">
        <f>'เย็น '!E7+'เช้า '!E7+บ่าย!E7</f>
        <v>18</v>
      </c>
      <c r="F7" s="30">
        <f>'เย็น '!F7+'เช้า '!F7+บ่าย!F7</f>
        <v>16</v>
      </c>
      <c r="G7" s="30">
        <f>'เย็น '!G7+'เช้า '!G7+บ่าย!G7</f>
        <v>9</v>
      </c>
      <c r="H7" s="30">
        <f>'เย็น '!H7+'เช้า '!H7+บ่าย!H7</f>
        <v>4</v>
      </c>
      <c r="I7" s="30">
        <f>'เย็น '!I7+'เช้า '!I7+บ่าย!I7</f>
        <v>0</v>
      </c>
      <c r="J7" s="30">
        <f>+G7+H7+I7</f>
        <v>13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55</v>
      </c>
      <c r="N7" s="11"/>
      <c r="O7" s="11">
        <v>120</v>
      </c>
      <c r="P7" s="11"/>
      <c r="Q7" s="11"/>
      <c r="R7" s="44">
        <f>(N7+O7+P7+Q7)-M7</f>
        <v>65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3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3</v>
      </c>
      <c r="I25" s="30">
        <f>'เย็น '!I25+'เช้า '!I25+บ่าย!I25</f>
        <v>0</v>
      </c>
      <c r="J25" s="30">
        <f t="shared" si="0"/>
        <v>4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8</v>
      </c>
      <c r="N25" s="11"/>
      <c r="O25" s="11">
        <v>12</v>
      </c>
      <c r="P25" s="11"/>
      <c r="Q25" s="11"/>
      <c r="R25" s="44">
        <f t="shared" si="2"/>
        <v>4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8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72</v>
      </c>
      <c r="H26" s="30">
        <f>'เย็น '!H26+'เช้า '!H26+บ่าย!H26</f>
        <v>15</v>
      </c>
      <c r="I26" s="30">
        <f>'เย็น '!I26+'เช้า '!I26+บ่าย!I26</f>
        <v>0</v>
      </c>
      <c r="J26" s="30">
        <f t="shared" si="0"/>
        <v>87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98</v>
      </c>
      <c r="N26" s="11"/>
      <c r="O26" s="11">
        <v>91</v>
      </c>
      <c r="P26" s="11"/>
      <c r="Q26" s="11"/>
      <c r="R26" s="44">
        <f t="shared" si="2"/>
        <v>-7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2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2</v>
      </c>
      <c r="N40" s="11"/>
      <c r="O40" s="11"/>
      <c r="P40" s="11"/>
      <c r="Q40" s="11"/>
      <c r="R40" s="44">
        <f t="shared" si="2"/>
        <v>-2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2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2</v>
      </c>
      <c r="N41" s="11"/>
      <c r="O41" s="11"/>
      <c r="P41" s="11"/>
      <c r="Q41" s="11"/>
      <c r="R41" s="44">
        <f t="shared" si="2"/>
        <v>-2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605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605</v>
      </c>
      <c r="N42" s="11"/>
      <c r="O42" s="11"/>
      <c r="P42" s="11"/>
      <c r="Q42" s="11"/>
      <c r="R42" s="44">
        <f t="shared" si="2"/>
        <v>-605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2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2</v>
      </c>
      <c r="N43" s="11"/>
      <c r="O43" s="11"/>
      <c r="P43" s="11"/>
      <c r="Q43" s="11"/>
      <c r="R43" s="44">
        <f t="shared" si="2"/>
        <v>-2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2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2</v>
      </c>
      <c r="N44" s="11"/>
      <c r="O44" s="11"/>
      <c r="P44" s="11"/>
      <c r="Q44" s="11"/>
      <c r="R44" s="44">
        <f t="shared" si="2"/>
        <v>-2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2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2</v>
      </c>
      <c r="N45" s="11"/>
      <c r="O45" s="11"/>
      <c r="P45" s="11"/>
      <c r="Q45" s="11"/>
      <c r="R45" s="44">
        <f t="shared" si="2"/>
        <v>-2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2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2</v>
      </c>
      <c r="N46" s="11"/>
      <c r="O46" s="11"/>
      <c r="P46" s="11"/>
      <c r="Q46" s="11"/>
      <c r="R46" s="44">
        <f t="shared" si="2"/>
        <v>-2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2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2</v>
      </c>
      <c r="N47" s="11"/>
      <c r="O47" s="11"/>
      <c r="P47" s="11"/>
      <c r="Q47" s="11"/>
      <c r="R47" s="44">
        <f t="shared" si="2"/>
        <v>-2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2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2</v>
      </c>
      <c r="N48" s="11"/>
      <c r="O48" s="11"/>
      <c r="P48" s="11"/>
      <c r="Q48" s="11"/>
      <c r="R48" s="44">
        <f t="shared" si="2"/>
        <v>-2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1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1</v>
      </c>
      <c r="N49" s="11"/>
      <c r="O49" s="11"/>
      <c r="P49" s="11"/>
      <c r="Q49" s="11"/>
      <c r="R49" s="44">
        <f t="shared" si="2"/>
        <v>-1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1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1</v>
      </c>
      <c r="N50" s="11"/>
      <c r="O50" s="11"/>
      <c r="P50" s="11"/>
      <c r="Q50" s="11"/>
      <c r="R50" s="44">
        <f t="shared" si="2"/>
        <v>-1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1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1</v>
      </c>
      <c r="N51" s="11"/>
      <c r="O51" s="11"/>
      <c r="P51" s="11"/>
      <c r="Q51" s="11"/>
      <c r="R51" s="44">
        <f t="shared" si="2"/>
        <v>-1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1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1</v>
      </c>
      <c r="N52" s="11"/>
      <c r="O52" s="11"/>
      <c r="P52" s="11"/>
      <c r="Q52" s="11"/>
      <c r="R52" s="44">
        <f t="shared" si="2"/>
        <v>-1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4" t="s">
        <v>55</v>
      </c>
      <c r="C68" s="75"/>
      <c r="D68" s="75"/>
      <c r="E68" s="75"/>
      <c r="F68" s="75"/>
      <c r="G68" s="75"/>
      <c r="H68" s="75"/>
      <c r="I68" s="75"/>
      <c r="J68" s="30">
        <f t="shared" si="0"/>
        <v>0</v>
      </c>
      <c r="K68" s="75"/>
      <c r="L68" s="75"/>
      <c r="M68" s="36">
        <f t="shared" si="1"/>
        <v>0</v>
      </c>
      <c r="N68" s="75"/>
      <c r="O68" s="75"/>
      <c r="P68" s="75"/>
      <c r="Q68" s="75"/>
      <c r="R68" s="76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2</v>
      </c>
      <c r="F69" s="30">
        <f>'เย็น '!F69+'เช้า '!F69+บ่าย!F69</f>
        <v>3</v>
      </c>
      <c r="G69" s="30">
        <f>'เย็น '!G69+'เช้า '!G69+บ่าย!G69</f>
        <v>1</v>
      </c>
      <c r="H69" s="30">
        <f>'เย็น '!H69+'เช้า '!H69+บ่าย!H69</f>
        <v>3</v>
      </c>
      <c r="I69" s="30">
        <f>'เย็น '!I69+'เช้า '!I69+บ่าย!I69</f>
        <v>0</v>
      </c>
      <c r="J69" s="30">
        <f t="shared" si="0"/>
        <v>4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11</v>
      </c>
      <c r="N69" s="11"/>
      <c r="O69" s="11">
        <v>40</v>
      </c>
      <c r="P69" s="11"/>
      <c r="Q69" s="11"/>
      <c r="R69" s="44">
        <f t="shared" ref="R69:R76" si="4">(N69+O69+P69+Q69)-M69</f>
        <v>29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4" t="s">
        <v>64</v>
      </c>
      <c r="C78" s="75"/>
      <c r="D78" s="75"/>
      <c r="E78" s="75"/>
      <c r="F78" s="75"/>
      <c r="G78" s="75"/>
      <c r="H78" s="75"/>
      <c r="I78" s="75"/>
      <c r="J78" s="30">
        <f t="shared" si="5"/>
        <v>0</v>
      </c>
      <c r="K78" s="75"/>
      <c r="L78" s="75"/>
      <c r="M78" s="36">
        <f t="shared" si="6"/>
        <v>0</v>
      </c>
      <c r="N78" s="75"/>
      <c r="O78" s="75"/>
      <c r="P78" s="75"/>
      <c r="Q78" s="75"/>
      <c r="R78" s="76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45</v>
      </c>
      <c r="H87" s="30">
        <f>'เย็น '!H87+'เช้า '!H87+บ่าย!H87</f>
        <v>15</v>
      </c>
      <c r="I87" s="30">
        <f>'เย็น '!I87+'เช้า '!I87+บ่าย!I87</f>
        <v>0</v>
      </c>
      <c r="J87" s="30">
        <f t="shared" si="5"/>
        <v>60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60</v>
      </c>
      <c r="N87" s="11"/>
      <c r="O87" s="11">
        <v>80</v>
      </c>
      <c r="P87" s="11"/>
      <c r="Q87" s="11"/>
      <c r="R87" s="44">
        <f t="shared" si="8"/>
        <v>20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4" t="s">
        <v>74</v>
      </c>
      <c r="C89" s="75"/>
      <c r="D89" s="75"/>
      <c r="E89" s="75"/>
      <c r="F89" s="75"/>
      <c r="G89" s="75"/>
      <c r="H89" s="75"/>
      <c r="I89" s="75"/>
      <c r="J89" s="30">
        <f t="shared" si="5"/>
        <v>0</v>
      </c>
      <c r="K89" s="75"/>
      <c r="L89" s="75"/>
      <c r="M89" s="36">
        <f t="shared" si="6"/>
        <v>0</v>
      </c>
      <c r="N89" s="75"/>
      <c r="O89" s="75"/>
      <c r="P89" s="75"/>
      <c r="Q89" s="75"/>
      <c r="R89" s="76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4</v>
      </c>
      <c r="E90" s="30">
        <f>'เย็น '!E90+'เช้า '!E90+บ่าย!E90</f>
        <v>0</v>
      </c>
      <c r="F90" s="30">
        <f>'เย็น '!F90+'เช้า '!F90+บ่าย!F90</f>
        <v>7</v>
      </c>
      <c r="G90" s="30">
        <f>'เย็น '!G90+'เช้า '!G90+บ่าย!G90</f>
        <v>22</v>
      </c>
      <c r="H90" s="30">
        <f>'เย็น '!H90+'เช้า '!H90+บ่าย!H90</f>
        <v>8</v>
      </c>
      <c r="I90" s="30">
        <f>'เย็น '!I90+'เช้า '!I90+บ่าย!I90</f>
        <v>0</v>
      </c>
      <c r="J90" s="30">
        <f t="shared" si="5"/>
        <v>30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41</v>
      </c>
      <c r="N90" s="11"/>
      <c r="O90" s="11">
        <v>71</v>
      </c>
      <c r="P90" s="11"/>
      <c r="Q90" s="11"/>
      <c r="R90" s="44">
        <f t="shared" ref="R90:R100" si="9">(N90+O90+P90+Q90)-M90</f>
        <v>30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0</v>
      </c>
      <c r="F91" s="30">
        <f>'เย็น '!F91+'เช้า '!F91+บ่าย!F91</f>
        <v>20</v>
      </c>
      <c r="G91" s="30">
        <f>'เย็น '!G91+'เช้า '!G91+บ่าย!G91</f>
        <v>22</v>
      </c>
      <c r="H91" s="30">
        <f>'เย็น '!H91+'เช้า '!H91+บ่าย!H91</f>
        <v>6</v>
      </c>
      <c r="I91" s="30">
        <f>'เย็น '!I91+'เช้า '!I91+บ่าย!I91</f>
        <v>0</v>
      </c>
      <c r="J91" s="30">
        <f t="shared" si="5"/>
        <v>28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52</v>
      </c>
      <c r="N91" s="11"/>
      <c r="O91" s="11">
        <v>52</v>
      </c>
      <c r="P91" s="11"/>
      <c r="Q91" s="11"/>
      <c r="R91" s="44">
        <f t="shared" si="9"/>
        <v>0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4</v>
      </c>
      <c r="E92" s="30">
        <f>'เย็น '!E92+'เช้า '!E92+บ่าย!E92</f>
        <v>0</v>
      </c>
      <c r="F92" s="30">
        <f>'เย็น '!F92+'เช้า '!F92+บ่าย!F92</f>
        <v>3</v>
      </c>
      <c r="G92" s="30">
        <f>'เย็น '!G92+'เช้า '!G92+บ่าย!G92</f>
        <v>23</v>
      </c>
      <c r="H92" s="30">
        <f>'เย็น '!H92+'เช้า '!H92+บ่าย!H92</f>
        <v>7</v>
      </c>
      <c r="I92" s="30">
        <f>'เย็น '!I92+'เช้า '!I92+บ่าย!I92</f>
        <v>0</v>
      </c>
      <c r="J92" s="30">
        <f t="shared" si="5"/>
        <v>30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37</v>
      </c>
      <c r="N92" s="11"/>
      <c r="O92" s="11">
        <v>53</v>
      </c>
      <c r="P92" s="11"/>
      <c r="Q92" s="11"/>
      <c r="R92" s="44">
        <f t="shared" si="9"/>
        <v>16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4</v>
      </c>
      <c r="E93" s="30">
        <f>'เย็น '!E93+'เช้า '!E93+บ่าย!E93</f>
        <v>0</v>
      </c>
      <c r="F93" s="30">
        <f>'เย็น '!F93+'เช้า '!F93+บ่าย!F93</f>
        <v>2</v>
      </c>
      <c r="G93" s="30">
        <f>'เย็น '!G93+'เช้า '!G93+บ่าย!G93</f>
        <v>33</v>
      </c>
      <c r="H93" s="30">
        <f>'เย็น '!H93+'เช้า '!H93+บ่าย!H93</f>
        <v>7</v>
      </c>
      <c r="I93" s="30">
        <f>'เย็น '!I93+'เช้า '!I93+บ่าย!I93</f>
        <v>0</v>
      </c>
      <c r="J93" s="30">
        <f t="shared" si="5"/>
        <v>40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46</v>
      </c>
      <c r="N93" s="11"/>
      <c r="O93" s="11">
        <v>76</v>
      </c>
      <c r="P93" s="11"/>
      <c r="Q93" s="11"/>
      <c r="R93" s="44">
        <f t="shared" si="9"/>
        <v>30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12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12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12</v>
      </c>
      <c r="N96" s="11"/>
      <c r="O96" s="11">
        <v>12</v>
      </c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4</v>
      </c>
      <c r="E97" s="30">
        <f>'เย็น '!E97+'เช้า '!E97+บ่าย!E97</f>
        <v>1</v>
      </c>
      <c r="F97" s="30">
        <f>'เย็น '!F97+'เช้า '!F97+บ่าย!F97</f>
        <v>2</v>
      </c>
      <c r="G97" s="30">
        <f>'เย็น '!G97+'เช้า '!G97+บ่าย!G97</f>
        <v>23</v>
      </c>
      <c r="H97" s="30">
        <f>'เย็น '!H97+'เช้า '!H97+บ่าย!H97</f>
        <v>15</v>
      </c>
      <c r="I97" s="30">
        <f>'เย็น '!I97+'เช้า '!I97+บ่าย!I97</f>
        <v>0</v>
      </c>
      <c r="J97" s="30">
        <f t="shared" si="5"/>
        <v>38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45</v>
      </c>
      <c r="N97" s="11"/>
      <c r="O97" s="11">
        <v>71</v>
      </c>
      <c r="P97" s="11"/>
      <c r="Q97" s="11"/>
      <c r="R97" s="44">
        <f t="shared" si="9"/>
        <v>26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4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1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1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6</v>
      </c>
      <c r="N98" s="11"/>
      <c r="O98" s="11">
        <v>6</v>
      </c>
      <c r="P98" s="11"/>
      <c r="Q98" s="11"/>
      <c r="R98" s="44">
        <f t="shared" si="9"/>
        <v>0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0</v>
      </c>
      <c r="O100" s="11">
        <f>SUM(O90:O99)</f>
        <v>341</v>
      </c>
      <c r="P100" s="11">
        <f>SUM(P90:P99)</f>
        <v>0</v>
      </c>
      <c r="Q100" s="11">
        <f>SUM(Q90:Q99)</f>
        <v>0</v>
      </c>
      <c r="R100" s="44">
        <f t="shared" si="9"/>
        <v>341</v>
      </c>
    </row>
    <row r="101" spans="2:18" x14ac:dyDescent="0.25">
      <c r="B101" s="74" t="s">
        <v>85</v>
      </c>
      <c r="C101" s="75"/>
      <c r="D101" s="75"/>
      <c r="E101" s="75"/>
      <c r="F101" s="75"/>
      <c r="G101" s="75"/>
      <c r="H101" s="75"/>
      <c r="I101" s="75"/>
      <c r="J101" s="30">
        <f t="shared" si="5"/>
        <v>0</v>
      </c>
      <c r="K101" s="75"/>
      <c r="L101" s="75"/>
      <c r="M101" s="36">
        <f t="shared" si="6"/>
        <v>0</v>
      </c>
      <c r="N101" s="75"/>
      <c r="O101" s="75"/>
      <c r="P101" s="75"/>
      <c r="Q101" s="75"/>
      <c r="R101" s="76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4" t="s">
        <v>86</v>
      </c>
      <c r="C113" s="75"/>
      <c r="D113" s="75"/>
      <c r="E113" s="75"/>
      <c r="F113" s="75"/>
      <c r="G113" s="75"/>
      <c r="H113" s="75"/>
      <c r="I113" s="75"/>
      <c r="J113" s="30">
        <f t="shared" si="5"/>
        <v>0</v>
      </c>
      <c r="K113" s="75"/>
      <c r="L113" s="75"/>
      <c r="M113" s="36">
        <f t="shared" si="6"/>
        <v>0</v>
      </c>
      <c r="N113" s="75"/>
      <c r="O113" s="75"/>
      <c r="P113" s="75"/>
      <c r="Q113" s="75"/>
      <c r="R113" s="76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10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10</v>
      </c>
      <c r="N114" s="11"/>
      <c r="O114" s="11">
        <v>35</v>
      </c>
      <c r="P114" s="11"/>
      <c r="Q114" s="11"/>
      <c r="R114" s="44">
        <f t="shared" ref="R114:R151" si="11">(N114+O114+P114+Q114)-M114</f>
        <v>25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14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14</v>
      </c>
      <c r="N115" s="11"/>
      <c r="O115" s="11">
        <v>36</v>
      </c>
      <c r="P115" s="11"/>
      <c r="Q115" s="11"/>
      <c r="R115" s="44">
        <f t="shared" si="11"/>
        <v>22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2</v>
      </c>
      <c r="F123" s="30">
        <f>บ่าย!F123+'เช้า '!F123+'เย็น '!F123</f>
        <v>5</v>
      </c>
      <c r="G123" s="30">
        <f>บ่าย!G123+'เช้า '!G123+'เย็น '!G123</f>
        <v>154</v>
      </c>
      <c r="H123" s="30">
        <f>บ่าย!H123+'เช้า '!H123+'เย็น '!H123</f>
        <v>26</v>
      </c>
      <c r="I123" s="30">
        <f>บ่าย!I123+'เช้า '!I123+'เย็น '!I123</f>
        <v>0</v>
      </c>
      <c r="J123" s="30">
        <f t="shared" si="5"/>
        <v>180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187</v>
      </c>
      <c r="N123" s="11"/>
      <c r="O123" s="11">
        <v>23</v>
      </c>
      <c r="P123" s="11"/>
      <c r="Q123" s="11"/>
      <c r="R123" s="44">
        <f t="shared" si="11"/>
        <v>-164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2</v>
      </c>
      <c r="F124" s="30">
        <f>บ่าย!F124+'เช้า '!F124+'เย็น '!F124</f>
        <v>2</v>
      </c>
      <c r="G124" s="30">
        <f>บ่าย!G124+'เช้า '!G124+'เย็น '!G124</f>
        <v>145</v>
      </c>
      <c r="H124" s="30">
        <f>บ่าย!H124+'เช้า '!H124+'เย็น '!H124</f>
        <v>29</v>
      </c>
      <c r="I124" s="30">
        <f>บ่าย!I124+'เช้า '!I124+'เย็น '!I124</f>
        <v>0</v>
      </c>
      <c r="J124" s="30">
        <f t="shared" si="5"/>
        <v>174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178</v>
      </c>
      <c r="N124" s="11"/>
      <c r="O124" s="11">
        <v>1</v>
      </c>
      <c r="P124" s="11"/>
      <c r="Q124" s="11"/>
      <c r="R124" s="44">
        <f t="shared" si="11"/>
        <v>-177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2</v>
      </c>
      <c r="F125" s="30">
        <f>บ่าย!F125+'เช้า '!F125+'เย็น '!F125</f>
        <v>1</v>
      </c>
      <c r="G125" s="30">
        <f>บ่าย!G125+'เช้า '!G125+'เย็น '!G125</f>
        <v>145</v>
      </c>
      <c r="H125" s="30">
        <f>บ่าย!H125+'เช้า '!H125+'เย็น '!H125</f>
        <v>14</v>
      </c>
      <c r="I125" s="30">
        <f>บ่าย!I125+'เช้า '!I125+'เย็น '!I125</f>
        <v>0</v>
      </c>
      <c r="J125" s="30">
        <f t="shared" si="5"/>
        <v>159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162</v>
      </c>
      <c r="N125" s="11"/>
      <c r="O125" s="11">
        <v>67</v>
      </c>
      <c r="P125" s="11"/>
      <c r="Q125" s="11"/>
      <c r="R125" s="44">
        <f t="shared" si="11"/>
        <v>-95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4</v>
      </c>
      <c r="E126" s="30">
        <f>บ่าย!E126+'เช้า '!E126+'เย็น '!E126</f>
        <v>11</v>
      </c>
      <c r="F126" s="30">
        <f>บ่าย!F126+'เช้า '!F126+'เย็น '!F126</f>
        <v>12</v>
      </c>
      <c r="G126" s="30">
        <f>บ่าย!G126+'เช้า '!G126+'เย็น '!G126</f>
        <v>20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20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47</v>
      </c>
      <c r="N126" s="11"/>
      <c r="O126" s="11">
        <v>1</v>
      </c>
      <c r="P126" s="11"/>
      <c r="Q126" s="11"/>
      <c r="R126" s="44">
        <f t="shared" si="11"/>
        <v>-46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>
        <f t="shared" si="11"/>
        <v>0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102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102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102</v>
      </c>
      <c r="N142" s="11"/>
      <c r="O142" s="11">
        <v>117</v>
      </c>
      <c r="P142" s="11"/>
      <c r="Q142" s="11"/>
      <c r="R142" s="44">
        <f t="shared" si="11"/>
        <v>15</v>
      </c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9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9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9</v>
      </c>
      <c r="N143" s="11"/>
      <c r="O143" s="11">
        <v>26</v>
      </c>
      <c r="P143" s="11"/>
      <c r="Q143" s="11"/>
      <c r="R143" s="44">
        <f t="shared" si="11"/>
        <v>17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696</v>
      </c>
      <c r="E152" s="60">
        <f t="shared" ref="E152:R152" si="14">SUM(E114:E151,E90:E99,E79:E87,E69:E76,E7:E66,E102:E111)</f>
        <v>44</v>
      </c>
      <c r="F152" s="60">
        <f t="shared" si="14"/>
        <v>74</v>
      </c>
      <c r="G152" s="60">
        <f t="shared" si="14"/>
        <v>839</v>
      </c>
      <c r="H152" s="60">
        <f t="shared" si="14"/>
        <v>152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0</v>
      </c>
      <c r="M152" s="60">
        <f t="shared" si="14"/>
        <v>1805</v>
      </c>
      <c r="N152" s="60">
        <f t="shared" si="14"/>
        <v>0</v>
      </c>
      <c r="O152" s="60">
        <f t="shared" si="14"/>
        <v>990</v>
      </c>
      <c r="P152" s="60">
        <f t="shared" si="14"/>
        <v>0</v>
      </c>
      <c r="Q152" s="60">
        <f t="shared" si="14"/>
        <v>0</v>
      </c>
      <c r="R152" s="60">
        <f t="shared" si="14"/>
        <v>-815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2024-10-30T00:45:46Z</cp:lastPrinted>
  <dcterms:created xsi:type="dcterms:W3CDTF">2024-04-30T05:21:27Z</dcterms:created>
  <dcterms:modified xsi:type="dcterms:W3CDTF">2025-07-16T09:02:33Z</dcterms:modified>
</cp:coreProperties>
</file>