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3B4B97E4-3658-476E-9F2A-711E336D1359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3" i="5" l="1"/>
  <c r="E103" i="5"/>
  <c r="F103" i="5"/>
  <c r="G103" i="5"/>
  <c r="H103" i="5"/>
  <c r="I103" i="5"/>
  <c r="J103" i="5"/>
  <c r="K103" i="5"/>
  <c r="D104" i="5"/>
  <c r="E104" i="5"/>
  <c r="F104" i="5"/>
  <c r="G104" i="5"/>
  <c r="H104" i="5"/>
  <c r="I104" i="5"/>
  <c r="J104" i="5"/>
  <c r="K104" i="5"/>
  <c r="D105" i="5"/>
  <c r="E105" i="5"/>
  <c r="F105" i="5"/>
  <c r="G105" i="5"/>
  <c r="H105" i="5"/>
  <c r="I105" i="5"/>
  <c r="J105" i="5"/>
  <c r="K105" i="5"/>
  <c r="D106" i="5"/>
  <c r="E106" i="5"/>
  <c r="F106" i="5"/>
  <c r="G106" i="5"/>
  <c r="H106" i="5"/>
  <c r="I106" i="5"/>
  <c r="J106" i="5"/>
  <c r="K106" i="5"/>
  <c r="D107" i="5"/>
  <c r="E107" i="5"/>
  <c r="F107" i="5"/>
  <c r="G107" i="5"/>
  <c r="H107" i="5"/>
  <c r="I107" i="5"/>
  <c r="J107" i="5"/>
  <c r="K107" i="5"/>
  <c r="D108" i="5"/>
  <c r="E108" i="5"/>
  <c r="F108" i="5"/>
  <c r="G108" i="5"/>
  <c r="H108" i="5"/>
  <c r="I108" i="5"/>
  <c r="J108" i="5"/>
  <c r="K108" i="5"/>
  <c r="D109" i="5"/>
  <c r="E109" i="5"/>
  <c r="F109" i="5"/>
  <c r="G109" i="5"/>
  <c r="H109" i="5"/>
  <c r="I109" i="5"/>
  <c r="J109" i="5"/>
  <c r="K109" i="5"/>
  <c r="D110" i="5"/>
  <c r="E110" i="5"/>
  <c r="F110" i="5"/>
  <c r="G110" i="5"/>
  <c r="H110" i="5"/>
  <c r="I110" i="5"/>
  <c r="J110" i="5"/>
  <c r="K110" i="5"/>
  <c r="D111" i="5"/>
  <c r="E111" i="5"/>
  <c r="F111" i="5"/>
  <c r="G111" i="5"/>
  <c r="H111" i="5"/>
  <c r="I111" i="5"/>
  <c r="J111" i="5"/>
  <c r="K111" i="5"/>
  <c r="E102" i="5"/>
  <c r="F102" i="5"/>
  <c r="G102" i="5"/>
  <c r="H102" i="5"/>
  <c r="I102" i="5"/>
  <c r="J102" i="5"/>
  <c r="K102" i="5"/>
  <c r="D142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D140" i="5"/>
  <c r="E140" i="5"/>
  <c r="F140" i="5"/>
  <c r="G140" i="5"/>
  <c r="H140" i="5"/>
  <c r="I140" i="5"/>
  <c r="J140" i="5"/>
  <c r="K140" i="5"/>
  <c r="D141" i="5"/>
  <c r="E141" i="5"/>
  <c r="F141" i="5"/>
  <c r="G141" i="5"/>
  <c r="H141" i="5"/>
  <c r="I141" i="5"/>
  <c r="J141" i="5"/>
  <c r="K141" i="5"/>
  <c r="E142" i="5"/>
  <c r="F142" i="5"/>
  <c r="G142" i="5"/>
  <c r="H142" i="5"/>
  <c r="I142" i="5"/>
  <c r="J142" i="5"/>
  <c r="K142" i="5"/>
  <c r="D143" i="5"/>
  <c r="E143" i="5"/>
  <c r="F143" i="5"/>
  <c r="G143" i="5"/>
  <c r="H143" i="5"/>
  <c r="I143" i="5"/>
  <c r="J143" i="5"/>
  <c r="K143" i="5"/>
  <c r="D144" i="5"/>
  <c r="E144" i="5"/>
  <c r="F144" i="5"/>
  <c r="G144" i="5"/>
  <c r="H144" i="5"/>
  <c r="I144" i="5"/>
  <c r="J144" i="5"/>
  <c r="K144" i="5"/>
  <c r="D145" i="5"/>
  <c r="E145" i="5"/>
  <c r="F145" i="5"/>
  <c r="G145" i="5"/>
  <c r="H145" i="5"/>
  <c r="I145" i="5"/>
  <c r="J145" i="5"/>
  <c r="K145" i="5"/>
  <c r="D146" i="5"/>
  <c r="E146" i="5"/>
  <c r="F146" i="5"/>
  <c r="G146" i="5"/>
  <c r="H146" i="5"/>
  <c r="I146" i="5"/>
  <c r="J146" i="5"/>
  <c r="K146" i="5"/>
  <c r="D147" i="5"/>
  <c r="E147" i="5"/>
  <c r="F147" i="5"/>
  <c r="G147" i="5"/>
  <c r="H147" i="5"/>
  <c r="I147" i="5"/>
  <c r="J147" i="5"/>
  <c r="K147" i="5"/>
  <c r="D148" i="5"/>
  <c r="E148" i="5"/>
  <c r="F148" i="5"/>
  <c r="G148" i="5"/>
  <c r="H148" i="5"/>
  <c r="I148" i="5"/>
  <c r="J148" i="5"/>
  <c r="K148" i="5"/>
  <c r="D149" i="5"/>
  <c r="E149" i="5"/>
  <c r="F149" i="5"/>
  <c r="G149" i="5"/>
  <c r="H149" i="5"/>
  <c r="I149" i="5"/>
  <c r="J149" i="5"/>
  <c r="K149" i="5"/>
  <c r="D150" i="5"/>
  <c r="E150" i="5"/>
  <c r="F150" i="5"/>
  <c r="G150" i="5"/>
  <c r="H150" i="5"/>
  <c r="I150" i="5"/>
  <c r="J150" i="5"/>
  <c r="K150" i="5"/>
  <c r="D151" i="5"/>
  <c r="E151" i="5"/>
  <c r="L151" i="5" s="1"/>
  <c r="Q151" i="5" s="1"/>
  <c r="F151" i="5"/>
  <c r="G151" i="5"/>
  <c r="H151" i="5"/>
  <c r="I151" i="5"/>
  <c r="J151" i="5"/>
  <c r="K151" i="5"/>
  <c r="E114" i="5"/>
  <c r="F114" i="5"/>
  <c r="G114" i="5"/>
  <c r="H114" i="5"/>
  <c r="I114" i="5"/>
  <c r="J114" i="5"/>
  <c r="K114" i="5"/>
  <c r="D114" i="5"/>
  <c r="M152" i="5"/>
  <c r="N152" i="5"/>
  <c r="O152" i="5"/>
  <c r="P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P100" i="5"/>
  <c r="O100" i="5"/>
  <c r="N100" i="5"/>
  <c r="M100" i="5"/>
  <c r="P112" i="5"/>
  <c r="O112" i="5"/>
  <c r="N112" i="5"/>
  <c r="M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K152" i="5" l="1"/>
  <c r="H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L137" i="5"/>
  <c r="Q137" i="5" s="1"/>
  <c r="L135" i="5"/>
  <c r="Q135" i="5" s="1"/>
  <c r="L136" i="5"/>
  <c r="Q136" i="5" s="1"/>
  <c r="L131" i="5"/>
  <c r="Q131" i="5" s="1"/>
  <c r="L132" i="5"/>
  <c r="Q132" i="5" s="1"/>
  <c r="L133" i="5"/>
  <c r="Q133" i="5" s="1"/>
  <c r="L134" i="5"/>
  <c r="Q134" i="5" s="1"/>
  <c r="L138" i="5"/>
  <c r="Q138" i="5" s="1"/>
  <c r="L139" i="5"/>
  <c r="Q139" i="5" s="1"/>
  <c r="L130" i="5"/>
  <c r="Q130" i="5" s="1"/>
  <c r="L129" i="5"/>
  <c r="L90" i="5"/>
  <c r="L93" i="5"/>
  <c r="Q93" i="5" s="1"/>
  <c r="L95" i="5"/>
  <c r="Q95" i="5" s="1"/>
  <c r="L127" i="5"/>
  <c r="Q127" i="5" s="1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2" i="5"/>
  <c r="D99" i="5"/>
  <c r="D152" i="5" s="1"/>
  <c r="E99" i="5"/>
  <c r="E152" i="5" s="1"/>
  <c r="F99" i="5"/>
  <c r="G99" i="5"/>
  <c r="G152" i="5" s="1"/>
  <c r="H99" i="5"/>
  <c r="I99" i="5"/>
  <c r="I152" i="5" s="1"/>
  <c r="J99" i="5"/>
  <c r="J152" i="5" s="1"/>
  <c r="D66" i="5"/>
  <c r="E66" i="5"/>
  <c r="F66" i="5"/>
  <c r="F152" i="5" s="1"/>
  <c r="G66" i="5"/>
  <c r="H66" i="5"/>
  <c r="I66" i="5"/>
  <c r="J66" i="5"/>
  <c r="Q129" i="5" l="1"/>
  <c r="Q114" i="5"/>
  <c r="Q90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52" i="5" l="1"/>
  <c r="L152" i="5"/>
  <c r="L100" i="5"/>
  <c r="Q100" i="5" s="1"/>
  <c r="Q102" i="5"/>
  <c r="L112" i="5"/>
  <c r="Q112" i="5" s="1"/>
  <c r="L88" i="5"/>
  <c r="Q88" i="5" s="1"/>
  <c r="L67" i="5"/>
  <c r="Q67" i="5" s="1"/>
</calcChain>
</file>

<file path=xl/sharedStrings.xml><?xml version="1.0" encoding="utf-8"?>
<sst xmlns="http://schemas.openxmlformats.org/spreadsheetml/2006/main" count="629" uniqueCount="150">
  <si>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</si>
  <si>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</si>
  <si>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</si>
  <si>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</si>
  <si>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</si>
  <si>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</si>
  <si>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</si>
  <si>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</si>
  <si>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</si>
  <si>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</si>
  <si>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</si>
  <si>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</si>
  <si>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</si>
  <si>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</si>
  <si>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</si>
  <si>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</si>
  <si>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</si>
  <si>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</si>
  <si>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</si>
  <si>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</si>
  <si>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</si>
  <si>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</si>
  <si>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</si>
  <si>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</si>
  <si>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</si>
  <si>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</si>
  <si>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</si>
  <si>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</si>
  <si>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</si>
  <si>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</si>
  <si>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</si>
  <si>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</si>
  <si>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</si>
  <si>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</si>
  <si>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</si>
  <si>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</si>
  <si>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</si>
  <si>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</si>
  <si>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</si>
  <si>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</si>
  <si>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</si>
  <si>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</si>
  <si>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</si>
  <si>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</si>
  <si>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</si>
  <si>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</si>
  <si>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</si>
  <si>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</si>
  <si>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</si>
  <si>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</si>
  <si>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</si>
  <si>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</si>
  <si>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</si>
  <si>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</si>
  <si>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</si>
  <si>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</si>
  <si>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</si>
  <si>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</si>
  <si>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</si>
  <si>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</si>
  <si>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</si>
  <si>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</si>
  <si>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</si>
  <si>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</si>
  <si>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</si>
  <si>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</si>
  <si>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</si>
  <si>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</si>
  <si>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</si>
  <si>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</si>
  <si>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</si>
  <si>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</si>
  <si>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</si>
  <si>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</si>
  <si>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</si>
  <si>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</si>
  <si>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</si>
  <si>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</si>
  <si>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</si>
  <si>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</si>
  <si>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</si>
  <si>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</si>
  <si>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</si>
  <si>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</si>
  <si>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</si>
  <si>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</si>
  <si>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</si>
  <si>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</si>
  <si>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</si>
  <si>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</si>
  <si>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</si>
  <si>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</si>
  <si>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</si>
  <si>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</si>
  <si>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</si>
  <si>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</si>
  <si>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</si>
  <si>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</si>
  <si>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</si>
  <si>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</si>
  <si>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</si>
  <si>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</si>
  <si>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</si>
  <si>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</si>
  <si>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</si>
  <si>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</si>
  <si>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</si>
  <si>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</si>
  <si>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</si>
  <si>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</si>
  <si>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</si>
  <si>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</si>
  <si>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</si>
  <si>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</si>
  <si>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</si>
  <si>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</si>
  <si>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</si>
  <si>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</si>
  <si>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</si>
  <si>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</si>
  <si>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</si>
  <si>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</si>
  <si>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</si>
  <si>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</si>
  <si>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</si>
  <si>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</si>
  <si>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</si>
  <si>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</si>
  <si>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</si>
  <si>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</si>
  <si>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</si>
  <si>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</si>
  <si>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</si>
  <si>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</si>
  <si>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</si>
  <si>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</si>
  <si>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</si>
  <si>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</si>
  <si>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</si>
  <si>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</si>
  <si>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</si>
  <si>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</si>
  <si>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</si>
  <si>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</si>
  <si>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</si>
  <si>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</si>
  <si>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หมีกรอบโบราณ</t>
  </si>
  <si>
    <t>หมี่กรอบโบราณ</t>
  </si>
  <si>
    <t>ยอดจริง ออนไลน์ วันที่ 5/7/68  รวม</t>
  </si>
  <si>
    <t>ยอดจริง ออนไลน์ วันที่  5/7/68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</si>
</sst>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126" zoomScale="60" zoomScaleNormal="60" workbookViewId="0">
      <selection activeCell="Z150" sqref="Z150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149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>
        <v>19</v>
      </c>
      <c r="F7" s="30">
        <v>51</v>
      </c>
      <c r="G7" s="30">
        <v>7</v>
      </c>
      <c r="H7" s="30">
        <v>13</v>
      </c>
      <c r="I7" s="30"/>
      <c r="J7" s="43"/>
      <c r="K7" s="43">
        <v>2</v>
      </c>
      <c r="L7" s="36">
        <f>SUM(D7:K7)</f>
        <v>92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7</v>
      </c>
      <c r="F25" s="30"/>
      <c r="G25" s="30"/>
      <c r="H25" s="30">
        <v>3</v>
      </c>
      <c r="I25" s="30"/>
      <c r="J25" s="43"/>
      <c r="K25" s="43"/>
      <c r="L25" s="36">
        <f t="shared" si="0"/>
        <v>10</v>
      </c>
    </row>
    <row r="26" spans="2:12">
      <c r="B26" s="11">
        <v>1004055</v>
      </c>
      <c r="C26" s="15" t="s">
        <v>108</v>
      </c>
      <c r="D26" s="30">
        <v>30</v>
      </c>
      <c r="E26" s="30"/>
      <c r="F26" s="30"/>
      <c r="G26" s="30">
        <v>48</v>
      </c>
      <c r="H26" s="30">
        <v>52</v>
      </c>
      <c r="I26" s="30"/>
      <c r="J26" s="43"/>
      <c r="K26" s="43"/>
      <c r="L26" s="36">
        <f t="shared" si="0"/>
        <v>130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232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>
        <v>4</v>
      </c>
      <c r="F69" s="30">
        <v>4</v>
      </c>
      <c r="G69" s="30">
        <v>1</v>
      </c>
      <c r="H69" s="30">
        <v>5</v>
      </c>
      <c r="I69" s="30"/>
      <c r="J69" s="43"/>
      <c r="K69" s="43"/>
      <c r="L69" s="36">
        <f t="shared" ref="L69:L76" si="1">SUM(D69:K69)</f>
        <v>14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14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>
        <v>10</v>
      </c>
      <c r="F87" s="30"/>
      <c r="G87" s="30">
        <v>39</v>
      </c>
      <c r="H87" s="30">
        <v>24</v>
      </c>
      <c r="I87" s="30"/>
      <c r="J87" s="43"/>
      <c r="K87" s="43"/>
      <c r="L87" s="36">
        <f t="shared" si="2"/>
        <v>73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73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>
        <v>7</v>
      </c>
      <c r="E90" s="30">
        <v>1</v>
      </c>
      <c r="F90" s="30"/>
      <c r="G90" s="30">
        <v>21</v>
      </c>
      <c r="H90" s="30">
        <v>5</v>
      </c>
      <c r="I90" s="30">
        <v>1</v>
      </c>
      <c r="J90" s="43"/>
      <c r="K90" s="43"/>
      <c r="L90" s="36">
        <f t="shared" ref="L90:L99" si="3">SUM(D90:K90)</f>
        <v>35</v>
      </c>
    </row>
    <row r="91" spans="2:12">
      <c r="B91" s="11">
        <v>1112011</v>
      </c>
      <c r="C91" s="19" t="s">
        <v>76</v>
      </c>
      <c r="D91" s="30">
        <v>2</v>
      </c>
      <c r="E91" s="30">
        <v>1</v>
      </c>
      <c r="F91" s="30">
        <v>2</v>
      </c>
      <c r="G91" s="30">
        <v>21</v>
      </c>
      <c r="H91" s="30">
        <v>5</v>
      </c>
      <c r="I91" s="30">
        <v>1</v>
      </c>
      <c r="J91" s="43"/>
      <c r="K91" s="43"/>
      <c r="L91" s="36">
        <f t="shared" si="3"/>
        <v>32</v>
      </c>
    </row>
    <row r="92" spans="2:12">
      <c r="B92" s="11">
        <v>1112003</v>
      </c>
      <c r="C92" s="19" t="s">
        <v>77</v>
      </c>
      <c r="D92" s="30">
        <v>1</v>
      </c>
      <c r="E92" s="30">
        <v>1</v>
      </c>
      <c r="F92" s="30"/>
      <c r="G92" s="30">
        <v>22</v>
      </c>
      <c r="H92" s="30">
        <v>10</v>
      </c>
      <c r="I92" s="30">
        <v>1</v>
      </c>
      <c r="J92" s="43"/>
      <c r="K92" s="43"/>
      <c r="L92" s="36">
        <f t="shared" si="3"/>
        <v>35</v>
      </c>
    </row>
    <row r="93" spans="2:12">
      <c r="B93" s="11">
        <v>1112005</v>
      </c>
      <c r="C93" s="19" t="s">
        <v>78</v>
      </c>
      <c r="D93" s="30">
        <v>6</v>
      </c>
      <c r="E93" s="30">
        <v>1</v>
      </c>
      <c r="F93" s="30"/>
      <c r="G93" s="30">
        <v>21</v>
      </c>
      <c r="H93" s="30">
        <v>5</v>
      </c>
      <c r="I93" s="30">
        <v>1</v>
      </c>
      <c r="J93" s="43"/>
      <c r="K93" s="43"/>
      <c r="L93" s="36">
        <f t="shared" si="3"/>
        <v>34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9</v>
      </c>
      <c r="E97" s="30"/>
      <c r="F97" s="30"/>
      <c r="G97" s="30">
        <v>21</v>
      </c>
      <c r="H97" s="30">
        <v>5</v>
      </c>
      <c r="I97" s="30">
        <v>1</v>
      </c>
      <c r="J97" s="43"/>
      <c r="K97" s="43"/>
      <c r="L97" s="36">
        <f t="shared" si="3"/>
        <v>36</v>
      </c>
    </row>
    <row r="98" spans="2:12">
      <c r="B98" s="11">
        <v>1112013</v>
      </c>
      <c r="C98" s="19" t="s">
        <v>83</v>
      </c>
      <c r="D98" s="30">
        <v>6</v>
      </c>
      <c r="E98" s="30">
        <v>1</v>
      </c>
      <c r="F98" s="30"/>
      <c r="G98" s="30">
        <v>21</v>
      </c>
      <c r="H98" s="30">
        <v>5</v>
      </c>
      <c r="I98" s="30">
        <v>1</v>
      </c>
      <c r="J98" s="43"/>
      <c r="K98" s="43"/>
      <c r="L98" s="36">
        <f t="shared" si="3"/>
        <v>34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206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>
        <v>14</v>
      </c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14</v>
      </c>
    </row>
    <row r="115" spans="2:12">
      <c r="B115" s="11">
        <v>1113171</v>
      </c>
      <c r="C115" s="21" t="s">
        <v>88</v>
      </c>
      <c r="D115" s="30">
        <v>10</v>
      </c>
      <c r="E115" s="30"/>
      <c r="F115" s="30"/>
      <c r="G115" s="30">
        <v>1</v>
      </c>
      <c r="H115" s="30"/>
      <c r="I115" s="30"/>
      <c r="J115" s="43"/>
      <c r="K115" s="43"/>
      <c r="L115" s="36">
        <f t="shared" si="5"/>
        <v>11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>
        <v>4</v>
      </c>
      <c r="H120" s="30"/>
      <c r="I120" s="30"/>
      <c r="J120" s="43"/>
      <c r="K120" s="43"/>
      <c r="L120" s="36">
        <f t="shared" si="5"/>
        <v>4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2</v>
      </c>
      <c r="E123" s="30">
        <v>3</v>
      </c>
      <c r="F123" s="30">
        <v>4</v>
      </c>
      <c r="G123" s="30">
        <v>233</v>
      </c>
      <c r="H123" s="30">
        <v>45</v>
      </c>
      <c r="I123" s="30">
        <v>2</v>
      </c>
      <c r="J123" s="43"/>
      <c r="K123" s="43"/>
      <c r="L123" s="36">
        <f t="shared" si="5"/>
        <v>289</v>
      </c>
    </row>
    <row r="124" spans="2:12">
      <c r="B124" s="11">
        <v>1114502</v>
      </c>
      <c r="C124" s="21" t="s">
        <v>96</v>
      </c>
      <c r="D124" s="30">
        <v>3</v>
      </c>
      <c r="E124" s="30"/>
      <c r="F124" s="30">
        <v>1</v>
      </c>
      <c r="G124" s="30">
        <v>206</v>
      </c>
      <c r="H124" s="30">
        <v>42</v>
      </c>
      <c r="I124" s="30">
        <v>2</v>
      </c>
      <c r="J124" s="43"/>
      <c r="K124" s="43"/>
      <c r="L124" s="36">
        <f t="shared" si="5"/>
        <v>254</v>
      </c>
    </row>
    <row r="125" spans="2:12">
      <c r="B125" s="11">
        <v>1114503</v>
      </c>
      <c r="C125" s="21" t="s">
        <v>97</v>
      </c>
      <c r="D125" s="30">
        <v>1</v>
      </c>
      <c r="E125" s="30">
        <v>1</v>
      </c>
      <c r="F125" s="30">
        <v>2</v>
      </c>
      <c r="G125" s="30">
        <v>197</v>
      </c>
      <c r="H125" s="30">
        <v>42</v>
      </c>
      <c r="I125" s="30">
        <v>2</v>
      </c>
      <c r="J125" s="43"/>
      <c r="K125" s="43"/>
      <c r="L125" s="36">
        <f t="shared" si="5"/>
        <v>245</v>
      </c>
    </row>
    <row r="126" spans="2:12">
      <c r="B126" s="11">
        <v>1124021</v>
      </c>
      <c r="C126" s="21" t="s">
        <v>98</v>
      </c>
      <c r="D126" s="30"/>
      <c r="E126" s="30">
        <v>3</v>
      </c>
      <c r="F126" s="30">
        <v>26</v>
      </c>
      <c r="G126" s="30">
        <v>17</v>
      </c>
      <c r="H126" s="30">
        <v>14</v>
      </c>
      <c r="I126" s="30"/>
      <c r="J126" s="43"/>
      <c r="K126" s="43"/>
      <c r="L126" s="36">
        <f t="shared" si="5"/>
        <v>60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>
        <v>4</v>
      </c>
      <c r="H137" s="30"/>
      <c r="I137" s="30"/>
      <c r="J137" s="43"/>
      <c r="K137" s="43"/>
      <c r="L137" s="36">
        <f t="shared" si="5"/>
        <v>4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>
      <c r="B142" s="50">
        <v>20054646</v>
      </c>
      <c r="C142" s="49" t="s">
        <v>145</v>
      </c>
      <c r="D142" s="21"/>
      <c r="E142" s="48"/>
      <c r="F142" s="51"/>
      <c r="G142" s="52"/>
      <c r="H142" s="9"/>
      <c r="I142" s="9"/>
      <c r="J142" s="9"/>
      <c r="K142" s="9"/>
      <c r="L142" s="36">
        <f t="shared" si="6"/>
        <v>0</v>
      </c>
    </row>
    <row r="143" spans="2:12">
      <c r="B143" s="50">
        <v>1100044</v>
      </c>
      <c r="C143" s="49" t="s">
        <v>146</v>
      </c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C143" sqref="C143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135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55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115" zoomScale="60" zoomScaleNormal="60" workbookViewId="0">
      <selection activeCell="C143" sqref="C143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53"/>
      <c r="C153" s="54"/>
      <c r="D153" s="31"/>
      <c r="E153" s="31"/>
      <c r="F153" s="31"/>
      <c r="G153" s="26"/>
      <c r="L153" s="39"/>
    </row>
    <row r="154" spans="2:12">
      <c r="B154" s="53"/>
      <c r="C154" s="54"/>
      <c r="D154" s="31"/>
      <c r="E154" s="31"/>
      <c r="F154" s="31"/>
      <c r="G154" s="26"/>
      <c r="L154" s="39"/>
    </row>
    <row r="155" spans="2:12">
      <c r="B155" s="53"/>
      <c r="C155" s="54"/>
      <c r="D155" s="31"/>
      <c r="E155" s="31"/>
      <c r="F155" s="31"/>
      <c r="G155" s="26"/>
      <c r="L155" s="55"/>
    </row>
    <row r="156" spans="2:12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2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2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74"/>
  <sheetViews>
    <sheetView tabSelected="1" topLeftCell="B1" zoomScale="50" zoomScaleNormal="50" workbookViewId="0">
      <selection activeCell="W58" sqref="W5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63" t="s">
        <v>148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7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  <c r="M2" s="72" t="s">
        <v>127</v>
      </c>
      <c r="N2" s="72" t="s">
        <v>130</v>
      </c>
      <c r="O2" s="72" t="s">
        <v>140</v>
      </c>
      <c r="P2" s="72" t="s">
        <v>141</v>
      </c>
      <c r="Q2" s="75" t="s">
        <v>1</v>
      </c>
    </row>
    <row r="3" spans="2:17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  <c r="M3" s="73"/>
      <c r="N3" s="73"/>
      <c r="O3" s="73"/>
      <c r="P3" s="73"/>
      <c r="Q3" s="76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74"/>
      <c r="N4" s="74"/>
      <c r="O4" s="74"/>
      <c r="P4" s="74"/>
      <c r="Q4" s="77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71"/>
    </row>
    <row r="7" spans="2:17">
      <c r="B7" s="11">
        <v>1111002</v>
      </c>
      <c r="C7" s="15" t="s">
        <v>107</v>
      </c>
      <c r="D7" s="30">
        <f>'เย็น '!D7+'เช้า '!D7+บ่าย!D7</f>
        <v>0</v>
      </c>
      <c r="E7" s="30">
        <f>'เย็น '!E7+'เช้า '!E7+บ่าย!E7</f>
        <v>19</v>
      </c>
      <c r="F7" s="30">
        <f>'เย็น '!F7+'เช้า '!F7+บ่าย!F7</f>
        <v>51</v>
      </c>
      <c r="G7" s="30">
        <f>'เย็น '!G7+'เช้า '!G7+บ่าย!G7</f>
        <v>7</v>
      </c>
      <c r="H7" s="30">
        <f>'เย็น '!H7+'เช้า '!H7+บ่าย!H7</f>
        <v>13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2</v>
      </c>
      <c r="L7" s="36">
        <f>SUM(D7:K7)</f>
        <v>92</v>
      </c>
      <c r="M7" s="11">
        <v>92</v>
      </c>
      <c r="N7" s="11">
        <v>12</v>
      </c>
      <c r="O7" s="11"/>
      <c r="P7" s="11">
        <v>90</v>
      </c>
      <c r="Q7" s="44">
        <f>(M7+N7+O7+P7)-L7</f>
        <v>102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7</v>
      </c>
      <c r="F25" s="30">
        <f>'เย็น '!F25+'เช้า '!F25+บ่าย!F25</f>
        <v>0</v>
      </c>
      <c r="G25" s="30">
        <f>'เย็น '!G25+'เช้า '!G25+บ่าย!G25</f>
        <v>0</v>
      </c>
      <c r="H25" s="30">
        <f>'เย็น '!H25+'เช้า '!H25+บ่าย!H25</f>
        <v>3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10</v>
      </c>
      <c r="M25" s="11">
        <v>10</v>
      </c>
      <c r="N25" s="11">
        <v>7</v>
      </c>
      <c r="O25" s="11"/>
      <c r="P25" s="11">
        <v>15</v>
      </c>
      <c r="Q25" s="44">
        <f t="shared" si="1"/>
        <v>22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30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48</v>
      </c>
      <c r="H26" s="30">
        <f>'เย็น '!H26+'เช้า '!H26+บ่าย!H26</f>
        <v>52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130</v>
      </c>
      <c r="M26" s="11">
        <v>120</v>
      </c>
      <c r="N26" s="11"/>
      <c r="O26" s="11"/>
      <c r="P26" s="11">
        <v>120</v>
      </c>
      <c r="Q26" s="44">
        <f t="shared" si="1"/>
        <v>110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0</v>
      </c>
      <c r="M40" s="11"/>
      <c r="N40" s="11"/>
      <c r="O40" s="11"/>
      <c r="P40" s="11"/>
      <c r="Q40" s="44">
        <f t="shared" si="1"/>
        <v>0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0</v>
      </c>
      <c r="M41" s="11"/>
      <c r="N41" s="11"/>
      <c r="O41" s="11"/>
      <c r="P41" s="11"/>
      <c r="Q41" s="44">
        <f t="shared" si="1"/>
        <v>0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0</v>
      </c>
      <c r="M42" s="11"/>
      <c r="N42" s="11"/>
      <c r="O42" s="11"/>
      <c r="P42" s="11"/>
      <c r="Q42" s="44">
        <f t="shared" si="1"/>
        <v>0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0</v>
      </c>
      <c r="M43" s="11"/>
      <c r="N43" s="11"/>
      <c r="O43" s="11"/>
      <c r="P43" s="11"/>
      <c r="Q43" s="44">
        <f t="shared" si="1"/>
        <v>0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0</v>
      </c>
      <c r="M44" s="11"/>
      <c r="N44" s="11"/>
      <c r="O44" s="11"/>
      <c r="P44" s="11"/>
      <c r="Q44" s="44">
        <f t="shared" si="1"/>
        <v>0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0</v>
      </c>
      <c r="M45" s="11"/>
      <c r="N45" s="11"/>
      <c r="O45" s="11"/>
      <c r="P45" s="11"/>
      <c r="Q45" s="44">
        <f t="shared" si="1"/>
        <v>0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0</v>
      </c>
      <c r="M46" s="11"/>
      <c r="N46" s="11"/>
      <c r="O46" s="11"/>
      <c r="P46" s="11"/>
      <c r="Q46" s="44">
        <f t="shared" si="1"/>
        <v>0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0</v>
      </c>
      <c r="M47" s="11"/>
      <c r="N47" s="11"/>
      <c r="O47" s="11"/>
      <c r="P47" s="11"/>
      <c r="Q47" s="44">
        <f t="shared" si="1"/>
        <v>0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/>
      <c r="O49" s="11"/>
      <c r="P49" s="11"/>
      <c r="Q49" s="44">
        <f t="shared" si="1"/>
        <v>0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71"/>
    </row>
    <row r="69" spans="2:20">
      <c r="B69" s="11">
        <v>1111009</v>
      </c>
      <c r="C69" s="19" t="s">
        <v>56</v>
      </c>
      <c r="D69" s="30">
        <f>'เย็น '!D69+'เช้า '!D69+บ่าย!D69</f>
        <v>0</v>
      </c>
      <c r="E69" s="30">
        <f>'เย็น '!E69+'เช้า '!E69+บ่าย!E69</f>
        <v>4</v>
      </c>
      <c r="F69" s="30">
        <f>'เย็น '!F69+'เช้า '!F69+บ่าย!F69</f>
        <v>4</v>
      </c>
      <c r="G69" s="30">
        <f>'เย็น '!G69+'เช้า '!G69+บ่าย!G69</f>
        <v>1</v>
      </c>
      <c r="H69" s="30">
        <f>'เย็น '!H69+'เช้า '!H69+บ่าย!H69</f>
        <v>5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14</v>
      </c>
      <c r="M69" s="11">
        <v>30</v>
      </c>
      <c r="N69" s="11">
        <v>11</v>
      </c>
      <c r="O69" s="11"/>
      <c r="P69" s="11">
        <v>30</v>
      </c>
      <c r="Q69" s="44">
        <f t="shared" ref="Q69:Q76" si="5">(M69+N69+O69+P69)-L69</f>
        <v>57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71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10</v>
      </c>
      <c r="F87" s="30">
        <f>'เย็น '!F87+'เช้า '!F87+บ่าย!F87</f>
        <v>0</v>
      </c>
      <c r="G87" s="30">
        <f>'เย็น '!G87+'เช้า '!G87+บ่าย!G87</f>
        <v>39</v>
      </c>
      <c r="H87" s="30">
        <f>'เย็น '!H87+'เช้า '!H87+บ่าย!H87</f>
        <v>24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73</v>
      </c>
      <c r="M87" s="11">
        <v>120</v>
      </c>
      <c r="N87" s="11">
        <v>1</v>
      </c>
      <c r="O87" s="11"/>
      <c r="P87" s="11">
        <v>120</v>
      </c>
      <c r="Q87" s="44">
        <f t="shared" si="8"/>
        <v>168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71"/>
    </row>
    <row r="90" spans="2:17">
      <c r="B90" s="11">
        <v>1112009</v>
      </c>
      <c r="C90" s="19" t="s">
        <v>75</v>
      </c>
      <c r="D90" s="30">
        <f>'เย็น '!D90+'เช้า '!D90+บ่าย!D90</f>
        <v>7</v>
      </c>
      <c r="E90" s="30">
        <f>'เย็น '!E90+'เช้า '!E90+บ่าย!E90</f>
        <v>1</v>
      </c>
      <c r="F90" s="30">
        <f>'เย็น '!F90+'เช้า '!F90+บ่าย!F90</f>
        <v>0</v>
      </c>
      <c r="G90" s="30">
        <f>'เย็น '!G90+'เช้า '!G90+บ่าย!G90</f>
        <v>21</v>
      </c>
      <c r="H90" s="30">
        <f>'เย็น '!H90+'เช้า '!H90+บ่าย!H90</f>
        <v>5</v>
      </c>
      <c r="I90" s="30">
        <f>'เย็น '!I90+'เช้า '!I90+บ่าย!I90</f>
        <v>1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35</v>
      </c>
      <c r="M90" s="11">
        <v>70</v>
      </c>
      <c r="N90" s="11">
        <v>53</v>
      </c>
      <c r="O90" s="11"/>
      <c r="P90" s="11">
        <v>70</v>
      </c>
      <c r="Q90" s="44">
        <f t="shared" ref="Q90:Q100" si="10">(M90+N90+O90+P90)-L90</f>
        <v>158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2</v>
      </c>
      <c r="E91" s="30">
        <f>'เย็น '!E91+'เช้า '!E91+บ่าย!E91</f>
        <v>1</v>
      </c>
      <c r="F91" s="30">
        <f>'เย็น '!F91+'เช้า '!F91+บ่าย!F91</f>
        <v>2</v>
      </c>
      <c r="G91" s="30">
        <f>'เย็น '!G91+'เช้า '!G91+บ่าย!G91</f>
        <v>21</v>
      </c>
      <c r="H91" s="30">
        <f>'เย็น '!H91+'เช้า '!H91+บ่าย!H91</f>
        <v>5</v>
      </c>
      <c r="I91" s="30">
        <f>'เย็น '!I91+'เช้า '!I91+บ่าย!I91</f>
        <v>1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32</v>
      </c>
      <c r="M91" s="11">
        <v>70</v>
      </c>
      <c r="N91" s="11">
        <v>36</v>
      </c>
      <c r="O91" s="11"/>
      <c r="P91" s="11">
        <v>70</v>
      </c>
      <c r="Q91" s="44">
        <f t="shared" si="10"/>
        <v>144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1</v>
      </c>
      <c r="E92" s="30">
        <f>'เย็น '!E92+'เช้า '!E92+บ่าย!E92</f>
        <v>1</v>
      </c>
      <c r="F92" s="30">
        <f>'เย็น '!F92+'เช้า '!F92+บ่าย!F92</f>
        <v>0</v>
      </c>
      <c r="G92" s="30">
        <f>'เย็น '!G92+'เช้า '!G92+บ่าย!G92</f>
        <v>22</v>
      </c>
      <c r="H92" s="30">
        <f>'เย็น '!H92+'เช้า '!H92+บ่าย!H92</f>
        <v>10</v>
      </c>
      <c r="I92" s="30">
        <f>'เย็น '!I92+'เช้า '!I92+บ่าย!I92</f>
        <v>1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35</v>
      </c>
      <c r="M92" s="11">
        <v>70</v>
      </c>
      <c r="N92" s="11">
        <v>40</v>
      </c>
      <c r="O92" s="11"/>
      <c r="P92" s="11">
        <v>70</v>
      </c>
      <c r="Q92" s="44">
        <f t="shared" si="10"/>
        <v>145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6</v>
      </c>
      <c r="E93" s="30">
        <f>'เย็น '!E93+'เช้า '!E93+บ่าย!E93</f>
        <v>1</v>
      </c>
      <c r="F93" s="30">
        <f>'เย็น '!F93+'เช้า '!F93+บ่าย!F93</f>
        <v>0</v>
      </c>
      <c r="G93" s="30">
        <f>'เย็น '!G93+'เช้า '!G93+บ่าย!G93</f>
        <v>21</v>
      </c>
      <c r="H93" s="30">
        <f>'เย็น '!H93+'เช้า '!H93+บ่าย!H93</f>
        <v>5</v>
      </c>
      <c r="I93" s="30">
        <f>'เย็น '!I93+'เช้า '!I93+บ่าย!I93</f>
        <v>1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34</v>
      </c>
      <c r="M93" s="11">
        <v>70</v>
      </c>
      <c r="N93" s="11">
        <v>40</v>
      </c>
      <c r="O93" s="11"/>
      <c r="P93" s="11">
        <v>70</v>
      </c>
      <c r="Q93" s="44">
        <f t="shared" si="10"/>
        <v>146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9</v>
      </c>
      <c r="E97" s="30">
        <f>'เย็น '!E97+'เช้า '!E97+บ่าย!E97</f>
        <v>0</v>
      </c>
      <c r="F97" s="30">
        <f>'เย็น '!F97+'เช้า '!F97+บ่าย!F97</f>
        <v>0</v>
      </c>
      <c r="G97" s="30">
        <f>'เย็น '!G97+'เช้า '!G97+บ่าย!G97</f>
        <v>21</v>
      </c>
      <c r="H97" s="30">
        <f>'เย็น '!H97+'เช้า '!H97+บ่าย!H97</f>
        <v>5</v>
      </c>
      <c r="I97" s="30">
        <f>'เย็น '!I97+'เช้า '!I97+บ่าย!I97</f>
        <v>1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36</v>
      </c>
      <c r="M97" s="11">
        <v>70</v>
      </c>
      <c r="N97" s="11">
        <v>41</v>
      </c>
      <c r="O97" s="11"/>
      <c r="P97" s="11">
        <v>70</v>
      </c>
      <c r="Q97" s="44">
        <f t="shared" si="10"/>
        <v>145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6</v>
      </c>
      <c r="E98" s="30">
        <f>'เย็น '!E98+'เช้า '!E98+บ่าย!E98</f>
        <v>1</v>
      </c>
      <c r="F98" s="30">
        <f>'เย็น '!F98+'เช้า '!F98+บ่าย!F98</f>
        <v>0</v>
      </c>
      <c r="G98" s="30">
        <f>'เย็น '!G98+'เช้า '!G98+บ่าย!G98</f>
        <v>21</v>
      </c>
      <c r="H98" s="30">
        <f>'เย็น '!H98+'เช้า '!H98+บ่าย!H98</f>
        <v>5</v>
      </c>
      <c r="I98" s="30">
        <f>'เย็น '!I98+'เช้า '!I98+บ่าย!I98</f>
        <v>1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34</v>
      </c>
      <c r="M98" s="11">
        <v>70</v>
      </c>
      <c r="N98" s="11">
        <v>36</v>
      </c>
      <c r="O98" s="11"/>
      <c r="P98" s="11">
        <v>70</v>
      </c>
      <c r="Q98" s="44">
        <f t="shared" si="10"/>
        <v>142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206</v>
      </c>
      <c r="M100" s="11">
        <f>SUM(M90:M99)</f>
        <v>420</v>
      </c>
      <c r="N100" s="11">
        <f>SUM(N90:N99)</f>
        <v>246</v>
      </c>
      <c r="O100" s="11">
        <f>SUM(O90:O99)</f>
        <v>0</v>
      </c>
      <c r="P100" s="11">
        <f>SUM(P90:P99)</f>
        <v>420</v>
      </c>
      <c r="Q100" s="44">
        <f t="shared" si="10"/>
        <v>880</v>
      </c>
    </row>
    <row r="101" spans="2:17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71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30">
        <f>บ่าย!K102+'เช้า '!K102+'เย็น '!K102</f>
        <v>0</v>
      </c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30">
        <f>บ่าย!K103+'เช้า '!K103+'เย็น '!K103</f>
        <v>0</v>
      </c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30">
        <f>บ่าย!K104+'เช้า '!K104+'เย็น '!K104</f>
        <v>0</v>
      </c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30">
        <f>บ่าย!K105+'เช้า '!K105+'เย็น '!K105</f>
        <v>0</v>
      </c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30">
        <f>บ่าย!K106+'เช้า '!K106+'เย็น '!K106</f>
        <v>0</v>
      </c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30">
        <f>บ่าย!K107+'เช้า '!K107+'เย็น '!K107</f>
        <v>0</v>
      </c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30">
        <f>บ่าย!K108+'เช้า '!K108+'เย็น '!K108</f>
        <v>0</v>
      </c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30">
        <f>บ่าย!K109+'เช้า '!K109+'เย็น '!K109</f>
        <v>0</v>
      </c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30">
        <f>บ่าย!K110+'เช้า '!K110+'เย็น '!K110</f>
        <v>0</v>
      </c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30">
        <f>บ่าย!K111+'เช้า '!K111+'เย็น '!K111</f>
        <v>0</v>
      </c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71"/>
    </row>
    <row r="114" spans="2:17">
      <c r="B114" s="11">
        <v>1113170</v>
      </c>
      <c r="C114" s="21" t="s">
        <v>87</v>
      </c>
      <c r="D114" s="30">
        <f>บ่าย!D114+'เช้า '!D114+'เย็น '!D114</f>
        <v>14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>บ่าย!J114+'เช้า '!J114+'เย็น '!J114</f>
        <v>0</v>
      </c>
      <c r="K114" s="30">
        <f>บ่าย!K114+'เช้า '!K114+'เย็น '!K114</f>
        <v>0</v>
      </c>
      <c r="L114" s="36">
        <f t="shared" ref="L114:L151" si="13">SUM(D114:K114)</f>
        <v>14</v>
      </c>
      <c r="M114" s="11"/>
      <c r="N114" s="11">
        <v>24</v>
      </c>
      <c r="O114" s="11"/>
      <c r="P114" s="11"/>
      <c r="Q114" s="44">
        <f t="shared" ref="Q114:Q151" si="14">(M114+N114+O114+P114)-L114</f>
        <v>10</v>
      </c>
    </row>
    <row r="115" spans="2:17">
      <c r="B115" s="11">
        <v>1113171</v>
      </c>
      <c r="C115" s="21" t="s">
        <v>88</v>
      </c>
      <c r="D115" s="30">
        <f>บ่าย!D115+'เช้า '!D115+'เย็น '!D115</f>
        <v>10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1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>บ่าย!J115+'เช้า '!J115+'เย็น '!J115</f>
        <v>0</v>
      </c>
      <c r="K115" s="30">
        <f>บ่าย!K115+'เช้า '!K115+'เย็น '!K115</f>
        <v>0</v>
      </c>
      <c r="L115" s="36">
        <f t="shared" si="13"/>
        <v>11</v>
      </c>
      <c r="M115" s="11"/>
      <c r="N115" s="11">
        <v>17</v>
      </c>
      <c r="O115" s="11"/>
      <c r="P115" s="11"/>
      <c r="Q115" s="44">
        <f t="shared" si="14"/>
        <v>6</v>
      </c>
    </row>
    <row r="116" spans="2:17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>บ่าย!J116+'เช้า '!J116+'เย็น '!J116</f>
        <v>0</v>
      </c>
      <c r="K116" s="30">
        <f>บ่าย!K116+'เช้า '!K116+'เย็น '!K116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>บ่าย!J117+'เช้า '!J117+'เย็น '!J117</f>
        <v>0</v>
      </c>
      <c r="K117" s="30">
        <f>บ่าย!K117+'เช้า '!K117+'เย็น '!K117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>บ่าย!J118+'เช้า '!J118+'เย็น '!J118</f>
        <v>0</v>
      </c>
      <c r="K118" s="30">
        <f>บ่าย!K118+'เช้า '!K118+'เย็น '!K118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>บ่าย!J119+'เช้า '!J119+'เย็น '!J119</f>
        <v>0</v>
      </c>
      <c r="K119" s="30">
        <f>บ่าย!K119+'เช้า '!K119+'เย็น '!K119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4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>บ่าย!J120+'เช้า '!J120+'เย็น '!J120</f>
        <v>0</v>
      </c>
      <c r="K120" s="30">
        <f>บ่าย!K120+'เช้า '!K120+'เย็น '!K120</f>
        <v>0</v>
      </c>
      <c r="L120" s="36">
        <f t="shared" si="13"/>
        <v>4</v>
      </c>
      <c r="M120" s="11"/>
      <c r="N120" s="11">
        <v>13</v>
      </c>
      <c r="O120" s="11"/>
      <c r="P120" s="11"/>
      <c r="Q120" s="44">
        <f t="shared" si="14"/>
        <v>9</v>
      </c>
    </row>
    <row r="121" spans="2:17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>บ่าย!J121+'เช้า '!J121+'เย็น '!J121</f>
        <v>0</v>
      </c>
      <c r="K121" s="30">
        <f>บ่าย!K121+'เช้า '!K121+'เย็น '!K121</f>
        <v>0</v>
      </c>
      <c r="L121" s="36">
        <f t="shared" si="13"/>
        <v>0</v>
      </c>
      <c r="M121" s="11"/>
      <c r="N121" s="11">
        <v>100</v>
      </c>
      <c r="O121" s="11"/>
      <c r="P121" s="11"/>
      <c r="Q121" s="44">
        <f t="shared" si="14"/>
        <v>100</v>
      </c>
    </row>
    <row r="122" spans="2:17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>บ่าย!J122+'เช้า '!J122+'เย็น '!J122</f>
        <v>0</v>
      </c>
      <c r="K122" s="30">
        <f>บ่าย!K122+'เช้า '!K122+'เย็น '!K122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บ่าย!D123+'เช้า '!D123+'เย็น '!D123</f>
        <v>2</v>
      </c>
      <c r="E123" s="30">
        <f>บ่าย!E123+'เช้า '!E123+'เย็น '!E123</f>
        <v>3</v>
      </c>
      <c r="F123" s="30">
        <f>บ่าย!F123+'เช้า '!F123+'เย็น '!F123</f>
        <v>4</v>
      </c>
      <c r="G123" s="30">
        <f>บ่าย!G123+'เช้า '!G123+'เย็น '!G123</f>
        <v>233</v>
      </c>
      <c r="H123" s="30">
        <f>บ่าย!H123+'เช้า '!H123+'เย็น '!H123</f>
        <v>45</v>
      </c>
      <c r="I123" s="30">
        <f>บ่าย!I123+'เช้า '!I123+'เย็น '!I123</f>
        <v>2</v>
      </c>
      <c r="J123" s="30">
        <f>บ่าย!J123+'เช้า '!J123+'เย็น '!J123</f>
        <v>0</v>
      </c>
      <c r="K123" s="30">
        <f>บ่าย!K123+'เช้า '!K123+'เย็น '!K123</f>
        <v>0</v>
      </c>
      <c r="L123" s="36">
        <f t="shared" si="13"/>
        <v>289</v>
      </c>
      <c r="M123" s="11">
        <v>450</v>
      </c>
      <c r="N123" s="11">
        <v>384</v>
      </c>
      <c r="O123" s="11"/>
      <c r="P123" s="11">
        <v>500</v>
      </c>
      <c r="Q123" s="44">
        <f t="shared" si="14"/>
        <v>1045</v>
      </c>
    </row>
    <row r="124" spans="2:17">
      <c r="B124" s="11">
        <v>1114502</v>
      </c>
      <c r="C124" s="21" t="s">
        <v>96</v>
      </c>
      <c r="D124" s="30">
        <f>บ่าย!D124+'เช้า '!D124+'เย็น '!D124</f>
        <v>3</v>
      </c>
      <c r="E124" s="30">
        <f>บ่าย!E124+'เช้า '!E124+'เย็น '!E124</f>
        <v>0</v>
      </c>
      <c r="F124" s="30">
        <f>บ่าย!F124+'เช้า '!F124+'เย็น '!F124</f>
        <v>1</v>
      </c>
      <c r="G124" s="30">
        <f>บ่าย!G124+'เช้า '!G124+'เย็น '!G124</f>
        <v>206</v>
      </c>
      <c r="H124" s="30">
        <f>บ่าย!H124+'เช้า '!H124+'เย็น '!H124</f>
        <v>42</v>
      </c>
      <c r="I124" s="30">
        <f>บ่าย!I124+'เช้า '!I124+'เย็น '!I124</f>
        <v>2</v>
      </c>
      <c r="J124" s="30">
        <f>บ่าย!J124+'เช้า '!J124+'เย็น '!J124</f>
        <v>0</v>
      </c>
      <c r="K124" s="30">
        <f>บ่าย!K124+'เช้า '!K124+'เย็น '!K124</f>
        <v>0</v>
      </c>
      <c r="L124" s="36">
        <f t="shared" si="13"/>
        <v>254</v>
      </c>
      <c r="M124" s="11">
        <v>249</v>
      </c>
      <c r="N124" s="11">
        <v>380</v>
      </c>
      <c r="O124" s="11"/>
      <c r="P124" s="11">
        <v>400</v>
      </c>
      <c r="Q124" s="44">
        <f t="shared" si="14"/>
        <v>775</v>
      </c>
    </row>
    <row r="125" spans="2:17">
      <c r="B125" s="11">
        <v>1114503</v>
      </c>
      <c r="C125" s="21" t="s">
        <v>97</v>
      </c>
      <c r="D125" s="30">
        <f>บ่าย!D125+'เช้า '!D125+'เย็น '!D125</f>
        <v>1</v>
      </c>
      <c r="E125" s="30">
        <f>บ่าย!E125+'เช้า '!E125+'เย็น '!E125</f>
        <v>1</v>
      </c>
      <c r="F125" s="30">
        <f>บ่าย!F125+'เช้า '!F125+'เย็น '!F125</f>
        <v>2</v>
      </c>
      <c r="G125" s="30">
        <f>บ่าย!G125+'เช้า '!G125+'เย็น '!G125</f>
        <v>197</v>
      </c>
      <c r="H125" s="30">
        <f>บ่าย!H125+'เช้า '!H125+'เย็น '!H125</f>
        <v>42</v>
      </c>
      <c r="I125" s="30">
        <f>บ่าย!I125+'เช้า '!I125+'เย็น '!I125</f>
        <v>2</v>
      </c>
      <c r="J125" s="30">
        <f>บ่าย!J125+'เช้า '!J125+'เย็น '!J125</f>
        <v>0</v>
      </c>
      <c r="K125" s="30">
        <f>บ่าย!K125+'เช้า '!K125+'เย็น '!K125</f>
        <v>0</v>
      </c>
      <c r="L125" s="36">
        <f t="shared" si="13"/>
        <v>245</v>
      </c>
      <c r="M125" s="11">
        <v>395</v>
      </c>
      <c r="N125" s="11">
        <v>264</v>
      </c>
      <c r="O125" s="11"/>
      <c r="P125" s="11">
        <v>400</v>
      </c>
      <c r="Q125" s="44">
        <f t="shared" si="14"/>
        <v>814</v>
      </c>
    </row>
    <row r="126" spans="2:17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3</v>
      </c>
      <c r="F126" s="30">
        <f>บ่าย!F126+'เช้า '!F126+'เย็น '!F126</f>
        <v>26</v>
      </c>
      <c r="G126" s="30">
        <f>บ่าย!G126+'เช้า '!G126+'เย็น '!G126</f>
        <v>17</v>
      </c>
      <c r="H126" s="30">
        <f>บ่าย!H126+'เช้า '!H126+'เย็น '!H126</f>
        <v>14</v>
      </c>
      <c r="I126" s="30">
        <f>บ่าย!I126+'เช้า '!I126+'เย็น '!I126</f>
        <v>0</v>
      </c>
      <c r="J126" s="30">
        <f>บ่าย!J126+'เช้า '!J126+'เย็น '!J126</f>
        <v>0</v>
      </c>
      <c r="K126" s="30">
        <f>บ่าย!K126+'เช้า '!K126+'เย็น '!K126</f>
        <v>0</v>
      </c>
      <c r="L126" s="36">
        <f t="shared" si="13"/>
        <v>60</v>
      </c>
      <c r="M126" s="11">
        <v>50</v>
      </c>
      <c r="N126" s="11">
        <v>31</v>
      </c>
      <c r="O126" s="11"/>
      <c r="P126" s="11">
        <v>40</v>
      </c>
      <c r="Q126" s="44">
        <f t="shared" si="14"/>
        <v>61</v>
      </c>
    </row>
    <row r="127" spans="2:17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>บ่าย!J127+'เช้า '!J127+'เย็น '!J127</f>
        <v>0</v>
      </c>
      <c r="K127" s="30">
        <f>บ่าย!K127+'เช้า '!K127+'เย็น '!K127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>บ่าย!J128+'เช้า '!J128+'เย็น '!J128</f>
        <v>0</v>
      </c>
      <c r="K128" s="30">
        <f>บ่าย!K128+'เช้า '!K128+'เย็น '!K128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8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>บ่าย!J129+'เช้า '!J129+'เย็น '!J129</f>
        <v>0</v>
      </c>
      <c r="K129" s="30">
        <f>บ่าย!K129+'เช้า '!K129+'เย็น '!K129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8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>บ่าย!J130+'เช้า '!J130+'เย็น '!J130</f>
        <v>0</v>
      </c>
      <c r="K130" s="30">
        <f>บ่าย!K130+'เช้า '!K130+'เย็น '!K130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8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>บ่าย!J131+'เช้า '!J131+'เย็น '!J131</f>
        <v>0</v>
      </c>
      <c r="K131" s="30">
        <f>บ่าย!K131+'เช้า '!K131+'เย็น '!K131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8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>บ่าย!J132+'เช้า '!J132+'เย็น '!J132</f>
        <v>0</v>
      </c>
      <c r="K132" s="30">
        <f>บ่าย!K132+'เช้า '!K132+'เย็น '!K132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8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>บ่าย!J133+'เช้า '!J133+'เย็น '!J133</f>
        <v>0</v>
      </c>
      <c r="K133" s="30">
        <f>บ่าย!K133+'เช้า '!K133+'เย็น '!K133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8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>บ่าย!J134+'เช้า '!J134+'เย็น '!J134</f>
        <v>0</v>
      </c>
      <c r="K134" s="30">
        <f>บ่าย!K134+'เช้า '!K134+'เย็น '!K134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8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0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>บ่าย!J135+'เช้า '!J135+'เย็น '!J135</f>
        <v>0</v>
      </c>
      <c r="K135" s="30">
        <f>บ่าย!K135+'เช้า '!K135+'เย็น '!K135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8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0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>บ่าย!J136+'เช้า '!J136+'เย็น '!J136</f>
        <v>0</v>
      </c>
      <c r="K136" s="30">
        <f>บ่าย!K136+'เช้า '!K136+'เย็น '!K136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8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4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>บ่าย!J137+'เช้า '!J137+'เย็น '!J137</f>
        <v>0</v>
      </c>
      <c r="K137" s="30">
        <f>บ่าย!K137+'เช้า '!K137+'เย็น '!K137</f>
        <v>0</v>
      </c>
      <c r="L137" s="36">
        <f t="shared" si="13"/>
        <v>4</v>
      </c>
      <c r="M137" s="11"/>
      <c r="N137" s="11">
        <v>4</v>
      </c>
      <c r="O137" s="11"/>
      <c r="P137" s="11"/>
      <c r="Q137" s="44">
        <f t="shared" si="14"/>
        <v>0</v>
      </c>
    </row>
    <row r="138" spans="2:18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>บ่าย!J138+'เช้า '!J138+'เย็น '!J138</f>
        <v>0</v>
      </c>
      <c r="K138" s="30">
        <f>บ่าย!K138+'เช้า '!K138+'เย็น '!K138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8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>บ่าย!J139+'เช้า '!J139+'เย็น '!J139</f>
        <v>0</v>
      </c>
      <c r="K139" s="30">
        <f>บ่าย!K139+'เช้า '!K139+'เย็น '!K139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8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>บ่าย!J140+'เช้า '!J140+'เย็น '!J140</f>
        <v>0</v>
      </c>
      <c r="K140" s="30">
        <f>บ่าย!K140+'เช้า '!K140+'เย็น '!K140</f>
        <v>0</v>
      </c>
      <c r="L140" s="36"/>
      <c r="M140" s="57"/>
      <c r="N140" s="57"/>
      <c r="O140" s="57"/>
      <c r="P140" s="57"/>
      <c r="Q140" s="44"/>
    </row>
    <row r="141" spans="2:18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>บ่าย!J141+'เช้า '!J141+'เย็น '!J141</f>
        <v>0</v>
      </c>
      <c r="K141" s="30">
        <f>บ่าย!K141+'เช้า '!K141+'เย็น '!K141</f>
        <v>0</v>
      </c>
      <c r="L141" s="36"/>
      <c r="M141" s="11"/>
      <c r="N141" s="11"/>
      <c r="O141" s="11"/>
      <c r="P141" s="11"/>
      <c r="Q141" s="44"/>
      <c r="R141" s="61"/>
    </row>
    <row r="142" spans="2:18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0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>บ่าย!J142+'เช้า '!J142+'เย็น '!J142</f>
        <v>0</v>
      </c>
      <c r="K142" s="30">
        <f>บ่าย!K142+'เช้า '!K142+'เย็น '!K142</f>
        <v>0</v>
      </c>
      <c r="L142" s="36"/>
      <c r="M142" s="11"/>
      <c r="N142" s="11"/>
      <c r="O142" s="11"/>
      <c r="P142" s="11"/>
      <c r="Q142" s="44"/>
    </row>
    <row r="143" spans="2:18">
      <c r="B143" s="50">
        <v>1100044</v>
      </c>
      <c r="C143" s="49" t="s">
        <v>147</v>
      </c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>บ่าย!J143+'เช้า '!J143+'เย็น '!J143</f>
        <v>0</v>
      </c>
      <c r="K143" s="30">
        <f>บ่าย!K143+'เช้า '!K143+'เย็น '!K143</f>
        <v>0</v>
      </c>
      <c r="L143" s="36"/>
      <c r="M143" s="11"/>
      <c r="N143" s="11"/>
      <c r="O143" s="11"/>
      <c r="P143" s="11"/>
      <c r="Q143" s="44"/>
    </row>
    <row r="144" spans="2:18">
      <c r="B144" s="50"/>
      <c r="C144" s="49"/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>บ่าย!J144+'เช้า '!J144+'เย็น '!J144</f>
        <v>0</v>
      </c>
      <c r="K144" s="30">
        <f>บ่าย!K144+'เช้า '!K144+'เย็น '!K144</f>
        <v>0</v>
      </c>
      <c r="L144" s="36"/>
      <c r="M144" s="11"/>
      <c r="N144" s="11"/>
      <c r="O144" s="11"/>
      <c r="P144" s="11"/>
      <c r="Q144" s="44"/>
    </row>
    <row r="145" spans="2:17">
      <c r="B145" s="50"/>
      <c r="C145" s="49"/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>บ่าย!J145+'เช้า '!J145+'เย็น '!J145</f>
        <v>0</v>
      </c>
      <c r="K145" s="30">
        <f>บ่าย!K145+'เช้า '!K145+'เย็น '!K145</f>
        <v>0</v>
      </c>
      <c r="L145" s="36"/>
      <c r="M145" s="11"/>
      <c r="N145" s="11"/>
      <c r="O145" s="11"/>
      <c r="P145" s="11"/>
      <c r="Q145" s="44"/>
    </row>
    <row r="146" spans="2:17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>บ่าย!J146+'เช้า '!J146+'เย็น '!J146</f>
        <v>0</v>
      </c>
      <c r="K146" s="30">
        <f>บ่าย!K146+'เช้า '!K146+'เย็น '!K146</f>
        <v>0</v>
      </c>
      <c r="L146" s="36"/>
      <c r="M146" s="11"/>
      <c r="N146" s="11"/>
      <c r="O146" s="11"/>
      <c r="P146" s="11"/>
      <c r="Q146" s="44"/>
    </row>
    <row r="147" spans="2:17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>บ่าย!J147+'เช้า '!J147+'เย็น '!J147</f>
        <v>0</v>
      </c>
      <c r="K147" s="30">
        <f>บ่าย!K147+'เช้า '!K147+'เย็น '!K147</f>
        <v>0</v>
      </c>
      <c r="L147" s="36"/>
      <c r="M147" s="11"/>
      <c r="N147" s="11"/>
      <c r="O147" s="11"/>
      <c r="P147" s="11"/>
      <c r="Q147" s="44"/>
    </row>
    <row r="148" spans="2:17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>บ่าย!J148+'เช้า '!J148+'เย็น '!J148</f>
        <v>0</v>
      </c>
      <c r="K148" s="30">
        <f>บ่าย!K148+'เช้า '!K148+'เย็น '!K148</f>
        <v>0</v>
      </c>
      <c r="L148" s="36"/>
      <c r="M148" s="11"/>
      <c r="N148" s="11"/>
      <c r="O148" s="11"/>
      <c r="P148" s="11"/>
      <c r="Q148" s="44"/>
    </row>
    <row r="149" spans="2:17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>บ่าย!J149+'เช้า '!J149+'เย็น '!J149</f>
        <v>0</v>
      </c>
      <c r="K149" s="30">
        <f>บ่าย!K149+'เช้า '!K149+'เย็น '!K149</f>
        <v>0</v>
      </c>
      <c r="L149" s="36"/>
      <c r="M149" s="11"/>
      <c r="N149" s="11"/>
      <c r="O149" s="11"/>
      <c r="P149" s="11"/>
      <c r="Q149" s="44"/>
    </row>
    <row r="150" spans="2:17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>บ่าย!J150+'เช้า '!J150+'เย็น '!J150</f>
        <v>0</v>
      </c>
      <c r="K150" s="30">
        <f>บ่าย!K150+'เช้า '!K150+'เย็น '!K150</f>
        <v>0</v>
      </c>
      <c r="L150" s="36"/>
      <c r="M150" s="11"/>
      <c r="N150" s="11"/>
      <c r="O150" s="11"/>
      <c r="P150" s="11"/>
      <c r="Q150" s="44"/>
    </row>
    <row r="151" spans="2:17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>บ่าย!J151+'เช้า '!J151+'เย็น '!J151</f>
        <v>0</v>
      </c>
      <c r="K151" s="30">
        <f>บ่าย!K151+'เช้า '!K151+'เย็น '!K151</f>
        <v>0</v>
      </c>
      <c r="L151" s="36">
        <f t="shared" si="13"/>
        <v>0</v>
      </c>
      <c r="M151" s="11"/>
      <c r="N151" s="11"/>
      <c r="O151" s="11"/>
      <c r="P151" s="11"/>
      <c r="Q151" s="44">
        <f t="shared" si="14"/>
        <v>0</v>
      </c>
    </row>
    <row r="152" spans="2:17" ht="40.5" customHeight="1">
      <c r="B152" s="11"/>
      <c r="C152" s="21"/>
      <c r="D152" s="60">
        <f>SUM(D114:D151,D90:D99,D79:D87,D69:D76,D7:D66,D102:D111)</f>
        <v>91</v>
      </c>
      <c r="E152" s="60">
        <f t="shared" ref="E152:Q152" si="15">SUM(E114:E151,E90:E99,E79:E87,E69:E76,E7:E66,E102:E111)</f>
        <v>52</v>
      </c>
      <c r="F152" s="60">
        <f t="shared" si="15"/>
        <v>90</v>
      </c>
      <c r="G152" s="60">
        <f t="shared" si="15"/>
        <v>884</v>
      </c>
      <c r="H152" s="60">
        <f t="shared" si="15"/>
        <v>275</v>
      </c>
      <c r="I152" s="60">
        <f t="shared" si="15"/>
        <v>12</v>
      </c>
      <c r="J152" s="60">
        <f t="shared" si="15"/>
        <v>0</v>
      </c>
      <c r="K152" s="60">
        <f t="shared" si="15"/>
        <v>2</v>
      </c>
      <c r="L152" s="60">
        <f t="shared" si="15"/>
        <v>1406</v>
      </c>
      <c r="M152" s="60">
        <f t="shared" si="15"/>
        <v>1936</v>
      </c>
      <c r="N152" s="60">
        <f t="shared" si="15"/>
        <v>1494</v>
      </c>
      <c r="O152" s="60">
        <f t="shared" si="15"/>
        <v>0</v>
      </c>
      <c r="P152" s="60">
        <f t="shared" si="15"/>
        <v>2135</v>
      </c>
      <c r="Q152" s="60">
        <f t="shared" si="15"/>
        <v>4159</v>
      </c>
    </row>
    <row r="153" spans="2:17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9"/>
    </row>
    <row r="154" spans="2:17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9"/>
    </row>
    <row r="155" spans="2:17">
      <c r="C155" s="24"/>
      <c r="D155" s="31"/>
      <c r="E155" s="66"/>
      <c r="F155" s="66"/>
      <c r="G155" s="26"/>
      <c r="L155" s="40"/>
    </row>
    <row r="156" spans="2:17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7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7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7" ht="21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7" ht="21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21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21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21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57:C157"/>
    <mergeCell ref="I157:L157"/>
    <mergeCell ref="B101:Q101"/>
    <mergeCell ref="B113:Q113"/>
    <mergeCell ref="E155:F155"/>
    <mergeCell ref="B156:C156"/>
    <mergeCell ref="E156:F156"/>
    <mergeCell ref="I156:L156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2025-07-05T00:44:47Z</cp:lastPrinted>
  <dcterms:created xsi:type="dcterms:W3CDTF">2024-04-30T05:21:27Z</dcterms:created>
  <dcterms:modified xsi:type="dcterms:W3CDTF">2025-07-05T01:06:09Z</dcterms:modified>
</cp:coreProperties>
</file>