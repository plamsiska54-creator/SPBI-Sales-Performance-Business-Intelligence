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DC\Downloads\"/>
    </mc:Choice>
  </mc:AlternateContent>
  <xr:revisionPtr revIDLastSave="0" documentId="13_ncr:1_{DA0380A6-980A-44E1-A748-C1B145F29FA3}" xr6:coauthVersionLast="47" xr6:coauthVersionMax="47" xr10:uidLastSave="{00000000-0000-0000-0000-000000000000}"/>
  <bookViews>
    <workbookView xWindow="1620" yWindow="1530" windowWidth="23670" windowHeight="13875" activeTab="3" xr2:uid="{55C9AAA3-F459-48EC-A639-AACFFC6390F5}"/>
  </bookViews>
  <sheets>
    <sheet name="เช้า " sheetId="3" r:id="rId1"/>
    <sheet name="บ่าย" sheetId="4" state="hidden" r:id="rId2"/>
    <sheet name="เย็น " sheetId="6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6" i="5" l="1"/>
  <c r="Q147" i="5"/>
  <c r="Q148" i="5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L138" i="5" s="1"/>
  <c r="Q138" i="5" s="1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41" i="5" l="1"/>
  <c r="Q141" i="5" s="1"/>
  <c r="L140" i="5"/>
  <c r="Q140" i="5" s="1"/>
  <c r="L139" i="5"/>
  <c r="Q139" i="5" s="1"/>
  <c r="L145" i="5"/>
  <c r="Q145" i="5" s="1"/>
  <c r="L144" i="5"/>
  <c r="Q144" i="5" s="1"/>
  <c r="L142" i="5"/>
  <c r="Q142" i="5" s="1"/>
  <c r="L143" i="5"/>
  <c r="Q143" i="5" s="1"/>
  <c r="K152" i="5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<sst xmlns="http://schemas.openxmlformats.org/spreadsheetml/2006/main" count="629" uniqueCount="150">
  <si>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</si>
  <si>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</si>
  <si>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</si>
  <si>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</si>
  <si>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</si>
  <si>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</si>
  <si>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</si>
  <si>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</si>
  <si>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</si>
  <si>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</si>
  <si>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</si>
  <si>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</si>
  <si>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</si>
  <si>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</si>
  <si>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</si>
  <si>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</si>
  <si>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</si>
  <si>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</si>
  <si>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</si>
  <si>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</si>
  <si>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</si>
  <si>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</si>
  <si>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</si>
  <si>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</si>
  <si>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</si>
  <si>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</si>
  <si>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</si>
  <si>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</si>
  <si>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</si>
  <si>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</si>
  <si>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</si>
  <si>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</si>
  <si>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</si>
  <si>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</si>
  <si>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</si>
  <si>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</si>
  <si>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</si>
  <si>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</si>
  <si>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</si>
  <si>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</si>
  <si>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</si>
  <si>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</si>
  <si>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</si>
  <si>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</si>
  <si>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</si>
  <si>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</si>
  <si>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</si>
  <si>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</si>
  <si>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</si>
  <si>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</si>
  <si>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</si>
  <si>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</si>
  <si>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</si>
  <si>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</si>
  <si>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</si>
  <si>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</si>
  <si>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</si>
  <si>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</si>
  <si>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</si>
  <si>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</si>
  <si>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</si>
  <si>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</si>
  <si>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</si>
  <si>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</si>
  <si>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</si>
  <si>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</si>
  <si>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</si>
  <si>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</si>
  <si>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</si>
  <si>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</si>
  <si>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</si>
  <si>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</si>
  <si>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</si>
  <si>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</si>
  <si>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</si>
  <si>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</si>
  <si>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</si>
  <si>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</si>
  <si>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</si>
  <si>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</si>
  <si>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</si>
  <si>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</si>
  <si>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</si>
  <si>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</si>
  <si>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</si>
  <si>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</si>
  <si>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</si>
  <si>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</si>
  <si>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</si>
  <si>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</si>
  <si>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</si>
  <si>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</si>
  <si>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</si>
  <si>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</si>
  <si>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</si>
  <si>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</si>
  <si>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</si>
  <si>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</si>
  <si>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</si>
  <si>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</si>
  <si>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</si>
  <si>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</si>
  <si>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</si>
  <si>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</si>
  <si>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</si>
  <si>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</si>
  <si>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</si>
  <si>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</si>
  <si>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</si>
  <si>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</si>
  <si>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</si>
  <si>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</si>
  <si>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</si>
  <si>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</si>
  <si>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</si>
  <si>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</si>
  <si>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</si>
  <si>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</si>
  <si>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</si>
  <si>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</si>
  <si>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</si>
  <si>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</si>
  <si>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</si>
  <si>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</si>
  <si>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</si>
  <si>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</si>
  <si>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</si>
  <si>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</si>
  <si>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</si>
  <si>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</si>
  <si>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</si>
  <si>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</si>
  <si>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</si>
  <si>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</si>
  <si>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</si>
  <si>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</si>
  <si>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</si>
  <si>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</si>
  <si>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</si>
  <si>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</si>
  <si>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</si>
  <si>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</si>
  <si>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</si>
  <si>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</si>
  <si>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</si>
  <si>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</si>
  <si>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</si>
  <si>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10/7/68บ่าย</t>
  </si>
  <si>
    <t>ยอดจริง ออนไลน์ วันที่ 11/7/68  รวม</t>
  </si>
  <si>
    <t>ยอดจริง ออนไลน์ วันที่  11/7/68เช้า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</si>
</sst>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95" zoomScale="60" zoomScaleNormal="60" workbookViewId="0">
      <selection activeCell="G126" sqref="G126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5" customWidth="1"/>
  </cols>
  <sheetData>
    <row r="1" spans="2:12" x14ac:dyDescent="0.2">
      <c r="B1" s="64" t="s">
        <v>149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">
      <c r="B7" s="11">
        <v>1111002</v>
      </c>
      <c r="C7" s="15" t="s">
        <v>107</v>
      </c>
      <c r="D7" s="30">
        <v>5</v>
      </c>
      <c r="E7" s="30">
        <v>10</v>
      </c>
      <c r="F7" s="30">
        <v>11</v>
      </c>
      <c r="G7" s="30">
        <v>1</v>
      </c>
      <c r="H7" s="30"/>
      <c r="I7" s="30"/>
      <c r="J7" s="43"/>
      <c r="K7" s="43">
        <v>5</v>
      </c>
      <c r="L7" s="36">
        <f>SUM(D7:K7)</f>
        <v>32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>
        <v>3</v>
      </c>
      <c r="F25" s="30">
        <v>3</v>
      </c>
      <c r="G25" s="30">
        <v>2</v>
      </c>
      <c r="H25" s="30"/>
      <c r="I25" s="30"/>
      <c r="J25" s="43"/>
      <c r="K25" s="43"/>
      <c r="L25" s="36">
        <f t="shared" si="0"/>
        <v>8</v>
      </c>
    </row>
    <row r="26" spans="2:12" x14ac:dyDescent="0.2">
      <c r="B26" s="11">
        <v>1004055</v>
      </c>
      <c r="C26" s="15" t="s">
        <v>108</v>
      </c>
      <c r="D26" s="30"/>
      <c r="E26" s="30">
        <v>12</v>
      </c>
      <c r="F26" s="30"/>
      <c r="G26" s="30">
        <v>60</v>
      </c>
      <c r="H26" s="30"/>
      <c r="I26" s="30"/>
      <c r="J26" s="43"/>
      <c r="K26" s="43">
        <v>30</v>
      </c>
      <c r="L26" s="36">
        <f t="shared" si="0"/>
        <v>102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>
        <v>3</v>
      </c>
      <c r="F40" s="30"/>
      <c r="G40" s="30"/>
      <c r="H40" s="30"/>
      <c r="I40" s="30"/>
      <c r="J40" s="43"/>
      <c r="K40" s="43"/>
      <c r="L40" s="36">
        <f t="shared" si="0"/>
        <v>3</v>
      </c>
    </row>
    <row r="41" spans="2:12" x14ac:dyDescent="0.2">
      <c r="B41" s="11">
        <v>1111058</v>
      </c>
      <c r="C41" s="15" t="s">
        <v>31</v>
      </c>
      <c r="D41" s="30"/>
      <c r="E41" s="30">
        <v>3</v>
      </c>
      <c r="F41" s="30"/>
      <c r="G41" s="30"/>
      <c r="H41" s="30"/>
      <c r="I41" s="30"/>
      <c r="J41" s="43"/>
      <c r="K41" s="43"/>
      <c r="L41" s="36">
        <f t="shared" si="0"/>
        <v>3</v>
      </c>
    </row>
    <row r="42" spans="2:12" x14ac:dyDescent="0.2">
      <c r="B42" s="11">
        <v>1111059</v>
      </c>
      <c r="C42" s="15" t="s">
        <v>32</v>
      </c>
      <c r="D42" s="30"/>
      <c r="E42" s="30">
        <v>3</v>
      </c>
      <c r="F42" s="30"/>
      <c r="G42" s="30"/>
      <c r="H42" s="30"/>
      <c r="I42" s="30"/>
      <c r="J42" s="43"/>
      <c r="K42" s="43"/>
      <c r="L42" s="36">
        <f t="shared" si="0"/>
        <v>3</v>
      </c>
    </row>
    <row r="43" spans="2:12" x14ac:dyDescent="0.2">
      <c r="B43" s="11">
        <v>1111060</v>
      </c>
      <c r="C43" s="15" t="s">
        <v>33</v>
      </c>
      <c r="D43" s="30"/>
      <c r="E43" s="30">
        <v>3</v>
      </c>
      <c r="F43" s="30"/>
      <c r="G43" s="30"/>
      <c r="H43" s="30"/>
      <c r="I43" s="30"/>
      <c r="J43" s="43"/>
      <c r="K43" s="43"/>
      <c r="L43" s="36">
        <f t="shared" si="0"/>
        <v>3</v>
      </c>
    </row>
    <row r="44" spans="2:12" x14ac:dyDescent="0.2">
      <c r="B44" s="11">
        <v>1111061</v>
      </c>
      <c r="C44" s="15" t="s">
        <v>34</v>
      </c>
      <c r="D44" s="30"/>
      <c r="E44" s="30">
        <v>3</v>
      </c>
      <c r="F44" s="30"/>
      <c r="G44" s="30"/>
      <c r="H44" s="30"/>
      <c r="I44" s="30"/>
      <c r="J44" s="43"/>
      <c r="K44" s="43"/>
      <c r="L44" s="36">
        <f t="shared" si="0"/>
        <v>3</v>
      </c>
    </row>
    <row r="45" spans="2:12" x14ac:dyDescent="0.2">
      <c r="B45" s="11">
        <v>1111062</v>
      </c>
      <c r="C45" s="15" t="s">
        <v>35</v>
      </c>
      <c r="D45" s="30"/>
      <c r="E45" s="30">
        <v>3</v>
      </c>
      <c r="F45" s="30"/>
      <c r="G45" s="30"/>
      <c r="H45" s="30"/>
      <c r="I45" s="30"/>
      <c r="J45" s="43"/>
      <c r="K45" s="43"/>
      <c r="L45" s="36">
        <f t="shared" si="0"/>
        <v>3</v>
      </c>
    </row>
    <row r="46" spans="2:12" x14ac:dyDescent="0.2">
      <c r="B46" s="11">
        <v>1111063</v>
      </c>
      <c r="C46" s="15" t="s">
        <v>36</v>
      </c>
      <c r="D46" s="30"/>
      <c r="E46" s="30">
        <v>3</v>
      </c>
      <c r="F46" s="30"/>
      <c r="G46" s="30"/>
      <c r="H46" s="30"/>
      <c r="I46" s="30"/>
      <c r="J46" s="43"/>
      <c r="K46" s="43"/>
      <c r="L46" s="36">
        <f t="shared" si="0"/>
        <v>3</v>
      </c>
    </row>
    <row r="47" spans="2:12" x14ac:dyDescent="0.2">
      <c r="B47" s="11">
        <v>1111064</v>
      </c>
      <c r="C47" s="15" t="s">
        <v>37</v>
      </c>
      <c r="D47" s="30"/>
      <c r="E47" s="30">
        <v>3</v>
      </c>
      <c r="F47" s="30"/>
      <c r="G47" s="30"/>
      <c r="H47" s="30"/>
      <c r="I47" s="30"/>
      <c r="J47" s="43"/>
      <c r="K47" s="43"/>
      <c r="L47" s="36">
        <f t="shared" si="0"/>
        <v>3</v>
      </c>
    </row>
    <row r="48" spans="2:12" x14ac:dyDescent="0.2">
      <c r="B48" s="11">
        <v>1111065</v>
      </c>
      <c r="C48" s="15" t="s">
        <v>38</v>
      </c>
      <c r="D48" s="30"/>
      <c r="E48" s="30">
        <v>3</v>
      </c>
      <c r="F48" s="30"/>
      <c r="G48" s="30"/>
      <c r="H48" s="30"/>
      <c r="I48" s="30"/>
      <c r="J48" s="43"/>
      <c r="K48" s="43"/>
      <c r="L48" s="36">
        <f t="shared" si="0"/>
        <v>3</v>
      </c>
    </row>
    <row r="49" spans="2:12" x14ac:dyDescent="0.2">
      <c r="B49" s="11">
        <v>1111066</v>
      </c>
      <c r="C49" s="15" t="s">
        <v>39</v>
      </c>
      <c r="D49" s="30"/>
      <c r="E49" s="30">
        <v>3</v>
      </c>
      <c r="F49" s="30"/>
      <c r="G49" s="30"/>
      <c r="H49" s="30"/>
      <c r="I49" s="30"/>
      <c r="J49" s="43"/>
      <c r="K49" s="43"/>
      <c r="L49" s="36">
        <f t="shared" si="0"/>
        <v>3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172</v>
      </c>
    </row>
    <row r="68" spans="2:12" ht="19.5" x14ac:dyDescent="0.2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">
      <c r="B69" s="11">
        <v>1111009</v>
      </c>
      <c r="C69" s="19" t="s">
        <v>56</v>
      </c>
      <c r="D69" s="30"/>
      <c r="E69" s="30"/>
      <c r="F69" s="30">
        <v>5</v>
      </c>
      <c r="G69" s="30">
        <v>4</v>
      </c>
      <c r="H69" s="30"/>
      <c r="I69" s="30"/>
      <c r="J69" s="43"/>
      <c r="K69" s="43"/>
      <c r="L69" s="36">
        <f t="shared" ref="L69:L76" si="1">SUM(D69:K69)</f>
        <v>9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9</v>
      </c>
    </row>
    <row r="78" spans="2:12" ht="19.5" x14ac:dyDescent="0.2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>
        <v>6</v>
      </c>
      <c r="F87" s="30">
        <v>3</v>
      </c>
      <c r="G87" s="30">
        <v>27</v>
      </c>
      <c r="H87" s="30"/>
      <c r="I87" s="30"/>
      <c r="J87" s="43"/>
      <c r="K87" s="43"/>
      <c r="L87" s="36">
        <f t="shared" si="2"/>
        <v>36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36</v>
      </c>
    </row>
    <row r="89" spans="2:12" ht="19.5" x14ac:dyDescent="0.2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">
      <c r="B90" s="11">
        <v>1112009</v>
      </c>
      <c r="C90" s="19" t="s">
        <v>75</v>
      </c>
      <c r="D90" s="30">
        <v>3</v>
      </c>
      <c r="E90" s="30">
        <v>1</v>
      </c>
      <c r="F90" s="30"/>
      <c r="G90" s="30">
        <v>14</v>
      </c>
      <c r="H90" s="30"/>
      <c r="I90" s="30"/>
      <c r="J90" s="43"/>
      <c r="K90" s="43"/>
      <c r="L90" s="36">
        <f t="shared" ref="L90:L99" si="3">SUM(D90:K90)</f>
        <v>18</v>
      </c>
    </row>
    <row r="91" spans="2:12" x14ac:dyDescent="0.2">
      <c r="B91" s="11">
        <v>1112011</v>
      </c>
      <c r="C91" s="19" t="s">
        <v>76</v>
      </c>
      <c r="D91" s="30">
        <v>3</v>
      </c>
      <c r="E91" s="30">
        <v>1</v>
      </c>
      <c r="F91" s="30">
        <v>16</v>
      </c>
      <c r="G91" s="30">
        <v>14</v>
      </c>
      <c r="H91" s="30"/>
      <c r="I91" s="30"/>
      <c r="J91" s="43"/>
      <c r="K91" s="43"/>
      <c r="L91" s="36">
        <f t="shared" si="3"/>
        <v>34</v>
      </c>
    </row>
    <row r="92" spans="2:12" x14ac:dyDescent="0.2">
      <c r="B92" s="11">
        <v>1112003</v>
      </c>
      <c r="C92" s="19" t="s">
        <v>77</v>
      </c>
      <c r="D92" s="30">
        <v>3</v>
      </c>
      <c r="E92" s="30">
        <v>1</v>
      </c>
      <c r="F92" s="30"/>
      <c r="G92" s="30">
        <v>15</v>
      </c>
      <c r="H92" s="30"/>
      <c r="I92" s="30"/>
      <c r="J92" s="43"/>
      <c r="K92" s="43"/>
      <c r="L92" s="36">
        <f t="shared" si="3"/>
        <v>19</v>
      </c>
    </row>
    <row r="93" spans="2:12" x14ac:dyDescent="0.2">
      <c r="B93" s="11">
        <v>1112005</v>
      </c>
      <c r="C93" s="19" t="s">
        <v>78</v>
      </c>
      <c r="D93" s="30">
        <v>4</v>
      </c>
      <c r="E93" s="30">
        <v>1</v>
      </c>
      <c r="F93" s="30"/>
      <c r="G93" s="30">
        <v>15</v>
      </c>
      <c r="H93" s="30"/>
      <c r="I93" s="30"/>
      <c r="J93" s="43"/>
      <c r="K93" s="43"/>
      <c r="L93" s="36">
        <f t="shared" si="3"/>
        <v>20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>
        <v>3</v>
      </c>
      <c r="E97" s="30">
        <v>1</v>
      </c>
      <c r="F97" s="30"/>
      <c r="G97" s="30">
        <v>15</v>
      </c>
      <c r="H97" s="30"/>
      <c r="I97" s="30"/>
      <c r="J97" s="43"/>
      <c r="K97" s="43"/>
      <c r="L97" s="36">
        <f t="shared" si="3"/>
        <v>19</v>
      </c>
    </row>
    <row r="98" spans="2:12" x14ac:dyDescent="0.2">
      <c r="B98" s="11">
        <v>1112013</v>
      </c>
      <c r="C98" s="19" t="s">
        <v>83</v>
      </c>
      <c r="D98" s="30">
        <v>3</v>
      </c>
      <c r="E98" s="30"/>
      <c r="F98" s="30"/>
      <c r="G98" s="30">
        <v>14</v>
      </c>
      <c r="H98" s="30"/>
      <c r="I98" s="30"/>
      <c r="J98" s="43"/>
      <c r="K98" s="43"/>
      <c r="L98" s="36">
        <f t="shared" si="3"/>
        <v>17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127</v>
      </c>
    </row>
    <row r="101" spans="2:12" ht="19.5" x14ac:dyDescent="0.2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">
      <c r="B114" s="11">
        <v>1113170</v>
      </c>
      <c r="C114" s="21" t="s">
        <v>87</v>
      </c>
      <c r="D114" s="30">
        <v>9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9</v>
      </c>
    </row>
    <row r="115" spans="2:12" x14ac:dyDescent="0.2">
      <c r="B115" s="11">
        <v>1113171</v>
      </c>
      <c r="C115" s="21" t="s">
        <v>88</v>
      </c>
      <c r="D115" s="30">
        <v>9</v>
      </c>
      <c r="E115" s="30"/>
      <c r="F115" s="30"/>
      <c r="G115" s="30"/>
      <c r="H115" s="30"/>
      <c r="I115" s="30"/>
      <c r="J115" s="43"/>
      <c r="K115" s="43"/>
      <c r="L115" s="36">
        <f t="shared" si="5"/>
        <v>9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>
        <v>2</v>
      </c>
      <c r="H120" s="30"/>
      <c r="I120" s="30"/>
      <c r="J120" s="43"/>
      <c r="K120" s="43"/>
      <c r="L120" s="36">
        <f t="shared" si="5"/>
        <v>2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2</v>
      </c>
      <c r="E123" s="30">
        <v>12</v>
      </c>
      <c r="F123" s="30">
        <v>15</v>
      </c>
      <c r="G123" s="30">
        <v>165</v>
      </c>
      <c r="H123" s="30"/>
      <c r="I123" s="30"/>
      <c r="J123" s="43"/>
      <c r="K123" s="43"/>
      <c r="L123" s="36">
        <f t="shared" si="5"/>
        <v>194</v>
      </c>
    </row>
    <row r="124" spans="2:12" x14ac:dyDescent="0.2">
      <c r="B124" s="11">
        <v>1114502</v>
      </c>
      <c r="C124" s="21" t="s">
        <v>96</v>
      </c>
      <c r="D124" s="30">
        <v>1</v>
      </c>
      <c r="E124" s="30">
        <v>1</v>
      </c>
      <c r="F124" s="30"/>
      <c r="G124" s="30">
        <v>122</v>
      </c>
      <c r="H124" s="30"/>
      <c r="I124" s="30"/>
      <c r="J124" s="43"/>
      <c r="K124" s="43"/>
      <c r="L124" s="36">
        <f t="shared" si="5"/>
        <v>124</v>
      </c>
    </row>
    <row r="125" spans="2:12" x14ac:dyDescent="0.2">
      <c r="B125" s="11">
        <v>1114503</v>
      </c>
      <c r="C125" s="21" t="s">
        <v>97</v>
      </c>
      <c r="D125" s="30">
        <v>1</v>
      </c>
      <c r="E125" s="30"/>
      <c r="F125" s="30"/>
      <c r="G125" s="30">
        <v>119</v>
      </c>
      <c r="H125" s="30"/>
      <c r="I125" s="30"/>
      <c r="J125" s="43"/>
      <c r="K125" s="43"/>
      <c r="L125" s="36">
        <f t="shared" si="5"/>
        <v>120</v>
      </c>
    </row>
    <row r="126" spans="2:12" x14ac:dyDescent="0.2">
      <c r="B126" s="11">
        <v>1124021</v>
      </c>
      <c r="C126" s="21" t="s">
        <v>98</v>
      </c>
      <c r="D126" s="30"/>
      <c r="E126" s="30">
        <v>26</v>
      </c>
      <c r="F126" s="30">
        <v>27</v>
      </c>
      <c r="G126" s="30"/>
      <c r="H126" s="30"/>
      <c r="I126" s="30"/>
      <c r="J126" s="43"/>
      <c r="K126" s="43"/>
      <c r="L126" s="36">
        <f t="shared" si="5"/>
        <v>53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>
        <v>1</v>
      </c>
      <c r="F135" s="30"/>
      <c r="G135" s="30"/>
      <c r="H135" s="30"/>
      <c r="I135" s="30"/>
      <c r="J135" s="43"/>
      <c r="K135" s="43"/>
      <c r="L135" s="36">
        <f t="shared" si="5"/>
        <v>1</v>
      </c>
    </row>
    <row r="136" spans="2:12" x14ac:dyDescent="0.2">
      <c r="B136" s="22"/>
      <c r="C136" s="21" t="s">
        <v>125</v>
      </c>
      <c r="D136" s="30"/>
      <c r="E136" s="30">
        <v>8</v>
      </c>
      <c r="F136" s="30"/>
      <c r="G136" s="30"/>
      <c r="H136" s="30"/>
      <c r="I136" s="30"/>
      <c r="J136" s="43"/>
      <c r="K136" s="43"/>
      <c r="L136" s="36">
        <f t="shared" si="5"/>
        <v>8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8"/>
      <c r="C140" s="59" t="s">
        <v>138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0">
        <v>20059548</v>
      </c>
      <c r="C141" s="49" t="s">
        <v>143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">
      <c r="B142" s="50">
        <v>20054646</v>
      </c>
      <c r="C142" s="49" t="s">
        <v>144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">
      <c r="B143" s="50">
        <v>1100044</v>
      </c>
      <c r="C143" s="49" t="s">
        <v>145</v>
      </c>
      <c r="D143" s="51"/>
      <c r="E143" s="51"/>
      <c r="F143" s="51"/>
      <c r="G143" s="52"/>
      <c r="H143" s="9"/>
      <c r="I143" s="9"/>
      <c r="J143" s="9"/>
      <c r="K143" s="9">
        <v>10</v>
      </c>
      <c r="L143" s="36">
        <f t="shared" si="6"/>
        <v>10</v>
      </c>
    </row>
    <row r="144" spans="2:12" x14ac:dyDescent="0.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">
      <c r="B152" s="53"/>
      <c r="C152" s="54"/>
      <c r="D152" s="31"/>
      <c r="E152" s="31"/>
      <c r="F152" s="31"/>
      <c r="G152" s="26"/>
      <c r="L152" s="39"/>
    </row>
    <row r="153" spans="2:12" x14ac:dyDescent="0.2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4.25" x14ac:dyDescent="0.2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4.25" x14ac:dyDescent="0.2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4.25" x14ac:dyDescent="0.2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4.25" x14ac:dyDescent="0.2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4.25" x14ac:dyDescent="0.2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  <row r="164" spans="4:8" x14ac:dyDescent="0.2">
      <c r="D164" s="31"/>
      <c r="E164" s="31"/>
      <c r="F164" s="31"/>
      <c r="G164" s="31"/>
      <c r="H164" s="31"/>
    </row>
    <row r="165" spans="4:8" x14ac:dyDescent="0.2">
      <c r="D165" s="31"/>
      <c r="E165" s="31"/>
      <c r="F165" s="31"/>
      <c r="G165" s="31"/>
      <c r="H165" s="31"/>
    </row>
    <row r="166" spans="4:8" x14ac:dyDescent="0.2">
      <c r="D166" s="31"/>
      <c r="E166" s="31"/>
      <c r="F166" s="31"/>
      <c r="G166" s="31"/>
      <c r="H166" s="31"/>
    </row>
    <row r="167" spans="4:8" x14ac:dyDescent="0.2">
      <c r="D167" s="31"/>
      <c r="E167" s="31"/>
      <c r="F167" s="31"/>
      <c r="G167" s="31"/>
      <c r="H167" s="31"/>
    </row>
    <row r="168" spans="4:8" x14ac:dyDescent="0.2">
      <c r="D168" s="31"/>
      <c r="E168" s="31"/>
      <c r="F168" s="31"/>
      <c r="G168" s="31"/>
      <c r="H168" s="31"/>
    </row>
    <row r="169" spans="4:8" x14ac:dyDescent="0.2">
      <c r="D169" s="31"/>
      <c r="E169" s="31"/>
      <c r="F169" s="31"/>
      <c r="G169" s="31"/>
      <c r="H169" s="31"/>
    </row>
    <row r="170" spans="4:8" x14ac:dyDescent="0.2">
      <c r="D170" s="31"/>
      <c r="E170" s="31"/>
      <c r="F170" s="31"/>
      <c r="G170" s="31"/>
      <c r="H170" s="31"/>
    </row>
    <row r="171" spans="4:8" x14ac:dyDescent="0.2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zoomScale="60" zoomScaleNormal="60" workbookViewId="0">
      <selection activeCell="F25" sqref="F25:H43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64" t="s">
        <v>147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8"/>
      <c r="C140" s="59" t="s">
        <v>138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0">
        <v>20059548</v>
      </c>
      <c r="C141" s="49" t="s">
        <v>143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">
      <c r="B142" s="50">
        <v>20054646</v>
      </c>
      <c r="C142" s="49" t="s">
        <v>144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">
      <c r="B143" s="50">
        <v>1100044</v>
      </c>
      <c r="C143" s="49" t="s">
        <v>146</v>
      </c>
      <c r="D143" s="48"/>
      <c r="E143" s="51"/>
      <c r="F143" s="51"/>
      <c r="G143" s="62"/>
      <c r="H143" s="9"/>
      <c r="I143" s="9"/>
      <c r="J143" s="9"/>
      <c r="K143" s="9"/>
      <c r="L143" s="36">
        <f t="shared" si="7"/>
        <v>0</v>
      </c>
    </row>
    <row r="144" spans="2:12" x14ac:dyDescent="0.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">
      <c r="B152" s="53"/>
      <c r="C152" s="54"/>
      <c r="D152" s="31"/>
      <c r="E152" s="31"/>
      <c r="F152" s="31"/>
      <c r="G152" s="26"/>
      <c r="L152" s="55"/>
    </row>
    <row r="153" spans="2:12" x14ac:dyDescent="0.2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4.25" x14ac:dyDescent="0.2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4.25" x14ac:dyDescent="0.2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4.25" x14ac:dyDescent="0.2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4.25" x14ac:dyDescent="0.2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4.25" x14ac:dyDescent="0.2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  <row r="164" spans="4:8" x14ac:dyDescent="0.2">
      <c r="D164" s="31"/>
      <c r="E164" s="31"/>
      <c r="F164" s="31"/>
      <c r="G164" s="31"/>
      <c r="H164" s="31"/>
    </row>
    <row r="165" spans="4:8" x14ac:dyDescent="0.2">
      <c r="D165" s="31"/>
      <c r="E165" s="31"/>
      <c r="F165" s="31"/>
      <c r="G165" s="31"/>
      <c r="H165" s="31"/>
    </row>
    <row r="166" spans="4:8" x14ac:dyDescent="0.2">
      <c r="D166" s="31"/>
      <c r="E166" s="31"/>
      <c r="F166" s="31"/>
      <c r="G166" s="31"/>
      <c r="H166" s="31"/>
    </row>
    <row r="167" spans="4:8" x14ac:dyDescent="0.2">
      <c r="D167" s="31"/>
      <c r="E167" s="31"/>
      <c r="F167" s="31"/>
      <c r="G167" s="31"/>
      <c r="H167" s="31"/>
    </row>
    <row r="168" spans="4:8" x14ac:dyDescent="0.2">
      <c r="D168" s="31"/>
      <c r="E168" s="31"/>
      <c r="F168" s="31"/>
      <c r="G168" s="31"/>
      <c r="H168" s="31"/>
    </row>
    <row r="169" spans="4:8" x14ac:dyDescent="0.2">
      <c r="D169" s="31"/>
      <c r="E169" s="31"/>
      <c r="F169" s="31"/>
      <c r="G169" s="31"/>
      <c r="H169" s="31"/>
    </row>
    <row r="170" spans="4:8" x14ac:dyDescent="0.2">
      <c r="D170" s="31"/>
      <c r="E170" s="31"/>
      <c r="F170" s="31"/>
      <c r="G170" s="31"/>
      <c r="H170" s="31"/>
    </row>
    <row r="171" spans="4:8" x14ac:dyDescent="0.2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C143" sqref="C143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64" t="s">
        <v>136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8"/>
      <c r="C140" s="59" t="s">
        <v>138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0">
        <v>20059548</v>
      </c>
      <c r="C141" s="49" t="s">
        <v>143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">
      <c r="B142" s="50">
        <v>20054646</v>
      </c>
      <c r="C142" s="49" t="s">
        <v>144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">
      <c r="B143" s="50">
        <v>1100044</v>
      </c>
      <c r="C143" s="49" t="s">
        <v>146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">
      <c r="B152" s="53"/>
      <c r="C152" s="54"/>
      <c r="D152" s="31"/>
      <c r="E152" s="31"/>
      <c r="F152" s="31"/>
      <c r="G152" s="26"/>
      <c r="L152" s="39"/>
    </row>
    <row r="153" spans="2:12" x14ac:dyDescent="0.2">
      <c r="B153" s="53"/>
      <c r="C153" s="54"/>
      <c r="D153" s="31"/>
      <c r="E153" s="31"/>
      <c r="F153" s="31"/>
      <c r="G153" s="26"/>
      <c r="L153" s="39"/>
    </row>
    <row r="154" spans="2:12" x14ac:dyDescent="0.2">
      <c r="B154" s="53"/>
      <c r="C154" s="54"/>
      <c r="D154" s="31"/>
      <c r="E154" s="31"/>
      <c r="F154" s="31"/>
      <c r="G154" s="26"/>
      <c r="L154" s="39"/>
    </row>
    <row r="155" spans="2:12" x14ac:dyDescent="0.2">
      <c r="B155" s="53"/>
      <c r="C155" s="54"/>
      <c r="D155" s="31"/>
      <c r="E155" s="31"/>
      <c r="F155" s="31"/>
      <c r="G155" s="26"/>
      <c r="L155" s="55"/>
    </row>
    <row r="156" spans="2:12" x14ac:dyDescent="0.2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2" x14ac:dyDescent="0.2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2" x14ac:dyDescent="0.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4.25" x14ac:dyDescent="0.2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4.25" x14ac:dyDescent="0.2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4.25" x14ac:dyDescent="0.2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4.25" x14ac:dyDescent="0.2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4.25" x14ac:dyDescent="0.2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">
      <c r="D164" s="31"/>
      <c r="E164" s="31"/>
      <c r="F164" s="31"/>
      <c r="G164" s="31"/>
      <c r="H164" s="31"/>
    </row>
    <row r="165" spans="2:12" x14ac:dyDescent="0.2">
      <c r="D165" s="31"/>
      <c r="E165" s="31"/>
      <c r="F165" s="31"/>
      <c r="G165" s="31"/>
      <c r="H165" s="31"/>
    </row>
    <row r="166" spans="2:12" x14ac:dyDescent="0.2">
      <c r="D166" s="31"/>
      <c r="E166" s="31"/>
      <c r="F166" s="31"/>
      <c r="G166" s="31"/>
      <c r="H166" s="31"/>
    </row>
    <row r="167" spans="2:12" x14ac:dyDescent="0.2">
      <c r="D167" s="31"/>
      <c r="E167" s="31"/>
      <c r="F167" s="31"/>
      <c r="G167" s="31"/>
      <c r="H167" s="31"/>
    </row>
    <row r="168" spans="2:12" x14ac:dyDescent="0.2">
      <c r="D168" s="31"/>
      <c r="E168" s="31"/>
      <c r="F168" s="31"/>
      <c r="G168" s="31"/>
      <c r="H168" s="31"/>
    </row>
    <row r="169" spans="2:12" x14ac:dyDescent="0.2">
      <c r="D169" s="31"/>
      <c r="E169" s="31"/>
      <c r="F169" s="31"/>
      <c r="G169" s="31"/>
      <c r="H169" s="31"/>
    </row>
    <row r="170" spans="2:12" x14ac:dyDescent="0.2">
      <c r="D170" s="31"/>
      <c r="E170" s="31"/>
      <c r="F170" s="31"/>
      <c r="G170" s="31"/>
      <c r="H170" s="31"/>
    </row>
    <row r="171" spans="2:12" x14ac:dyDescent="0.2">
      <c r="D171" s="31"/>
      <c r="E171" s="31"/>
      <c r="F171" s="31"/>
      <c r="G171" s="31"/>
      <c r="H171" s="31"/>
    </row>
    <row r="172" spans="2:12" x14ac:dyDescent="0.2">
      <c r="D172" s="31"/>
      <c r="E172" s="31"/>
      <c r="F172" s="31"/>
      <c r="G172" s="31"/>
      <c r="H172" s="31"/>
    </row>
    <row r="173" spans="2:12" x14ac:dyDescent="0.2">
      <c r="D173" s="31"/>
      <c r="E173" s="31"/>
      <c r="F173" s="31"/>
      <c r="G173" s="31"/>
      <c r="H173" s="31"/>
    </row>
    <row r="174" spans="2:12" x14ac:dyDescent="0.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A120" zoomScale="50" zoomScaleNormal="50" workbookViewId="0">
      <selection activeCell="B1" sqref="B1:Q152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5" customWidth="1"/>
    <col min="13" max="13" width="16.125" style="23" hidden="1" customWidth="1"/>
    <col min="14" max="15" width="15.375" style="23" hidden="1" customWidth="1"/>
    <col min="16" max="16" width="25.375" style="23" hidden="1" customWidth="1"/>
    <col min="17" max="17" width="14.375" style="28" hidden="1" customWidth="1"/>
    <col min="18" max="18" width="9.125" hidden="1" customWidth="1"/>
    <col min="19" max="19" width="7.375" customWidth="1"/>
    <col min="20" max="20" width="22.75" customWidth="1"/>
  </cols>
  <sheetData>
    <row r="1" spans="2:17" x14ac:dyDescent="0.2">
      <c r="B1" s="64" t="s">
        <v>148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7" x14ac:dyDescent="0.2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  <c r="M2" s="73" t="s">
        <v>127</v>
      </c>
      <c r="N2" s="73" t="s">
        <v>130</v>
      </c>
      <c r="O2" s="73" t="s">
        <v>139</v>
      </c>
      <c r="P2" s="73" t="s">
        <v>140</v>
      </c>
      <c r="Q2" s="76" t="s">
        <v>1</v>
      </c>
    </row>
    <row r="3" spans="2:17" x14ac:dyDescent="0.2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  <c r="M3" s="74"/>
      <c r="N3" s="74"/>
      <c r="O3" s="74"/>
      <c r="P3" s="74"/>
      <c r="Q3" s="77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135</v>
      </c>
      <c r="L4" s="10" t="s">
        <v>10</v>
      </c>
      <c r="M4" s="75"/>
      <c r="N4" s="75"/>
      <c r="O4" s="75"/>
      <c r="P4" s="75"/>
      <c r="Q4" s="78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72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5</v>
      </c>
      <c r="E7" s="30">
        <f>'เย็น '!E7+'เช้า '!E7+บ่าย!E7</f>
        <v>10</v>
      </c>
      <c r="F7" s="30">
        <f>'เย็น '!F7+'เช้า '!F7+บ่าย!F7</f>
        <v>11</v>
      </c>
      <c r="G7" s="30">
        <f>'เย็น '!G7+'เช้า '!G7+บ่าย!G7</f>
        <v>1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5</v>
      </c>
      <c r="L7" s="36">
        <f>SUM(D7:K7)</f>
        <v>32</v>
      </c>
      <c r="M7" s="11"/>
      <c r="N7" s="11"/>
      <c r="O7" s="11"/>
      <c r="P7" s="11"/>
      <c r="Q7" s="44">
        <f>(M7+N7+O7+P7)-L7</f>
        <v>-32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3</v>
      </c>
      <c r="F25" s="30">
        <f>'เย็น '!F25+'เช้า '!F25+บ่าย!F25</f>
        <v>3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8</v>
      </c>
      <c r="M25" s="11"/>
      <c r="N25" s="11"/>
      <c r="O25" s="11"/>
      <c r="P25" s="11"/>
      <c r="Q25" s="44">
        <f t="shared" si="1"/>
        <v>-8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12</v>
      </c>
      <c r="F26" s="30">
        <f>'เย็น '!F26+'เช้า '!F26+บ่าย!F26</f>
        <v>0</v>
      </c>
      <c r="G26" s="30">
        <f>'เย็น '!G26+'เช้า '!G26+บ่าย!G26</f>
        <v>60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30</v>
      </c>
      <c r="L26" s="36">
        <f t="shared" si="0"/>
        <v>102</v>
      </c>
      <c r="M26" s="11"/>
      <c r="N26" s="11"/>
      <c r="O26" s="11"/>
      <c r="P26" s="11"/>
      <c r="Q26" s="44">
        <f t="shared" si="1"/>
        <v>-102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3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3</v>
      </c>
      <c r="M40" s="11"/>
      <c r="N40" s="11"/>
      <c r="O40" s="11"/>
      <c r="P40" s="11"/>
      <c r="Q40" s="44">
        <f t="shared" si="1"/>
        <v>-3</v>
      </c>
    </row>
    <row r="41" spans="2:17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3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3</v>
      </c>
      <c r="M41" s="11"/>
      <c r="N41" s="11"/>
      <c r="O41" s="11"/>
      <c r="P41" s="11"/>
      <c r="Q41" s="44">
        <f t="shared" si="1"/>
        <v>-3</v>
      </c>
    </row>
    <row r="42" spans="2:17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3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3</v>
      </c>
      <c r="M42" s="11"/>
      <c r="N42" s="11"/>
      <c r="O42" s="11"/>
      <c r="P42" s="11"/>
      <c r="Q42" s="44">
        <f t="shared" si="1"/>
        <v>-3</v>
      </c>
    </row>
    <row r="43" spans="2:17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3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3</v>
      </c>
      <c r="M43" s="11"/>
      <c r="N43" s="11"/>
      <c r="O43" s="11"/>
      <c r="P43" s="11"/>
      <c r="Q43" s="44">
        <f t="shared" si="1"/>
        <v>-3</v>
      </c>
    </row>
    <row r="44" spans="2:17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3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3</v>
      </c>
      <c r="M44" s="11"/>
      <c r="N44" s="11"/>
      <c r="O44" s="11"/>
      <c r="P44" s="11"/>
      <c r="Q44" s="44">
        <f t="shared" si="1"/>
        <v>-3</v>
      </c>
    </row>
    <row r="45" spans="2:17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3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3</v>
      </c>
      <c r="M45" s="11"/>
      <c r="N45" s="11"/>
      <c r="O45" s="11"/>
      <c r="P45" s="11"/>
      <c r="Q45" s="44">
        <f t="shared" si="1"/>
        <v>-3</v>
      </c>
    </row>
    <row r="46" spans="2:17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3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3</v>
      </c>
      <c r="M46" s="11"/>
      <c r="N46" s="11"/>
      <c r="O46" s="11"/>
      <c r="P46" s="11"/>
      <c r="Q46" s="44">
        <f t="shared" si="1"/>
        <v>-3</v>
      </c>
    </row>
    <row r="47" spans="2:17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3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3</v>
      </c>
      <c r="M47" s="11"/>
      <c r="N47" s="11"/>
      <c r="O47" s="11"/>
      <c r="P47" s="11"/>
      <c r="Q47" s="44">
        <f t="shared" si="1"/>
        <v>-3</v>
      </c>
    </row>
    <row r="48" spans="2:17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3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3</v>
      </c>
      <c r="M48" s="11"/>
      <c r="N48" s="11"/>
      <c r="O48" s="11"/>
      <c r="P48" s="11"/>
      <c r="Q48" s="44">
        <f t="shared" si="1"/>
        <v>-3</v>
      </c>
    </row>
    <row r="49" spans="2:20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3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3</v>
      </c>
      <c r="M49" s="11"/>
      <c r="N49" s="11"/>
      <c r="O49" s="11"/>
      <c r="P49" s="11"/>
      <c r="Q49" s="44">
        <f t="shared" si="1"/>
        <v>-3</v>
      </c>
    </row>
    <row r="50" spans="2:20" hidden="1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hidden="1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hidden="1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hidden="1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hidden="1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hidden="1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hidden="1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hidden="1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hidden="1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hidden="1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hidden="1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72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0</v>
      </c>
      <c r="F69" s="30">
        <f>'เย็น '!F69+'เช้า '!F69+บ่าย!F69</f>
        <v>5</v>
      </c>
      <c r="G69" s="30">
        <f>'เย็น '!G69+'เช้า '!G69+บ่าย!G69</f>
        <v>4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9</v>
      </c>
      <c r="M69" s="11"/>
      <c r="N69" s="11"/>
      <c r="O69" s="11"/>
      <c r="P69" s="11"/>
      <c r="Q69" s="44">
        <f t="shared" ref="Q69:Q76" si="5">(M69+N69+O69+P69)-L69</f>
        <v>-9</v>
      </c>
    </row>
    <row r="70" spans="2:20" hidden="1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hidden="1" x14ac:dyDescent="0.2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 hidden="1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hidden="1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hidden="1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hidden="1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hidden="1" x14ac:dyDescent="0.2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72"/>
    </row>
    <row r="79" spans="2:20" hidden="1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hidden="1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hidden="1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hidden="1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hidden="1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hidden="1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hidden="1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hidden="1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6</v>
      </c>
      <c r="F87" s="30">
        <f>'เย็น '!F87+'เช้า '!F87+บ่าย!F87</f>
        <v>3</v>
      </c>
      <c r="G87" s="30">
        <f>'เย็น '!G87+'เช้า '!G87+บ่าย!G87</f>
        <v>27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36</v>
      </c>
      <c r="M87" s="11"/>
      <c r="N87" s="11"/>
      <c r="O87" s="11"/>
      <c r="P87" s="11"/>
      <c r="Q87" s="44">
        <f t="shared" si="8"/>
        <v>-36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72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3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14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18</v>
      </c>
      <c r="M90" s="11"/>
      <c r="N90" s="11"/>
      <c r="O90" s="11"/>
      <c r="P90" s="11"/>
      <c r="Q90" s="44">
        <f t="shared" ref="Q90:Q100" si="10">(M90+N90+O90+P90)-L90</f>
        <v>-18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3</v>
      </c>
      <c r="E91" s="30">
        <f>'เย็น '!E91+'เช้า '!E91+บ่าย!E91</f>
        <v>1</v>
      </c>
      <c r="F91" s="30">
        <f>'เย็น '!F91+'เช้า '!F91+บ่าย!F91</f>
        <v>16</v>
      </c>
      <c r="G91" s="30">
        <f>'เย็น '!G91+'เช้า '!G91+บ่าย!G91</f>
        <v>14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34</v>
      </c>
      <c r="M91" s="11"/>
      <c r="N91" s="11"/>
      <c r="O91" s="11"/>
      <c r="P91" s="11"/>
      <c r="Q91" s="44">
        <f t="shared" si="10"/>
        <v>-34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3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15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19</v>
      </c>
      <c r="M92" s="11"/>
      <c r="N92" s="11"/>
      <c r="O92" s="11"/>
      <c r="P92" s="11"/>
      <c r="Q92" s="44">
        <f t="shared" si="10"/>
        <v>-19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4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15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20</v>
      </c>
      <c r="M93" s="11"/>
      <c r="N93" s="11"/>
      <c r="O93" s="11"/>
      <c r="P93" s="11"/>
      <c r="Q93" s="44">
        <f t="shared" si="10"/>
        <v>-20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15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19</v>
      </c>
      <c r="M97" s="11"/>
      <c r="N97" s="11"/>
      <c r="O97" s="11"/>
      <c r="P97" s="11"/>
      <c r="Q97" s="44">
        <f t="shared" si="10"/>
        <v>-19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14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17</v>
      </c>
      <c r="M98" s="11"/>
      <c r="N98" s="11"/>
      <c r="O98" s="11"/>
      <c r="P98" s="11"/>
      <c r="Q98" s="44">
        <f t="shared" si="10"/>
        <v>-17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127</v>
      </c>
      <c r="M100" s="11"/>
      <c r="N100" s="11"/>
      <c r="O100" s="11"/>
      <c r="P100" s="11"/>
      <c r="Q100" s="44">
        <f t="shared" si="10"/>
        <v>-127</v>
      </c>
    </row>
    <row r="101" spans="2:17" ht="19.5" hidden="1" x14ac:dyDescent="0.2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72"/>
    </row>
    <row r="102" spans="2:17" hidden="1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hidden="1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hidden="1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hidden="1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hidden="1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hidden="1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hidden="1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hidden="1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hidden="1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hidden="1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19.5" x14ac:dyDescent="0.2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72"/>
    </row>
    <row r="114" spans="2:17" x14ac:dyDescent="0.2">
      <c r="B114" s="11">
        <v>1113170</v>
      </c>
      <c r="C114" s="21" t="s">
        <v>87</v>
      </c>
      <c r="D114" s="30">
        <f>บ่าย!D114+'เช้า '!D114+'เย็น '!D114</f>
        <v>9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9</v>
      </c>
      <c r="M114" s="11"/>
      <c r="N114" s="11"/>
      <c r="O114" s="11"/>
      <c r="P114" s="11"/>
      <c r="Q114" s="44">
        <f t="shared" ref="Q114:Q151" si="14">(M114+N114+O114+P114)-L114</f>
        <v>-9</v>
      </c>
    </row>
    <row r="115" spans="2:17" x14ac:dyDescent="0.2">
      <c r="B115" s="11">
        <v>1113171</v>
      </c>
      <c r="C115" s="21" t="s">
        <v>88</v>
      </c>
      <c r="D115" s="30">
        <f>บ่าย!D115+'เช้า '!D115+'เย็น '!D115</f>
        <v>9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9</v>
      </c>
      <c r="M115" s="11"/>
      <c r="N115" s="11"/>
      <c r="O115" s="11"/>
      <c r="P115" s="11"/>
      <c r="Q115" s="44">
        <f t="shared" si="14"/>
        <v>-9</v>
      </c>
    </row>
    <row r="116" spans="2:17" x14ac:dyDescent="0.2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2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2</v>
      </c>
      <c r="M120" s="11"/>
      <c r="N120" s="11"/>
      <c r="O120" s="11"/>
      <c r="P120" s="11"/>
      <c r="Q120" s="44">
        <f t="shared" si="14"/>
        <v>-2</v>
      </c>
    </row>
    <row r="121" spans="2:17" x14ac:dyDescent="0.2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 x14ac:dyDescent="0.2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บ่าย!D123+'เช้า '!D123+'เย็น '!D123</f>
        <v>2</v>
      </c>
      <c r="E123" s="30">
        <f>บ่าย!E123+'เช้า '!E123+'เย็น '!E123</f>
        <v>12</v>
      </c>
      <c r="F123" s="30">
        <f>บ่าย!F123+'เช้า '!F123+'เย็น '!F123</f>
        <v>15</v>
      </c>
      <c r="G123" s="30">
        <f>บ่าย!G123+'เช้า '!G123+'เย็น '!G123</f>
        <v>165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194</v>
      </c>
      <c r="M123" s="11"/>
      <c r="N123" s="11"/>
      <c r="O123" s="11"/>
      <c r="P123" s="11"/>
      <c r="Q123" s="44">
        <f t="shared" si="14"/>
        <v>-194</v>
      </c>
    </row>
    <row r="124" spans="2:17" x14ac:dyDescent="0.2">
      <c r="B124" s="11">
        <v>1114502</v>
      </c>
      <c r="C124" s="21" t="s">
        <v>96</v>
      </c>
      <c r="D124" s="30">
        <f>บ่าย!D124+'เช้า '!D124+'เย็น '!D124</f>
        <v>1</v>
      </c>
      <c r="E124" s="30">
        <f>บ่าย!E124+'เช้า '!E124+'เย็น '!E124</f>
        <v>1</v>
      </c>
      <c r="F124" s="30">
        <f>บ่าย!F124+'เช้า '!F124+'เย็น '!F124</f>
        <v>0</v>
      </c>
      <c r="G124" s="30">
        <f>บ่าย!G124+'เช้า '!G124+'เย็น '!G124</f>
        <v>122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124</v>
      </c>
      <c r="M124" s="11"/>
      <c r="N124" s="11"/>
      <c r="O124" s="11"/>
      <c r="P124" s="11"/>
      <c r="Q124" s="44">
        <f t="shared" si="14"/>
        <v>-124</v>
      </c>
    </row>
    <row r="125" spans="2:17" x14ac:dyDescent="0.2">
      <c r="B125" s="11">
        <v>1114503</v>
      </c>
      <c r="C125" s="21" t="s">
        <v>97</v>
      </c>
      <c r="D125" s="30">
        <f>บ่าย!D125+'เช้า '!D125+'เย็น '!D125</f>
        <v>1</v>
      </c>
      <c r="E125" s="30">
        <f>บ่าย!E125+'เช้า '!E125+'เย็น '!E125</f>
        <v>0</v>
      </c>
      <c r="F125" s="30">
        <f>บ่าย!F125+'เช้า '!F125+'เย็น '!F125</f>
        <v>0</v>
      </c>
      <c r="G125" s="30">
        <f>บ่าย!G125+'เช้า '!G125+'เย็น '!G125</f>
        <v>119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120</v>
      </c>
      <c r="M125" s="11"/>
      <c r="N125" s="11"/>
      <c r="O125" s="11"/>
      <c r="P125" s="11"/>
      <c r="Q125" s="44">
        <f t="shared" si="14"/>
        <v>-120</v>
      </c>
    </row>
    <row r="126" spans="2:17" x14ac:dyDescent="0.2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26</v>
      </c>
      <c r="F126" s="30">
        <f>บ่าย!F126+'เช้า '!F126+'เย็น '!F126</f>
        <v>27</v>
      </c>
      <c r="G126" s="30">
        <f>บ่าย!G126+'เช้า '!G126+'เย็น '!G126</f>
        <v>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53</v>
      </c>
      <c r="M126" s="11"/>
      <c r="N126" s="11"/>
      <c r="O126" s="11"/>
      <c r="P126" s="11"/>
      <c r="Q126" s="44">
        <f t="shared" si="14"/>
        <v>-53</v>
      </c>
    </row>
    <row r="127" spans="2:17" x14ac:dyDescent="0.2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 x14ac:dyDescent="0.2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 x14ac:dyDescent="0.2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 x14ac:dyDescent="0.2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 x14ac:dyDescent="0.2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 x14ac:dyDescent="0.2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 x14ac:dyDescent="0.2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 x14ac:dyDescent="0.2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1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1</v>
      </c>
      <c r="M135" s="11"/>
      <c r="N135" s="11"/>
      <c r="O135" s="11"/>
      <c r="P135" s="11"/>
      <c r="Q135" s="44">
        <f t="shared" si="14"/>
        <v>-1</v>
      </c>
    </row>
    <row r="136" spans="2:18" x14ac:dyDescent="0.2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8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8</v>
      </c>
      <c r="M136" s="11"/>
      <c r="N136" s="11"/>
      <c r="O136" s="11"/>
      <c r="P136" s="11"/>
      <c r="Q136" s="44">
        <f t="shared" si="14"/>
        <v>-8</v>
      </c>
    </row>
    <row r="137" spans="2:18" x14ac:dyDescent="0.2">
      <c r="B137" s="22">
        <v>20052721</v>
      </c>
      <c r="C137" s="21" t="s">
        <v>141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 x14ac:dyDescent="0.2">
      <c r="B138" s="50">
        <v>1004046</v>
      </c>
      <c r="C138" s="49" t="s">
        <v>142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 x14ac:dyDescent="0.2">
      <c r="B139" s="50"/>
      <c r="C139" s="49" t="s">
        <v>137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 x14ac:dyDescent="0.2">
      <c r="B140" s="58"/>
      <c r="C140" s="59" t="s">
        <v>138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 x14ac:dyDescent="0.2">
      <c r="B141" s="50">
        <v>20059548</v>
      </c>
      <c r="C141" s="49" t="s">
        <v>143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 x14ac:dyDescent="0.2">
      <c r="B142" s="50">
        <v>20054646</v>
      </c>
      <c r="C142" s="49" t="s">
        <v>144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0</v>
      </c>
      <c r="M142" s="11"/>
      <c r="N142" s="11"/>
      <c r="O142" s="11"/>
      <c r="P142" s="11"/>
      <c r="Q142" s="44">
        <f t="shared" si="14"/>
        <v>0</v>
      </c>
    </row>
    <row r="143" spans="2:18" x14ac:dyDescent="0.2">
      <c r="B143" s="50">
        <v>1100044</v>
      </c>
      <c r="C143" s="49" t="s">
        <v>146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10</v>
      </c>
      <c r="L143" s="36">
        <f t="shared" si="13"/>
        <v>10</v>
      </c>
      <c r="M143" s="11"/>
      <c r="N143" s="11"/>
      <c r="O143" s="11"/>
      <c r="P143" s="11"/>
      <c r="Q143" s="44">
        <f t="shared" si="14"/>
        <v>-10</v>
      </c>
    </row>
    <row r="144" spans="2:18" hidden="1" x14ac:dyDescent="0.2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 hidden="1" x14ac:dyDescent="0.2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 hidden="1" x14ac:dyDescent="0.2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/>
      <c r="M146" s="11"/>
      <c r="N146" s="11"/>
      <c r="O146" s="11"/>
      <c r="P146" s="11"/>
      <c r="Q146" s="44">
        <f t="shared" si="14"/>
        <v>0</v>
      </c>
    </row>
    <row r="147" spans="2:17" hidden="1" x14ac:dyDescent="0.2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>
        <f t="shared" si="14"/>
        <v>0</v>
      </c>
    </row>
    <row r="148" spans="2:17" hidden="1" x14ac:dyDescent="0.2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>
        <f t="shared" si="14"/>
        <v>0</v>
      </c>
    </row>
    <row r="149" spans="2:17" hidden="1" x14ac:dyDescent="0.2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 hidden="1" x14ac:dyDescent="0.2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 hidden="1" x14ac:dyDescent="0.2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 x14ac:dyDescent="0.2">
      <c r="B152" s="11"/>
      <c r="C152" s="21"/>
      <c r="D152" s="60">
        <f>SUM(D114:D151,D90:D99,D79:D87,D69:D76,D7:D66,D102:D111)</f>
        <v>46</v>
      </c>
      <c r="E152" s="60">
        <f t="shared" ref="E152:Q152" si="15">SUM(E114:E151,E90:E99,E79:E87,E69:E76,E7:E66,E102:E111)</f>
        <v>114</v>
      </c>
      <c r="F152" s="60">
        <f t="shared" si="15"/>
        <v>80</v>
      </c>
      <c r="G152" s="60">
        <f t="shared" si="15"/>
        <v>589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45</v>
      </c>
      <c r="L152" s="60">
        <f t="shared" si="15"/>
        <v>874</v>
      </c>
      <c r="M152" s="60">
        <f t="shared" si="15"/>
        <v>0</v>
      </c>
      <c r="N152" s="60">
        <f t="shared" si="15"/>
        <v>0</v>
      </c>
      <c r="O152" s="60">
        <f t="shared" si="15"/>
        <v>0</v>
      </c>
      <c r="P152" s="60">
        <f t="shared" si="15"/>
        <v>0</v>
      </c>
      <c r="Q152" s="60">
        <f t="shared" si="15"/>
        <v>-874</v>
      </c>
    </row>
    <row r="153" spans="2:17" x14ac:dyDescent="0.2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 x14ac:dyDescent="0.2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 x14ac:dyDescent="0.2">
      <c r="C155" s="24"/>
      <c r="D155" s="31"/>
      <c r="E155" s="67"/>
      <c r="F155" s="67"/>
      <c r="G155" s="26"/>
      <c r="L155" s="40"/>
    </row>
    <row r="156" spans="2:17" x14ac:dyDescent="0.2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7" x14ac:dyDescent="0.2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7" x14ac:dyDescent="0.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19.5" x14ac:dyDescent="0.2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19.5" x14ac:dyDescent="0.2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9.5" x14ac:dyDescent="0.2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9.5" x14ac:dyDescent="0.2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9.5" x14ac:dyDescent="0.2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">
      <c r="D164" s="31"/>
      <c r="E164" s="31"/>
      <c r="F164" s="31"/>
      <c r="G164" s="31"/>
      <c r="H164" s="31"/>
    </row>
    <row r="165" spans="2:12" x14ac:dyDescent="0.2">
      <c r="D165" s="31"/>
      <c r="E165" s="31"/>
      <c r="F165" s="31"/>
      <c r="G165" s="31"/>
      <c r="H165" s="31"/>
    </row>
    <row r="166" spans="2:12" x14ac:dyDescent="0.2">
      <c r="D166" s="31"/>
      <c r="E166" s="31"/>
      <c r="F166" s="31"/>
      <c r="G166" s="31"/>
      <c r="H166" s="31"/>
    </row>
    <row r="167" spans="2:12" x14ac:dyDescent="0.2">
      <c r="D167" s="31"/>
      <c r="E167" s="31"/>
      <c r="F167" s="31"/>
      <c r="G167" s="31"/>
      <c r="H167" s="31"/>
    </row>
    <row r="168" spans="2:12" x14ac:dyDescent="0.2">
      <c r="D168" s="31"/>
      <c r="E168" s="31"/>
      <c r="F168" s="31"/>
      <c r="G168" s="31"/>
      <c r="H168" s="31"/>
    </row>
    <row r="169" spans="2:12" x14ac:dyDescent="0.2">
      <c r="D169" s="31"/>
      <c r="E169" s="31"/>
      <c r="F169" s="31"/>
      <c r="G169" s="31"/>
      <c r="H169" s="31"/>
    </row>
    <row r="170" spans="2:12" x14ac:dyDescent="0.2">
      <c r="D170" s="31"/>
      <c r="E170" s="31"/>
      <c r="F170" s="31"/>
      <c r="G170" s="31"/>
      <c r="H170" s="31"/>
    </row>
    <row r="171" spans="2:12" x14ac:dyDescent="0.2">
      <c r="D171" s="31"/>
      <c r="E171" s="31"/>
      <c r="F171" s="31"/>
      <c r="G171" s="31"/>
      <c r="H171" s="31"/>
    </row>
    <row r="172" spans="2:12" x14ac:dyDescent="0.2">
      <c r="D172" s="31"/>
      <c r="E172" s="31"/>
      <c r="F172" s="31"/>
      <c r="G172" s="31"/>
      <c r="H172" s="31"/>
    </row>
    <row r="173" spans="2:12" x14ac:dyDescent="0.2">
      <c r="D173" s="31"/>
      <c r="E173" s="31"/>
      <c r="F173" s="31"/>
      <c r="G173" s="31"/>
      <c r="H173" s="31"/>
    </row>
    <row r="174" spans="2:12" x14ac:dyDescent="0.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2025-07-11T00:53:06Z</cp:lastPrinted>
  <dcterms:created xsi:type="dcterms:W3CDTF">2024-04-30T05:21:27Z</dcterms:created>
  <dcterms:modified xsi:type="dcterms:W3CDTF">2025-07-11T00:53:27Z</dcterms:modified>
</cp:coreProperties>
</file>