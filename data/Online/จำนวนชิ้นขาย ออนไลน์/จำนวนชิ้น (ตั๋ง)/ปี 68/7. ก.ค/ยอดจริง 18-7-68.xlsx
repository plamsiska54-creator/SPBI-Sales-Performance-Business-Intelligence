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F3849348-A98C-4D0F-B173-6A0E0AE26568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3" i="5" l="1"/>
  <c r="L143" i="5" s="1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L144" i="5" s="1"/>
  <c r="D145" i="5"/>
  <c r="L145" i="5" s="1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L146" i="5" s="1"/>
  <c r="K136" i="5" l="1"/>
  <c r="K137" i="5"/>
  <c r="K138" i="5"/>
  <c r="K139" i="5"/>
  <c r="K140" i="5"/>
  <c r="K141" i="5"/>
  <c r="J87" i="5"/>
  <c r="Q143" i="5"/>
  <c r="Q144" i="5"/>
  <c r="Q145" i="5"/>
  <c r="Q146" i="5"/>
  <c r="Q147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L142" i="5" s="1"/>
  <c r="Q142" i="5" s="1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D137" i="5"/>
  <c r="L137" i="5" s="1"/>
  <c r="E137" i="5"/>
  <c r="F137" i="5"/>
  <c r="G137" i="5"/>
  <c r="H137" i="5"/>
  <c r="I137" i="5"/>
  <c r="J137" i="5"/>
  <c r="D138" i="5"/>
  <c r="E138" i="5"/>
  <c r="F138" i="5"/>
  <c r="G138" i="5"/>
  <c r="H138" i="5"/>
  <c r="I138" i="5"/>
  <c r="J138" i="5"/>
  <c r="D139" i="5"/>
  <c r="E139" i="5"/>
  <c r="F139" i="5"/>
  <c r="G139" i="5"/>
  <c r="H139" i="5"/>
  <c r="I139" i="5"/>
  <c r="J139" i="5"/>
  <c r="D140" i="5"/>
  <c r="E140" i="5"/>
  <c r="F140" i="5"/>
  <c r="G140" i="5"/>
  <c r="H140" i="5"/>
  <c r="I140" i="5"/>
  <c r="J140" i="5"/>
  <c r="D141" i="5"/>
  <c r="E141" i="5"/>
  <c r="F141" i="5"/>
  <c r="G141" i="5"/>
  <c r="H141" i="5"/>
  <c r="I141" i="5"/>
  <c r="J141" i="5"/>
  <c r="E142" i="5"/>
  <c r="F142" i="5"/>
  <c r="G142" i="5"/>
  <c r="H142" i="5"/>
  <c r="I142" i="5"/>
  <c r="J142" i="5"/>
  <c r="K142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9" i="5" l="1"/>
  <c r="L141" i="5"/>
  <c r="Q141" i="5" s="1"/>
  <c r="L151" i="5"/>
  <c r="Q151" i="5" s="1"/>
  <c r="L140" i="5"/>
  <c r="Q140" i="5" s="1"/>
  <c r="L138" i="5"/>
  <c r="K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Q137" i="5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Q138" i="5"/>
  <c r="Q139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E152" i="5" s="1"/>
  <c r="F99" i="5"/>
  <c r="G99" i="5"/>
  <c r="H99" i="5"/>
  <c r="I99" i="5"/>
  <c r="I152" i="5" s="1"/>
  <c r="J99" i="5"/>
  <c r="J152" i="5" s="1"/>
  <c r="D66" i="5"/>
  <c r="E66" i="5"/>
  <c r="F66" i="5"/>
  <c r="G66" i="5"/>
  <c r="H66" i="5"/>
  <c r="I66" i="5"/>
  <c r="J66" i="5"/>
  <c r="F152" i="5" l="1"/>
  <c r="H152" i="5"/>
  <c r="D152" i="5"/>
  <c r="G152" i="5"/>
  <c r="Q129" i="5"/>
  <c r="Q114" i="5"/>
  <c r="Q90" i="5"/>
  <c r="Q99" i="5" s="1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0" i="5" s="1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<sst xmlns="http://schemas.openxmlformats.org/spreadsheetml/2006/main" count="631" uniqueCount="151">
  <si>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</si>
  <si>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</si>
  <si>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</si>
  <si>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</si>
  <si>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</si>
  <si>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</si>
  <si>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</si>
  <si>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</si>
  <si>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</si>
  <si>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</si>
  <si>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</si>
  <si>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</si>
  <si>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</si>
  <si>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</si>
  <si>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</si>
  <si>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</si>
  <si>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</si>
  <si>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</si>
  <si>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</si>
  <si>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</si>
  <si>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</si>
  <si>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</si>
  <si>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</si>
  <si>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</si>
  <si>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</si>
  <si>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</si>
  <si>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</si>
  <si>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</si>
  <si>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</si>
  <si>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</si>
  <si>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</si>
  <si>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</si>
  <si>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</si>
  <si>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</si>
  <si>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</si>
  <si>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</si>
  <si>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</si>
  <si>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</si>
  <si>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</si>
  <si>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</si>
  <si>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</si>
  <si>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</si>
  <si>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</si>
  <si>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</si>
  <si>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</si>
  <si>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</si>
  <si>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</si>
  <si>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</si>
  <si>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</si>
  <si>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</si>
  <si>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</si>
  <si>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</si>
  <si>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</si>
  <si>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</si>
  <si>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</si>
  <si>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</si>
  <si>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</si>
  <si>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</si>
  <si>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</si>
  <si>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</si>
  <si>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</si>
  <si>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</si>
  <si>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</si>
  <si>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</si>
  <si>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</si>
  <si>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</si>
  <si>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</si>
  <si>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</si>
  <si>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</si>
  <si>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</si>
  <si>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</si>
  <si>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</si>
  <si>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</si>
  <si>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</si>
  <si>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</si>
  <si>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</si>
  <si>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</si>
  <si>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</si>
  <si>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</si>
  <si>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</si>
  <si>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</si>
  <si>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</si>
  <si>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</si>
  <si>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</si>
  <si>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</si>
  <si>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</si>
  <si>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</si>
  <si>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</si>
  <si>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</si>
  <si>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</si>
  <si>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</si>
  <si>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</si>
  <si>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</si>
  <si>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</si>
  <si>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</si>
  <si>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</si>
  <si>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</si>
  <si>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</si>
  <si>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</si>
  <si>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</si>
  <si>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</si>
  <si>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</si>
  <si>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</si>
  <si>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</si>
  <si>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</si>
  <si>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</si>
  <si>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</si>
  <si>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</si>
  <si>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</si>
  <si>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</si>
  <si>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</si>
  <si>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</si>
  <si>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</si>
  <si>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</si>
  <si>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</si>
  <si>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</si>
  <si>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</si>
  <si>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</si>
  <si>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</si>
  <si>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</si>
  <si>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</si>
  <si>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</si>
  <si>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</si>
  <si>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</si>
  <si>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</si>
  <si>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</si>
  <si>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</si>
  <si>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</si>
  <si>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</si>
  <si>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</si>
  <si>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</si>
  <si>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</si>
  <si>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</si>
  <si>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</si>
  <si>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</si>
  <si>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</si>
  <si>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</si>
  <si>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</si>
  <si>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</si>
  <si>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</si>
  <si>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</si>
  <si>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</si>
  <si>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</si>
  <si>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</si>
  <si>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</si>
  <si>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</si>
  <si>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</si>
  <si>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</si>
  <si>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18/7/68 เช้า</t>
  </si>
  <si>
    <t>ชิฟฟอน 8 ชิ้น ขนุนล้วน</t>
  </si>
  <si>
    <t>ยอดจริง ออนไลน์ วันที่ 18/7/68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</si>
</sst>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60" zoomScale="60" zoomScaleNormal="60" workbookViewId="0">
      <selection activeCell="P147" sqref="P147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63" t="s">
        <v>148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5</v>
      </c>
      <c r="E7" s="30">
        <v>18</v>
      </c>
      <c r="F7" s="30">
        <v>33</v>
      </c>
      <c r="G7" s="30">
        <v>9</v>
      </c>
      <c r="H7" s="30"/>
      <c r="I7" s="30"/>
      <c r="J7" s="43"/>
      <c r="K7" s="43">
        <v>65</v>
      </c>
      <c r="L7" s="36">
        <f>SUM(D7:K7)</f>
        <v>130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2</v>
      </c>
      <c r="F25" s="30"/>
      <c r="G25" s="30">
        <v>1</v>
      </c>
      <c r="H25" s="30"/>
      <c r="I25" s="30"/>
      <c r="J25" s="43"/>
      <c r="K25" s="43"/>
      <c r="L25" s="36">
        <f t="shared" si="0"/>
        <v>3</v>
      </c>
    </row>
    <row r="26" spans="2:12">
      <c r="B26" s="11">
        <v>1004055</v>
      </c>
      <c r="C26" s="15" t="s">
        <v>108</v>
      </c>
      <c r="D26" s="30"/>
      <c r="E26" s="30">
        <v>7</v>
      </c>
      <c r="F26" s="30"/>
      <c r="G26" s="30">
        <v>33</v>
      </c>
      <c r="H26" s="30"/>
      <c r="I26" s="30"/>
      <c r="J26" s="43"/>
      <c r="K26" s="43">
        <v>5</v>
      </c>
      <c r="L26" s="36">
        <f t="shared" si="0"/>
        <v>45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17</v>
      </c>
      <c r="F40" s="30"/>
      <c r="G40" s="30"/>
      <c r="H40" s="30"/>
      <c r="I40" s="30"/>
      <c r="J40" s="43"/>
      <c r="K40" s="43"/>
      <c r="L40" s="36">
        <f t="shared" si="0"/>
        <v>17</v>
      </c>
    </row>
    <row r="41" spans="2:12">
      <c r="B41" s="11">
        <v>1111058</v>
      </c>
      <c r="C41" s="15" t="s">
        <v>31</v>
      </c>
      <c r="D41" s="30"/>
      <c r="E41" s="30">
        <v>17</v>
      </c>
      <c r="F41" s="30"/>
      <c r="G41" s="30"/>
      <c r="H41" s="30"/>
      <c r="I41" s="30"/>
      <c r="J41" s="43"/>
      <c r="K41" s="43"/>
      <c r="L41" s="36">
        <f t="shared" si="0"/>
        <v>17</v>
      </c>
    </row>
    <row r="42" spans="2:12">
      <c r="B42" s="11">
        <v>1111059</v>
      </c>
      <c r="C42" s="15" t="s">
        <v>32</v>
      </c>
      <c r="D42" s="30"/>
      <c r="E42" s="30">
        <v>17</v>
      </c>
      <c r="F42" s="30"/>
      <c r="G42" s="30"/>
      <c r="H42" s="30"/>
      <c r="I42" s="30"/>
      <c r="J42" s="43"/>
      <c r="K42" s="43"/>
      <c r="L42" s="36">
        <f t="shared" si="0"/>
        <v>17</v>
      </c>
    </row>
    <row r="43" spans="2:12">
      <c r="B43" s="11">
        <v>1111060</v>
      </c>
      <c r="C43" s="15" t="s">
        <v>33</v>
      </c>
      <c r="D43" s="30"/>
      <c r="E43" s="30">
        <v>17</v>
      </c>
      <c r="F43" s="30"/>
      <c r="G43" s="30"/>
      <c r="H43" s="30"/>
      <c r="I43" s="30"/>
      <c r="J43" s="43"/>
      <c r="K43" s="43"/>
      <c r="L43" s="36">
        <f t="shared" si="0"/>
        <v>17</v>
      </c>
    </row>
    <row r="44" spans="2:12">
      <c r="B44" s="11">
        <v>1111061</v>
      </c>
      <c r="C44" s="15" t="s">
        <v>34</v>
      </c>
      <c r="D44" s="30"/>
      <c r="E44" s="30">
        <v>17</v>
      </c>
      <c r="F44" s="30"/>
      <c r="G44" s="30"/>
      <c r="H44" s="30"/>
      <c r="I44" s="30"/>
      <c r="J44" s="43"/>
      <c r="K44" s="43"/>
      <c r="L44" s="36">
        <f t="shared" si="0"/>
        <v>17</v>
      </c>
    </row>
    <row r="45" spans="2:12">
      <c r="B45" s="11">
        <v>1111062</v>
      </c>
      <c r="C45" s="15" t="s">
        <v>35</v>
      </c>
      <c r="D45" s="30"/>
      <c r="E45" s="30">
        <v>17</v>
      </c>
      <c r="F45" s="30"/>
      <c r="G45" s="30"/>
      <c r="H45" s="30"/>
      <c r="I45" s="30"/>
      <c r="J45" s="43"/>
      <c r="K45" s="43"/>
      <c r="L45" s="36">
        <f t="shared" si="0"/>
        <v>17</v>
      </c>
    </row>
    <row r="46" spans="2:12">
      <c r="B46" s="11">
        <v>1111063</v>
      </c>
      <c r="C46" s="15" t="s">
        <v>36</v>
      </c>
      <c r="D46" s="30"/>
      <c r="E46" s="30">
        <v>17</v>
      </c>
      <c r="F46" s="30"/>
      <c r="G46" s="30"/>
      <c r="H46" s="30"/>
      <c r="I46" s="30"/>
      <c r="J46" s="43"/>
      <c r="K46" s="43"/>
      <c r="L46" s="36">
        <f t="shared" si="0"/>
        <v>17</v>
      </c>
    </row>
    <row r="47" spans="2:12">
      <c r="B47" s="11">
        <v>1111064</v>
      </c>
      <c r="C47" s="15" t="s">
        <v>37</v>
      </c>
      <c r="D47" s="30"/>
      <c r="E47" s="30">
        <v>17</v>
      </c>
      <c r="F47" s="30"/>
      <c r="G47" s="30"/>
      <c r="H47" s="30"/>
      <c r="I47" s="30"/>
      <c r="J47" s="43"/>
      <c r="K47" s="43"/>
      <c r="L47" s="36">
        <f t="shared" si="0"/>
        <v>17</v>
      </c>
    </row>
    <row r="48" spans="2:12">
      <c r="B48" s="11">
        <v>1111065</v>
      </c>
      <c r="C48" s="15" t="s">
        <v>38</v>
      </c>
      <c r="D48" s="30"/>
      <c r="E48" s="30">
        <v>17</v>
      </c>
      <c r="F48" s="30"/>
      <c r="G48" s="30"/>
      <c r="H48" s="30"/>
      <c r="I48" s="30"/>
      <c r="J48" s="43"/>
      <c r="K48" s="43"/>
      <c r="L48" s="36">
        <f t="shared" si="0"/>
        <v>17</v>
      </c>
    </row>
    <row r="49" spans="2:12">
      <c r="B49" s="11">
        <v>1111066</v>
      </c>
      <c r="C49" s="15" t="s">
        <v>39</v>
      </c>
      <c r="D49" s="30"/>
      <c r="E49" s="30">
        <v>17</v>
      </c>
      <c r="F49" s="30"/>
      <c r="G49" s="30"/>
      <c r="H49" s="30"/>
      <c r="I49" s="30"/>
      <c r="J49" s="43"/>
      <c r="K49" s="43"/>
      <c r="L49" s="36">
        <f t="shared" si="0"/>
        <v>17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348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4</v>
      </c>
      <c r="E69" s="30">
        <v>3</v>
      </c>
      <c r="F69" s="30"/>
      <c r="G69" s="30">
        <v>6</v>
      </c>
      <c r="H69" s="30"/>
      <c r="I69" s="30"/>
      <c r="J69" s="43"/>
      <c r="K69" s="43"/>
      <c r="L69" s="36">
        <f t="shared" ref="L69:L76" si="1">SUM(D69:K69)</f>
        <v>13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13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4</v>
      </c>
      <c r="F87" s="30"/>
      <c r="G87" s="30">
        <v>21</v>
      </c>
      <c r="H87" s="30"/>
      <c r="I87" s="30"/>
      <c r="J87" s="43"/>
      <c r="K87" s="43"/>
      <c r="L87" s="36">
        <f t="shared" si="2"/>
        <v>25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25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5</v>
      </c>
      <c r="E90" s="30">
        <v>1</v>
      </c>
      <c r="F90" s="30">
        <v>2</v>
      </c>
      <c r="G90" s="30">
        <v>23</v>
      </c>
      <c r="H90" s="30"/>
      <c r="I90" s="30"/>
      <c r="J90" s="43"/>
      <c r="K90" s="43"/>
      <c r="L90" s="36">
        <f t="shared" ref="L90:L99" si="3">SUM(D90:K90)</f>
        <v>31</v>
      </c>
    </row>
    <row r="91" spans="2:12">
      <c r="B91" s="11">
        <v>1112011</v>
      </c>
      <c r="C91" s="19" t="s">
        <v>76</v>
      </c>
      <c r="D91" s="30">
        <v>6</v>
      </c>
      <c r="E91" s="30">
        <v>1</v>
      </c>
      <c r="F91" s="30">
        <v>16</v>
      </c>
      <c r="G91" s="30">
        <v>23</v>
      </c>
      <c r="H91" s="30"/>
      <c r="I91" s="30"/>
      <c r="J91" s="43"/>
      <c r="K91" s="43"/>
      <c r="L91" s="36">
        <f t="shared" si="3"/>
        <v>46</v>
      </c>
    </row>
    <row r="92" spans="2:12">
      <c r="B92" s="11">
        <v>1112003</v>
      </c>
      <c r="C92" s="19" t="s">
        <v>77</v>
      </c>
      <c r="D92" s="30">
        <v>3</v>
      </c>
      <c r="E92" s="30">
        <v>1</v>
      </c>
      <c r="F92" s="30">
        <v>2</v>
      </c>
      <c r="G92" s="30">
        <v>39</v>
      </c>
      <c r="H92" s="30"/>
      <c r="I92" s="30"/>
      <c r="J92" s="43"/>
      <c r="K92" s="43"/>
      <c r="L92" s="36">
        <f t="shared" si="3"/>
        <v>45</v>
      </c>
    </row>
    <row r="93" spans="2:12">
      <c r="B93" s="11">
        <v>1112005</v>
      </c>
      <c r="C93" s="19" t="s">
        <v>78</v>
      </c>
      <c r="D93" s="30">
        <v>8</v>
      </c>
      <c r="E93" s="30">
        <v>1</v>
      </c>
      <c r="F93" s="30">
        <v>2</v>
      </c>
      <c r="G93" s="30">
        <v>39</v>
      </c>
      <c r="H93" s="30"/>
      <c r="I93" s="30"/>
      <c r="J93" s="43"/>
      <c r="K93" s="43"/>
      <c r="L93" s="36">
        <f t="shared" si="3"/>
        <v>50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>
        <v>1</v>
      </c>
      <c r="F97" s="30">
        <v>2</v>
      </c>
      <c r="G97" s="30">
        <v>39</v>
      </c>
      <c r="H97" s="30"/>
      <c r="I97" s="30"/>
      <c r="J97" s="43"/>
      <c r="K97" s="43"/>
      <c r="L97" s="36">
        <f t="shared" si="3"/>
        <v>44</v>
      </c>
    </row>
    <row r="98" spans="2:12">
      <c r="B98" s="11">
        <v>1112013</v>
      </c>
      <c r="C98" s="19" t="s">
        <v>83</v>
      </c>
      <c r="D98" s="30">
        <v>3</v>
      </c>
      <c r="E98" s="30">
        <v>1</v>
      </c>
      <c r="F98" s="30">
        <v>2</v>
      </c>
      <c r="G98" s="30">
        <v>23</v>
      </c>
      <c r="H98" s="30"/>
      <c r="I98" s="30"/>
      <c r="J98" s="43"/>
      <c r="K98" s="43"/>
      <c r="L98" s="36">
        <f t="shared" si="3"/>
        <v>29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245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13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13</v>
      </c>
    </row>
    <row r="115" spans="2:12">
      <c r="B115" s="11">
        <v>1113171</v>
      </c>
      <c r="C115" s="21" t="s">
        <v>88</v>
      </c>
      <c r="D115" s="30">
        <v>13</v>
      </c>
      <c r="E115" s="30"/>
      <c r="F115" s="30"/>
      <c r="G115" s="30"/>
      <c r="H115" s="30"/>
      <c r="I115" s="30"/>
      <c r="J115" s="43"/>
      <c r="K115" s="43"/>
      <c r="L115" s="36">
        <f t="shared" si="5"/>
        <v>13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2</v>
      </c>
      <c r="F123" s="30"/>
      <c r="G123" s="30">
        <v>115</v>
      </c>
      <c r="H123" s="30"/>
      <c r="I123" s="30"/>
      <c r="J123" s="43"/>
      <c r="K123" s="43"/>
      <c r="L123" s="36">
        <f t="shared" si="5"/>
        <v>119</v>
      </c>
    </row>
    <row r="124" spans="2:12">
      <c r="B124" s="11">
        <v>1114502</v>
      </c>
      <c r="C124" s="21" t="s">
        <v>96</v>
      </c>
      <c r="D124" s="30">
        <v>2</v>
      </c>
      <c r="E124" s="30">
        <v>1</v>
      </c>
      <c r="F124" s="30"/>
      <c r="G124" s="30">
        <v>109</v>
      </c>
      <c r="H124" s="30"/>
      <c r="I124" s="30"/>
      <c r="J124" s="43"/>
      <c r="K124" s="43"/>
      <c r="L124" s="36">
        <f t="shared" si="5"/>
        <v>112</v>
      </c>
    </row>
    <row r="125" spans="2:12">
      <c r="B125" s="11">
        <v>1114503</v>
      </c>
      <c r="C125" s="21" t="s">
        <v>97</v>
      </c>
      <c r="D125" s="30">
        <v>2</v>
      </c>
      <c r="E125" s="30"/>
      <c r="F125" s="30"/>
      <c r="G125" s="30">
        <v>106</v>
      </c>
      <c r="H125" s="30"/>
      <c r="I125" s="30"/>
      <c r="J125" s="43"/>
      <c r="K125" s="43"/>
      <c r="L125" s="36">
        <f t="shared" si="5"/>
        <v>108</v>
      </c>
    </row>
    <row r="126" spans="2:12">
      <c r="B126" s="11">
        <v>1124021</v>
      </c>
      <c r="C126" s="21" t="s">
        <v>98</v>
      </c>
      <c r="D126" s="30"/>
      <c r="E126" s="30">
        <v>14</v>
      </c>
      <c r="F126" s="30">
        <v>14</v>
      </c>
      <c r="G126" s="30">
        <v>5</v>
      </c>
      <c r="H126" s="30"/>
      <c r="I126" s="30"/>
      <c r="J126" s="43"/>
      <c r="K126" s="43"/>
      <c r="L126" s="36">
        <f t="shared" si="5"/>
        <v>33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>
      <c r="B136" s="22"/>
      <c r="C136" s="21" t="s">
        <v>125</v>
      </c>
      <c r="D136" s="30"/>
      <c r="E136" s="30">
        <v>6</v>
      </c>
      <c r="F136" s="30"/>
      <c r="G136" s="30"/>
      <c r="H136" s="30"/>
      <c r="I136" s="30"/>
      <c r="J136" s="43"/>
      <c r="K136" s="43"/>
      <c r="L136" s="36">
        <f t="shared" si="5"/>
        <v>6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>
        <v>75</v>
      </c>
      <c r="H142" s="9"/>
      <c r="I142" s="9"/>
      <c r="J142" s="9"/>
      <c r="K142" s="9">
        <v>6</v>
      </c>
      <c r="L142" s="36">
        <f t="shared" si="6"/>
        <v>81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>
        <v>3</v>
      </c>
      <c r="H143" s="9"/>
      <c r="I143" s="9"/>
      <c r="J143" s="9"/>
      <c r="K143" s="9">
        <v>10</v>
      </c>
      <c r="L143" s="36">
        <f t="shared" si="6"/>
        <v>13</v>
      </c>
    </row>
    <row r="144" spans="2:12">
      <c r="B144" s="50">
        <v>1100045</v>
      </c>
      <c r="C144" s="49" t="s">
        <v>149</v>
      </c>
      <c r="D144" s="51"/>
      <c r="E144" s="51"/>
      <c r="F144" s="51"/>
      <c r="G144" s="52">
        <v>12</v>
      </c>
      <c r="H144" s="9"/>
      <c r="I144" s="9"/>
      <c r="J144" s="9"/>
      <c r="K144" s="9">
        <v>1</v>
      </c>
      <c r="L144" s="36">
        <f t="shared" si="6"/>
        <v>13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C143" sqref="C14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K90" sqref="K90:K10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A127" zoomScale="50" zoomScaleNormal="50" workbookViewId="0">
      <selection activeCell="B1" sqref="B1:L1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hidden="1" customWidth="1"/>
    <col min="14" max="15" width="15.42578125" style="23" hidden="1" customWidth="1"/>
    <col min="16" max="16" width="25.42578125" style="23" hidden="1" customWidth="1"/>
    <col min="17" max="17" width="14.42578125" style="28" hidden="1" customWidth="1"/>
    <col min="18" max="18" width="9.140625" hidden="1" customWidth="1"/>
    <col min="19" max="19" width="7.42578125" hidden="1" customWidth="1"/>
    <col min="20" max="20" width="22.7109375" customWidth="1"/>
  </cols>
  <sheetData>
    <row r="1" spans="2:17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48">
        <f>'เย็น '!D7+'เช้า '!D7+บ่าย!D7</f>
        <v>5</v>
      </c>
      <c r="E7" s="30">
        <f>'เย็น '!E7+'เช้า '!E7+บ่าย!E7</f>
        <v>18</v>
      </c>
      <c r="F7" s="30">
        <f>'เย็น '!F7+'เช้า '!F7+บ่าย!F7</f>
        <v>33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65</v>
      </c>
      <c r="L7" s="36">
        <f>SUM(D7:K7)</f>
        <v>130</v>
      </c>
      <c r="M7" s="11"/>
      <c r="N7" s="11"/>
      <c r="O7" s="11"/>
      <c r="P7" s="11"/>
      <c r="Q7" s="44">
        <f>(M7+N7+O7+P7)-L7</f>
        <v>-130</v>
      </c>
    </row>
    <row r="8" spans="2:17" hidden="1">
      <c r="B8" s="11"/>
      <c r="C8" s="15" t="s">
        <v>126</v>
      </c>
      <c r="D8" s="48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48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48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48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48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48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48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48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48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48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48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48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48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48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48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48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48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48">
        <f>'เย็น '!D25+'เช้า '!D25+บ่าย!D25</f>
        <v>0</v>
      </c>
      <c r="E25" s="30">
        <f>'เย็น '!E25+'เช้า '!E25+บ่าย!E25</f>
        <v>2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3</v>
      </c>
      <c r="M25" s="11"/>
      <c r="N25" s="11"/>
      <c r="O25" s="11"/>
      <c r="P25" s="11"/>
      <c r="Q25" s="44">
        <f t="shared" si="1"/>
        <v>-3</v>
      </c>
    </row>
    <row r="26" spans="2:17">
      <c r="B26" s="11">
        <v>1004055</v>
      </c>
      <c r="C26" s="15" t="s">
        <v>108</v>
      </c>
      <c r="D26" s="48">
        <f>'เย็น '!D26+'เช้า '!D26+บ่าย!D26</f>
        <v>0</v>
      </c>
      <c r="E26" s="30">
        <f>'เย็น '!E26+'เช้า '!E26+บ่าย!E26</f>
        <v>7</v>
      </c>
      <c r="F26" s="30">
        <f>'เย็น '!F26+'เช้า '!F26+บ่าย!F26</f>
        <v>0</v>
      </c>
      <c r="G26" s="30">
        <f>'เย็น '!G26+'เช้า '!G26+บ่าย!G26</f>
        <v>33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5</v>
      </c>
      <c r="L26" s="36">
        <f t="shared" si="0"/>
        <v>45</v>
      </c>
      <c r="M26" s="11"/>
      <c r="N26" s="11"/>
      <c r="O26" s="11"/>
      <c r="P26" s="11"/>
      <c r="Q26" s="44">
        <f t="shared" si="1"/>
        <v>-45</v>
      </c>
    </row>
    <row r="27" spans="2:17" hidden="1">
      <c r="B27" s="11">
        <v>1004055</v>
      </c>
      <c r="C27" s="15" t="s">
        <v>109</v>
      </c>
      <c r="D27" s="48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48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48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48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48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48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48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48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48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48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48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48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48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48">
        <f>'เย็น '!D40+'เช้า '!D40+บ่าย!D40</f>
        <v>0</v>
      </c>
      <c r="E40" s="30">
        <f>'เย็น '!E40+'เช้า '!E40+บ่าย!E40</f>
        <v>17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17</v>
      </c>
      <c r="M40" s="11"/>
      <c r="N40" s="11"/>
      <c r="O40" s="11"/>
      <c r="P40" s="11"/>
      <c r="Q40" s="44">
        <f t="shared" si="1"/>
        <v>-17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17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17</v>
      </c>
      <c r="M41" s="11"/>
      <c r="N41" s="11"/>
      <c r="O41" s="11"/>
      <c r="P41" s="11"/>
      <c r="Q41" s="44">
        <f t="shared" si="1"/>
        <v>-17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17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17</v>
      </c>
      <c r="M42" s="11"/>
      <c r="N42" s="11"/>
      <c r="O42" s="11"/>
      <c r="P42" s="11"/>
      <c r="Q42" s="44">
        <f t="shared" si="1"/>
        <v>-17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17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17</v>
      </c>
      <c r="M43" s="11"/>
      <c r="N43" s="11"/>
      <c r="O43" s="11"/>
      <c r="P43" s="11"/>
      <c r="Q43" s="44">
        <f t="shared" si="1"/>
        <v>-17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17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17</v>
      </c>
      <c r="M44" s="11"/>
      <c r="N44" s="11"/>
      <c r="O44" s="11"/>
      <c r="P44" s="11"/>
      <c r="Q44" s="44">
        <f t="shared" si="1"/>
        <v>-17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17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17</v>
      </c>
      <c r="M45" s="11"/>
      <c r="N45" s="11"/>
      <c r="O45" s="11"/>
      <c r="P45" s="11"/>
      <c r="Q45" s="44">
        <f t="shared" si="1"/>
        <v>-17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17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17</v>
      </c>
      <c r="M46" s="11"/>
      <c r="N46" s="11"/>
      <c r="O46" s="11"/>
      <c r="P46" s="11"/>
      <c r="Q46" s="44">
        <f t="shared" si="1"/>
        <v>-17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17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17</v>
      </c>
      <c r="M47" s="11"/>
      <c r="N47" s="11"/>
      <c r="O47" s="11"/>
      <c r="P47" s="11"/>
      <c r="Q47" s="44">
        <f t="shared" si="1"/>
        <v>-17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17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17</v>
      </c>
      <c r="M48" s="11"/>
      <c r="N48" s="11"/>
      <c r="O48" s="11"/>
      <c r="P48" s="11"/>
      <c r="Q48" s="44">
        <f t="shared" si="1"/>
        <v>-17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17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17</v>
      </c>
      <c r="M49" s="11"/>
      <c r="N49" s="11"/>
      <c r="O49" s="11"/>
      <c r="P49" s="11"/>
      <c r="Q49" s="44">
        <f t="shared" si="1"/>
        <v>-17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3</v>
      </c>
      <c r="F69" s="30">
        <f>'เย็น '!F69+'เช้า '!F69+บ่าย!F69</f>
        <v>0</v>
      </c>
      <c r="G69" s="30">
        <f>'เย็น '!G69+'เช้า '!G69+บ่าย!G69</f>
        <v>6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13</v>
      </c>
      <c r="M69" s="11"/>
      <c r="N69" s="11"/>
      <c r="O69" s="11"/>
      <c r="P69" s="11"/>
      <c r="Q69" s="44">
        <f t="shared" ref="Q69:Q76" si="5">(M69+N69+O69+P69)-L69</f>
        <v>-13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48">
        <f>'เย็น '!D87+'เช้า '!D87+บ่าย!D87</f>
        <v>0</v>
      </c>
      <c r="E87" s="30">
        <f>'เย็น '!E87+'เช้า '!E87+บ่าย!E87</f>
        <v>4</v>
      </c>
      <c r="F87" s="30">
        <f>'เย็น '!F87+'เช้า '!F87+บ่าย!F87</f>
        <v>0</v>
      </c>
      <c r="G87" s="30">
        <f>'เย็น '!G87+'เช้า '!G87+บ่าย!G87</f>
        <v>21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/>
      <c r="L87" s="36">
        <f t="shared" si="7"/>
        <v>25</v>
      </c>
      <c r="M87" s="11"/>
      <c r="N87" s="11"/>
      <c r="O87" s="11"/>
      <c r="P87" s="11"/>
      <c r="Q87" s="44">
        <f t="shared" si="8"/>
        <v>-25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23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31</v>
      </c>
      <c r="M90" s="11"/>
      <c r="N90" s="11"/>
      <c r="O90" s="11"/>
      <c r="P90" s="11"/>
      <c r="Q90" s="44">
        <f t="shared" ref="Q90:Q100" si="10">(M90+N90+O90+P90)-L90</f>
        <v>-31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6</v>
      </c>
      <c r="E91" s="30">
        <f>'เย็น '!E91+'เช้า '!E91+บ่าย!E91</f>
        <v>1</v>
      </c>
      <c r="F91" s="30">
        <f>'เย็น '!F91+'เช้า '!F91+บ่าย!F91</f>
        <v>16</v>
      </c>
      <c r="G91" s="30">
        <f>'เย็น '!G91+'เช้า '!G91+บ่าย!G91</f>
        <v>23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46</v>
      </c>
      <c r="M91" s="11"/>
      <c r="N91" s="11"/>
      <c r="O91" s="11"/>
      <c r="P91" s="11"/>
      <c r="Q91" s="44">
        <f t="shared" si="10"/>
        <v>-46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1</v>
      </c>
      <c r="F92" s="30">
        <f>'เย็น '!F92+'เช้า '!F92+บ่าย!F92</f>
        <v>2</v>
      </c>
      <c r="G92" s="30">
        <f>'เย็น '!G92+'เช้า '!G92+บ่าย!G92</f>
        <v>39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45</v>
      </c>
      <c r="M92" s="11"/>
      <c r="N92" s="11"/>
      <c r="O92" s="11"/>
      <c r="P92" s="11"/>
      <c r="Q92" s="44">
        <f t="shared" si="10"/>
        <v>-45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8</v>
      </c>
      <c r="E93" s="30">
        <f>'เย็น '!E93+'เช้า '!E93+บ่าย!E93</f>
        <v>1</v>
      </c>
      <c r="F93" s="30">
        <f>'เย็น '!F93+'เช้า '!F93+บ่าย!F93</f>
        <v>2</v>
      </c>
      <c r="G93" s="30">
        <f>'เย็น '!G93+'เช้า '!G93+บ่าย!G93</f>
        <v>39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50</v>
      </c>
      <c r="M93" s="11"/>
      <c r="N93" s="11"/>
      <c r="O93" s="11"/>
      <c r="P93" s="11"/>
      <c r="Q93" s="44">
        <f t="shared" si="10"/>
        <v>-50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1</v>
      </c>
      <c r="F97" s="30">
        <f>'เย็น '!F97+'เช้า '!F97+บ่าย!F97</f>
        <v>2</v>
      </c>
      <c r="G97" s="30">
        <f>'เย็น '!G97+'เช้า '!G97+บ่าย!G97</f>
        <v>39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44</v>
      </c>
      <c r="M97" s="11"/>
      <c r="N97" s="11"/>
      <c r="O97" s="11"/>
      <c r="P97" s="11"/>
      <c r="Q97" s="44">
        <f t="shared" si="10"/>
        <v>-44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1</v>
      </c>
      <c r="F98" s="30">
        <f>'เย็น '!F98+'เช้า '!F98+บ่าย!F98</f>
        <v>2</v>
      </c>
      <c r="G98" s="30">
        <f>'เย็น '!G98+'เช้า '!G98+บ่าย!G98</f>
        <v>23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29</v>
      </c>
      <c r="M98" s="11"/>
      <c r="N98" s="11"/>
      <c r="O98" s="11"/>
      <c r="P98" s="11"/>
      <c r="Q98" s="44">
        <f t="shared" si="10"/>
        <v>-29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>SUM(Q90:Q98)</f>
        <v>-245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245</v>
      </c>
      <c r="M100" s="11"/>
      <c r="N100" s="11"/>
      <c r="O100" s="11"/>
      <c r="P100" s="11"/>
      <c r="Q100" s="44">
        <f t="shared" si="10"/>
        <v>-245</v>
      </c>
    </row>
    <row r="101" spans="2:17" ht="21" hidden="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 hidden="1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13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13</v>
      </c>
      <c r="M114" s="11"/>
      <c r="N114" s="11"/>
      <c r="O114" s="11"/>
      <c r="P114" s="11"/>
      <c r="Q114" s="44">
        <f t="shared" ref="Q114:Q151" si="14">(M114+N114+O114+P114)-L114</f>
        <v>-13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13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13</v>
      </c>
      <c r="M115" s="11"/>
      <c r="N115" s="11"/>
      <c r="O115" s="11"/>
      <c r="P115" s="11"/>
      <c r="Q115" s="44">
        <f t="shared" si="14"/>
        <v>-13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2</v>
      </c>
      <c r="F123" s="30">
        <f>บ่าย!F123+'เช้า '!F123+'เย็น '!F123</f>
        <v>0</v>
      </c>
      <c r="G123" s="30">
        <f>บ่าย!G123+'เช้า '!G123+'เย็น '!G123</f>
        <v>115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119</v>
      </c>
      <c r="M123" s="11"/>
      <c r="N123" s="11"/>
      <c r="O123" s="11"/>
      <c r="P123" s="11"/>
      <c r="Q123" s="44">
        <f t="shared" si="14"/>
        <v>-119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1</v>
      </c>
      <c r="F124" s="30">
        <f>บ่าย!F124+'เช้า '!F124+'เย็น '!F124</f>
        <v>0</v>
      </c>
      <c r="G124" s="30">
        <f>บ่าย!G124+'เช้า '!G124+'เย็น '!G124</f>
        <v>109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112</v>
      </c>
      <c r="M124" s="11"/>
      <c r="N124" s="11"/>
      <c r="O124" s="11"/>
      <c r="P124" s="11"/>
      <c r="Q124" s="44">
        <f t="shared" si="14"/>
        <v>-112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106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108</v>
      </c>
      <c r="M125" s="11"/>
      <c r="N125" s="11"/>
      <c r="O125" s="11"/>
      <c r="P125" s="11"/>
      <c r="Q125" s="44">
        <f t="shared" si="14"/>
        <v>-108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14</v>
      </c>
      <c r="F126" s="30">
        <f>บ่าย!F126+'เช้า '!F126+'เย็น '!F126</f>
        <v>14</v>
      </c>
      <c r="G126" s="30">
        <f>บ่าย!G126+'เช้า '!G126+'เย็น '!G126</f>
        <v>5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33</v>
      </c>
      <c r="M126" s="11"/>
      <c r="N126" s="11"/>
      <c r="O126" s="11"/>
      <c r="P126" s="11"/>
      <c r="Q126" s="44">
        <f t="shared" si="14"/>
        <v>-33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2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2</v>
      </c>
      <c r="M135" s="11"/>
      <c r="N135" s="11"/>
      <c r="O135" s="11"/>
      <c r="P135" s="11"/>
      <c r="Q135" s="44">
        <f t="shared" si="14"/>
        <v>-2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6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6</v>
      </c>
      <c r="M136" s="11"/>
      <c r="N136" s="11"/>
      <c r="O136" s="11"/>
      <c r="P136" s="11"/>
      <c r="Q136" s="44">
        <f t="shared" si="14"/>
        <v>-6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75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6</v>
      </c>
      <c r="L142" s="36">
        <f t="shared" si="13"/>
        <v>81</v>
      </c>
      <c r="M142" s="11"/>
      <c r="N142" s="11"/>
      <c r="O142" s="11"/>
      <c r="P142" s="11"/>
      <c r="Q142" s="44">
        <f t="shared" si="14"/>
        <v>-81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3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10</v>
      </c>
      <c r="L143" s="36">
        <f t="shared" si="13"/>
        <v>13</v>
      </c>
      <c r="M143" s="11"/>
      <c r="N143" s="11"/>
      <c r="O143" s="11"/>
      <c r="P143" s="11"/>
      <c r="Q143" s="44">
        <f t="shared" si="14"/>
        <v>-13</v>
      </c>
    </row>
    <row r="144" spans="2:18">
      <c r="B144" s="50">
        <v>1100045</v>
      </c>
      <c r="C144" s="49" t="s">
        <v>149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12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1</v>
      </c>
      <c r="L144" s="36">
        <f t="shared" si="13"/>
        <v>13</v>
      </c>
      <c r="M144" s="11"/>
      <c r="N144" s="11"/>
      <c r="O144" s="11"/>
      <c r="P144" s="11"/>
      <c r="Q144" s="44">
        <f t="shared" si="14"/>
        <v>-13</v>
      </c>
    </row>
    <row r="145" spans="2:17" hidden="1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 hidden="1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 hidden="1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>
        <f t="shared" si="14"/>
        <v>0</v>
      </c>
    </row>
    <row r="148" spans="2:17" hidden="1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 hidden="1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 hidden="1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 hidden="1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68</v>
      </c>
      <c r="E152" s="60">
        <f t="shared" ref="E152:Q152" si="15">SUM(E114:E151,E90:E99,E79:E87,E69:E76,E7:E66,E102:E111)</f>
        <v>235</v>
      </c>
      <c r="F152" s="60">
        <f t="shared" si="15"/>
        <v>73</v>
      </c>
      <c r="G152" s="60">
        <f t="shared" si="15"/>
        <v>681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87</v>
      </c>
      <c r="L152" s="60">
        <f t="shared" si="15"/>
        <v>1144</v>
      </c>
      <c r="M152" s="60">
        <f t="shared" si="15"/>
        <v>0</v>
      </c>
      <c r="N152" s="60">
        <f t="shared" si="15"/>
        <v>0</v>
      </c>
      <c r="O152" s="60">
        <f t="shared" si="15"/>
        <v>0</v>
      </c>
      <c r="P152" s="60">
        <f t="shared" si="15"/>
        <v>0</v>
      </c>
      <c r="Q152" s="60">
        <f t="shared" si="15"/>
        <v>-1389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11811023622047245" bottom="0.11811023622047245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2025-07-18T00:44:52Z</cp:lastPrinted>
  <dcterms:created xsi:type="dcterms:W3CDTF">2024-04-30T05:21:27Z</dcterms:created>
  <dcterms:modified xsi:type="dcterms:W3CDTF">2025-07-19T00:11:54Z</dcterms:modified>
</cp:coreProperties>
</file>