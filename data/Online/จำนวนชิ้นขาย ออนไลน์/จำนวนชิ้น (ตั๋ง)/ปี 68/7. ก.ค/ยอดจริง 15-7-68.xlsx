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7. ก.ค\"/>
    </mc:Choice>
  </mc:AlternateContent>
  <xr:revisionPtr revIDLastSave="0" documentId="13_ncr:1_{94217BC4-AEAC-423D-AD21-AC78FE5FEEBF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R148" i="5" s="1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R138" i="5" s="1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R140" i="5" s="1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R144" i="5" s="1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41" i="5" l="1"/>
  <c r="R139" i="5"/>
  <c r="R137" i="5"/>
  <c r="R147" i="5"/>
  <c r="R145" i="5"/>
  <c r="R143" i="5"/>
  <c r="R142" i="5"/>
  <c r="R146" i="5"/>
  <c r="R151" i="5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5" i="5"/>
  <c r="R136" i="5"/>
  <c r="R131" i="5"/>
  <c r="R132" i="5"/>
  <c r="R133" i="5"/>
  <c r="R134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H99" i="5"/>
  <c r="H152" i="5" s="1"/>
  <c r="I99" i="5"/>
  <c r="I152" i="5" s="1"/>
  <c r="K99" i="5"/>
  <c r="K152" i="5" s="1"/>
  <c r="D66" i="5"/>
  <c r="E66" i="5"/>
  <c r="F66" i="5"/>
  <c r="F152" i="5" s="1"/>
  <c r="G66" i="5"/>
  <c r="H66" i="5"/>
  <c r="I66" i="5"/>
  <c r="K66" i="5"/>
  <c r="E152" i="5" l="1"/>
  <c r="G152" i="5"/>
  <c r="D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<sst xmlns="http://schemas.openxmlformats.org/spreadsheetml/2006/main" count="630" uniqueCount="151">
  <si>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</si>
  <si>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</si>
  <si>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</si>
  <si>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</si>
  <si>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</si>
  <si>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</si>
  <si>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</si>
  <si>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</si>
  <si>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</si>
  <si>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</si>
  <si>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</si>
  <si>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</si>
  <si>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</si>
  <si>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</si>
  <si>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</si>
  <si>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</si>
  <si>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</si>
  <si>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</si>
  <si>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</si>
  <si>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</si>
  <si>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</si>
  <si>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</si>
  <si>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</si>
  <si>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</si>
  <si>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</si>
  <si>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</si>
  <si>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</si>
  <si>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</si>
  <si>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</si>
  <si>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</si>
  <si>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</si>
  <si>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</si>
  <si>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</si>
  <si>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</si>
  <si>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</si>
  <si>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</si>
  <si>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</si>
  <si>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</si>
  <si>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</si>
  <si>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</si>
  <si>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</si>
  <si>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</si>
  <si>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</si>
  <si>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</si>
  <si>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</si>
  <si>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</si>
  <si>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</si>
  <si>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</si>
  <si>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</si>
  <si>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</si>
  <si>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</si>
  <si>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</si>
  <si>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</si>
  <si>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</si>
  <si>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</si>
  <si>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</si>
  <si>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</si>
  <si>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</si>
  <si>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</si>
  <si>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</si>
  <si>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</si>
  <si>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</si>
  <si>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</si>
  <si>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</si>
  <si>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</si>
  <si>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</si>
  <si>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</si>
  <si>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</si>
  <si>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</si>
  <si>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</si>
  <si>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</si>
  <si>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</si>
  <si>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</si>
  <si>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</si>
  <si>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</si>
  <si>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</si>
  <si>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</si>
  <si>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</si>
  <si>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</si>
  <si>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</si>
  <si>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</si>
  <si>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</si>
  <si>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</si>
  <si>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</si>
  <si>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</si>
  <si>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</si>
  <si>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</si>
  <si>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</si>
  <si>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</si>
  <si>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</si>
  <si>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</si>
  <si>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</si>
  <si>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</si>
  <si>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</si>
  <si>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</si>
  <si>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</si>
  <si>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</si>
  <si>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</si>
  <si>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</si>
  <si>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</si>
  <si>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</si>
  <si>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</si>
  <si>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</si>
  <si>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</si>
  <si>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</si>
  <si>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</si>
  <si>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</si>
  <si>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</si>
  <si>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</si>
  <si>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</si>
  <si>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</si>
  <si>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</si>
  <si>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</si>
  <si>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</si>
  <si>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</si>
  <si>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</si>
  <si>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</si>
  <si>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</si>
  <si>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</si>
  <si>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</si>
  <si>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</si>
  <si>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</si>
  <si>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</si>
  <si>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</si>
  <si>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</si>
  <si>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</si>
  <si>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</si>
  <si>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</si>
  <si>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</si>
  <si>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</si>
  <si>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</si>
  <si>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</si>
  <si>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</si>
  <si>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</si>
  <si>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</si>
  <si>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</si>
  <si>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</si>
  <si>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</si>
  <si>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</si>
  <si>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</si>
  <si>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</si>
  <si>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</si>
  <si>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</si>
  <si>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</si>
  <si>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</si>
  <si>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</si>
  <si>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</si>
  <si>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</si>
  <si>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 15/7/68เช้า</t>
  </si>
  <si>
    <t>ยอดจริง ออนไลน์ วันที่ 15/7/68 รวม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</si>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</sst>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6" zoomScale="60" zoomScaleNormal="60" workbookViewId="0">
      <selection activeCell="AB143" sqref="AB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148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>
        <v>8</v>
      </c>
      <c r="E7" s="30">
        <v>14</v>
      </c>
      <c r="F7" s="30">
        <v>33</v>
      </c>
      <c r="G7" s="30">
        <v>3</v>
      </c>
      <c r="H7" s="30"/>
      <c r="I7" s="30"/>
      <c r="J7" s="43"/>
      <c r="K7" s="43"/>
      <c r="L7" s="36">
        <f>SUM(D7:K7)</f>
        <v>58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>
        <v>1</v>
      </c>
      <c r="H25" s="30"/>
      <c r="I25" s="30"/>
      <c r="J25" s="43"/>
      <c r="K25" s="43"/>
      <c r="L25" s="36">
        <f t="shared" si="0"/>
        <v>1</v>
      </c>
    </row>
    <row r="26" spans="2:12" x14ac:dyDescent="0.25">
      <c r="B26" s="11">
        <v>1004055</v>
      </c>
      <c r="C26" s="15" t="s">
        <v>108</v>
      </c>
      <c r="D26" s="30"/>
      <c r="E26" s="30">
        <v>3</v>
      </c>
      <c r="F26" s="30">
        <v>1</v>
      </c>
      <c r="G26" s="30">
        <v>54</v>
      </c>
      <c r="H26" s="30"/>
      <c r="I26" s="30"/>
      <c r="J26" s="43"/>
      <c r="K26" s="43"/>
      <c r="L26" s="36">
        <f t="shared" si="0"/>
        <v>58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>
        <v>2</v>
      </c>
      <c r="F56" s="30">
        <v>1</v>
      </c>
      <c r="G56" s="30"/>
      <c r="H56" s="30"/>
      <c r="I56" s="30"/>
      <c r="J56" s="43"/>
      <c r="K56" s="43"/>
      <c r="L56" s="36">
        <f t="shared" si="0"/>
        <v>3</v>
      </c>
    </row>
    <row r="57" spans="2:12" x14ac:dyDescent="0.25">
      <c r="B57" s="11">
        <v>1111075</v>
      </c>
      <c r="C57" s="15" t="s">
        <v>45</v>
      </c>
      <c r="D57" s="30"/>
      <c r="E57" s="30">
        <v>2</v>
      </c>
      <c r="F57" s="30">
        <v>1</v>
      </c>
      <c r="G57" s="30"/>
      <c r="H57" s="30"/>
      <c r="I57" s="30"/>
      <c r="J57" s="43"/>
      <c r="K57" s="43"/>
      <c r="L57" s="36">
        <f t="shared" si="0"/>
        <v>3</v>
      </c>
    </row>
    <row r="58" spans="2:12" x14ac:dyDescent="0.25">
      <c r="B58" s="11">
        <v>1111076</v>
      </c>
      <c r="C58" s="15" t="s">
        <v>46</v>
      </c>
      <c r="D58" s="30"/>
      <c r="E58" s="30">
        <v>2</v>
      </c>
      <c r="F58" s="30">
        <v>1</v>
      </c>
      <c r="G58" s="30"/>
      <c r="H58" s="30"/>
      <c r="I58" s="30"/>
      <c r="J58" s="43"/>
      <c r="K58" s="43"/>
      <c r="L58" s="36">
        <f t="shared" si="0"/>
        <v>3</v>
      </c>
    </row>
    <row r="59" spans="2:12" x14ac:dyDescent="0.25">
      <c r="B59" s="11">
        <v>1111077</v>
      </c>
      <c r="C59" s="15" t="s">
        <v>47</v>
      </c>
      <c r="D59" s="30"/>
      <c r="E59" s="30">
        <v>2</v>
      </c>
      <c r="F59" s="30">
        <v>1</v>
      </c>
      <c r="G59" s="30"/>
      <c r="H59" s="30"/>
      <c r="I59" s="30"/>
      <c r="J59" s="43"/>
      <c r="K59" s="43"/>
      <c r="L59" s="36">
        <f t="shared" si="0"/>
        <v>3</v>
      </c>
    </row>
    <row r="60" spans="2:12" x14ac:dyDescent="0.25">
      <c r="B60" s="11">
        <v>1111078</v>
      </c>
      <c r="C60" s="15" t="s">
        <v>48</v>
      </c>
      <c r="D60" s="30"/>
      <c r="E60" s="30">
        <v>2</v>
      </c>
      <c r="F60" s="30">
        <v>1</v>
      </c>
      <c r="G60" s="30"/>
      <c r="H60" s="30"/>
      <c r="I60" s="30"/>
      <c r="J60" s="43"/>
      <c r="K60" s="43"/>
      <c r="L60" s="36">
        <f t="shared" si="0"/>
        <v>3</v>
      </c>
    </row>
    <row r="61" spans="2:12" x14ac:dyDescent="0.25">
      <c r="B61" s="11">
        <v>1111079</v>
      </c>
      <c r="C61" s="15" t="s">
        <v>49</v>
      </c>
      <c r="D61" s="30"/>
      <c r="E61" s="30">
        <v>2</v>
      </c>
      <c r="F61" s="30">
        <v>1</v>
      </c>
      <c r="G61" s="30"/>
      <c r="H61" s="30"/>
      <c r="I61" s="30"/>
      <c r="J61" s="43"/>
      <c r="K61" s="43"/>
      <c r="L61" s="36">
        <f t="shared" si="0"/>
        <v>3</v>
      </c>
    </row>
    <row r="62" spans="2:12" x14ac:dyDescent="0.25">
      <c r="B62" s="11">
        <v>1111080</v>
      </c>
      <c r="C62" s="15" t="s">
        <v>50</v>
      </c>
      <c r="D62" s="30"/>
      <c r="E62" s="30">
        <v>2</v>
      </c>
      <c r="F62" s="30">
        <v>1</v>
      </c>
      <c r="G62" s="30"/>
      <c r="H62" s="30"/>
      <c r="I62" s="30"/>
      <c r="J62" s="43"/>
      <c r="K62" s="43"/>
      <c r="L62" s="36">
        <f t="shared" si="0"/>
        <v>3</v>
      </c>
    </row>
    <row r="63" spans="2:12" x14ac:dyDescent="0.25">
      <c r="B63" s="11">
        <v>1111081</v>
      </c>
      <c r="C63" s="15" t="s">
        <v>51</v>
      </c>
      <c r="D63" s="30"/>
      <c r="E63" s="30">
        <v>2</v>
      </c>
      <c r="F63" s="30">
        <v>1</v>
      </c>
      <c r="G63" s="30"/>
      <c r="H63" s="30"/>
      <c r="I63" s="30"/>
      <c r="J63" s="43"/>
      <c r="K63" s="43"/>
      <c r="L63" s="36">
        <f t="shared" si="0"/>
        <v>3</v>
      </c>
    </row>
    <row r="64" spans="2:12" x14ac:dyDescent="0.25">
      <c r="B64" s="11">
        <v>1111082</v>
      </c>
      <c r="C64" s="15" t="s">
        <v>52</v>
      </c>
      <c r="D64" s="30"/>
      <c r="E64" s="30">
        <v>2</v>
      </c>
      <c r="F64" s="30">
        <v>1</v>
      </c>
      <c r="G64" s="30"/>
      <c r="H64" s="30"/>
      <c r="I64" s="30"/>
      <c r="J64" s="43"/>
      <c r="K64" s="43"/>
      <c r="L64" s="36">
        <f t="shared" si="0"/>
        <v>3</v>
      </c>
    </row>
    <row r="65" spans="2:12" x14ac:dyDescent="0.25">
      <c r="B65" s="11">
        <v>1111083</v>
      </c>
      <c r="C65" s="15" t="s">
        <v>53</v>
      </c>
      <c r="D65" s="30"/>
      <c r="E65" s="30">
        <v>2</v>
      </c>
      <c r="F65" s="30">
        <v>1</v>
      </c>
      <c r="G65" s="30"/>
      <c r="H65" s="30"/>
      <c r="I65" s="30"/>
      <c r="J65" s="43"/>
      <c r="K65" s="43"/>
      <c r="L65" s="36">
        <f t="shared" si="0"/>
        <v>3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147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>
        <v>2</v>
      </c>
      <c r="E69" s="30"/>
      <c r="F69" s="30"/>
      <c r="G69" s="30">
        <v>3</v>
      </c>
      <c r="H69" s="30"/>
      <c r="I69" s="30"/>
      <c r="J69" s="43"/>
      <c r="K69" s="43"/>
      <c r="L69" s="36">
        <f t="shared" ref="L69:L76" si="1">SUM(D69:K69)</f>
        <v>5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5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2</v>
      </c>
      <c r="E87" s="30">
        <v>9</v>
      </c>
      <c r="F87" s="30"/>
      <c r="G87" s="30">
        <v>6</v>
      </c>
      <c r="H87" s="30"/>
      <c r="I87" s="30"/>
      <c r="J87" s="43"/>
      <c r="K87" s="43"/>
      <c r="L87" s="36">
        <f t="shared" si="2"/>
        <v>17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17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>
        <v>3</v>
      </c>
      <c r="E90" s="30">
        <v>1</v>
      </c>
      <c r="F90" s="30">
        <v>10</v>
      </c>
      <c r="G90" s="30">
        <v>9</v>
      </c>
      <c r="H90" s="30"/>
      <c r="I90" s="30"/>
      <c r="J90" s="43"/>
      <c r="K90" s="43"/>
      <c r="L90" s="36">
        <f t="shared" ref="L90:L99" si="3">SUM(D90:K90)</f>
        <v>23</v>
      </c>
    </row>
    <row r="91" spans="2:12" x14ac:dyDescent="0.25">
      <c r="B91" s="11">
        <v>1112011</v>
      </c>
      <c r="C91" s="19" t="s">
        <v>76</v>
      </c>
      <c r="D91" s="30">
        <v>5</v>
      </c>
      <c r="E91" s="30"/>
      <c r="F91" s="30">
        <v>14</v>
      </c>
      <c r="G91" s="30">
        <v>9</v>
      </c>
      <c r="H91" s="30"/>
      <c r="I91" s="30"/>
      <c r="J91" s="43"/>
      <c r="K91" s="43"/>
      <c r="L91" s="36">
        <f t="shared" si="3"/>
        <v>28</v>
      </c>
    </row>
    <row r="92" spans="2:12" x14ac:dyDescent="0.25">
      <c r="B92" s="11">
        <v>1112003</v>
      </c>
      <c r="C92" s="19" t="s">
        <v>77</v>
      </c>
      <c r="D92" s="30">
        <v>5</v>
      </c>
      <c r="E92" s="30"/>
      <c r="F92" s="30">
        <v>2</v>
      </c>
      <c r="G92" s="30">
        <v>9</v>
      </c>
      <c r="H92" s="30"/>
      <c r="I92" s="30"/>
      <c r="J92" s="43"/>
      <c r="K92" s="43"/>
      <c r="L92" s="36">
        <f t="shared" si="3"/>
        <v>16</v>
      </c>
    </row>
    <row r="93" spans="2:12" x14ac:dyDescent="0.25">
      <c r="B93" s="11">
        <v>1112005</v>
      </c>
      <c r="C93" s="19" t="s">
        <v>78</v>
      </c>
      <c r="D93" s="30">
        <v>5</v>
      </c>
      <c r="E93" s="30"/>
      <c r="F93" s="30">
        <v>2</v>
      </c>
      <c r="G93" s="30">
        <v>9</v>
      </c>
      <c r="H93" s="30"/>
      <c r="I93" s="30"/>
      <c r="J93" s="43"/>
      <c r="K93" s="43"/>
      <c r="L93" s="36">
        <f t="shared" si="3"/>
        <v>16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4</v>
      </c>
      <c r="E97" s="30"/>
      <c r="F97" s="30">
        <v>2</v>
      </c>
      <c r="G97" s="30">
        <v>9</v>
      </c>
      <c r="H97" s="30"/>
      <c r="I97" s="30"/>
      <c r="J97" s="43"/>
      <c r="K97" s="43"/>
      <c r="L97" s="36">
        <f t="shared" si="3"/>
        <v>15</v>
      </c>
    </row>
    <row r="98" spans="2:12" x14ac:dyDescent="0.25">
      <c r="B98" s="11">
        <v>1112013</v>
      </c>
      <c r="C98" s="19" t="s">
        <v>83</v>
      </c>
      <c r="D98" s="30">
        <v>4</v>
      </c>
      <c r="E98" s="30"/>
      <c r="F98" s="30">
        <v>2</v>
      </c>
      <c r="G98" s="30">
        <v>9</v>
      </c>
      <c r="H98" s="30"/>
      <c r="I98" s="30"/>
      <c r="J98" s="43"/>
      <c r="K98" s="43"/>
      <c r="L98" s="36">
        <f t="shared" si="3"/>
        <v>15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113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>
        <v>16</v>
      </c>
      <c r="E114" s="30"/>
      <c r="F114" s="30"/>
      <c r="G114" s="30">
        <v>1</v>
      </c>
      <c r="H114" s="30"/>
      <c r="I114" s="30"/>
      <c r="J114" s="43"/>
      <c r="K114" s="43"/>
      <c r="L114" s="36">
        <f t="shared" ref="L114:L140" si="5">SUM(D114:K114)</f>
        <v>17</v>
      </c>
    </row>
    <row r="115" spans="2:12" x14ac:dyDescent="0.25">
      <c r="B115" s="11">
        <v>1113171</v>
      </c>
      <c r="C115" s="21" t="s">
        <v>88</v>
      </c>
      <c r="D115" s="30">
        <v>15</v>
      </c>
      <c r="E115" s="30"/>
      <c r="F115" s="30"/>
      <c r="G115" s="30"/>
      <c r="H115" s="30"/>
      <c r="I115" s="30"/>
      <c r="J115" s="43"/>
      <c r="K115" s="43"/>
      <c r="L115" s="36">
        <f t="shared" si="5"/>
        <v>15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>
        <v>50</v>
      </c>
      <c r="E121" s="30"/>
      <c r="F121" s="30"/>
      <c r="G121" s="30"/>
      <c r="H121" s="30"/>
      <c r="I121" s="30"/>
      <c r="J121" s="43"/>
      <c r="K121" s="43"/>
      <c r="L121" s="36">
        <f t="shared" si="5"/>
        <v>50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2</v>
      </c>
      <c r="E123" s="30">
        <v>4</v>
      </c>
      <c r="F123" s="30">
        <v>4</v>
      </c>
      <c r="G123" s="30">
        <v>128</v>
      </c>
      <c r="H123" s="30"/>
      <c r="I123" s="30"/>
      <c r="J123" s="43"/>
      <c r="K123" s="43"/>
      <c r="L123" s="36">
        <f t="shared" si="5"/>
        <v>138</v>
      </c>
    </row>
    <row r="124" spans="2:12" x14ac:dyDescent="0.25">
      <c r="B124" s="11">
        <v>1114502</v>
      </c>
      <c r="C124" s="21" t="s">
        <v>96</v>
      </c>
      <c r="D124" s="30">
        <v>2</v>
      </c>
      <c r="E124" s="30">
        <v>1</v>
      </c>
      <c r="F124" s="30">
        <v>5</v>
      </c>
      <c r="G124" s="30">
        <v>125</v>
      </c>
      <c r="H124" s="30"/>
      <c r="I124" s="30"/>
      <c r="J124" s="43"/>
      <c r="K124" s="43"/>
      <c r="L124" s="36">
        <f t="shared" si="5"/>
        <v>133</v>
      </c>
    </row>
    <row r="125" spans="2:12" x14ac:dyDescent="0.25">
      <c r="B125" s="11">
        <v>1114503</v>
      </c>
      <c r="C125" s="21" t="s">
        <v>97</v>
      </c>
      <c r="D125" s="30">
        <v>1</v>
      </c>
      <c r="E125" s="30">
        <v>1</v>
      </c>
      <c r="F125" s="30">
        <v>5</v>
      </c>
      <c r="G125" s="30">
        <v>120</v>
      </c>
      <c r="H125" s="30"/>
      <c r="I125" s="30"/>
      <c r="J125" s="43"/>
      <c r="K125" s="43"/>
      <c r="L125" s="36">
        <f t="shared" si="5"/>
        <v>127</v>
      </c>
    </row>
    <row r="126" spans="2:12" x14ac:dyDescent="0.25">
      <c r="B126" s="11">
        <v>1124021</v>
      </c>
      <c r="C126" s="21" t="s">
        <v>98</v>
      </c>
      <c r="D126" s="30"/>
      <c r="E126" s="30">
        <v>14</v>
      </c>
      <c r="F126" s="30">
        <v>17</v>
      </c>
      <c r="G126" s="30">
        <v>16</v>
      </c>
      <c r="H126" s="30"/>
      <c r="I126" s="30"/>
      <c r="J126" s="43"/>
      <c r="K126" s="43"/>
      <c r="L126" s="36">
        <f t="shared" si="5"/>
        <v>47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62">
        <v>15</v>
      </c>
      <c r="H142" s="9"/>
      <c r="I142" s="9"/>
      <c r="J142" s="9"/>
      <c r="K142" s="9"/>
      <c r="L142" s="36">
        <f t="shared" si="6"/>
        <v>15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 x14ac:dyDescent="0.25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1" zoomScale="50" zoomScaleNormal="50" workbookViewId="0">
      <selection activeCell="O62" sqref="O62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9" t="s">
        <v>149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2:18" x14ac:dyDescent="0.25">
      <c r="B2" s="80"/>
      <c r="C2" s="81"/>
      <c r="D2" s="1"/>
      <c r="E2" s="82"/>
      <c r="F2" s="82"/>
      <c r="G2" s="2"/>
      <c r="H2" s="2"/>
      <c r="I2" s="2"/>
      <c r="J2" s="2"/>
      <c r="K2" s="2"/>
      <c r="L2" s="2"/>
      <c r="M2" s="3" t="s">
        <v>0</v>
      </c>
      <c r="N2" s="76" t="s">
        <v>127</v>
      </c>
      <c r="O2" s="76" t="s">
        <v>130</v>
      </c>
      <c r="P2" s="76" t="s">
        <v>140</v>
      </c>
      <c r="Q2" s="76" t="s">
        <v>141</v>
      </c>
      <c r="R2" s="84" t="s">
        <v>1</v>
      </c>
    </row>
    <row r="3" spans="2:18" x14ac:dyDescent="0.25">
      <c r="B3" s="80"/>
      <c r="C3" s="81"/>
      <c r="D3" s="4"/>
      <c r="E3" s="83"/>
      <c r="F3" s="83"/>
      <c r="G3" s="5"/>
      <c r="H3" s="5"/>
      <c r="I3" s="5"/>
      <c r="J3" s="72"/>
      <c r="K3" s="41"/>
      <c r="L3" s="41"/>
      <c r="M3" s="6" t="s">
        <v>2</v>
      </c>
      <c r="N3" s="77"/>
      <c r="O3" s="77"/>
      <c r="P3" s="77"/>
      <c r="Q3" s="77"/>
      <c r="R3" s="85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8"/>
      <c r="O4" s="78"/>
      <c r="P4" s="78"/>
      <c r="Q4" s="78"/>
      <c r="R4" s="86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3" t="s">
        <v>11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5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8</v>
      </c>
      <c r="E7" s="30">
        <f>'เย็น '!E7+'เช้า '!E7+บ่าย!E7</f>
        <v>14</v>
      </c>
      <c r="F7" s="30">
        <f>'เย็น '!F7+'เช้า '!F7+บ่าย!F7</f>
        <v>33</v>
      </c>
      <c r="G7" s="30">
        <f>'เย็น '!G7+'เช้า '!G7+บ่าย!G7</f>
        <v>3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3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58</v>
      </c>
      <c r="N7" s="11">
        <v>100</v>
      </c>
      <c r="O7" s="11">
        <v>140</v>
      </c>
      <c r="P7" s="11"/>
      <c r="Q7" s="11">
        <v>100</v>
      </c>
      <c r="R7" s="44">
        <f>(N7+O7+P7+Q7)-M7</f>
        <v>282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0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1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</v>
      </c>
      <c r="N25" s="11">
        <v>10</v>
      </c>
      <c r="O25" s="11">
        <v>14</v>
      </c>
      <c r="P25" s="11"/>
      <c r="Q25" s="11">
        <v>10</v>
      </c>
      <c r="R25" s="44">
        <f t="shared" si="2"/>
        <v>33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3</v>
      </c>
      <c r="F26" s="30">
        <f>'เย็น '!F26+'เช้า '!F26+บ่าย!F26</f>
        <v>1</v>
      </c>
      <c r="G26" s="30">
        <f>'เย็น '!G26+'เช้า '!G26+บ่าย!G26</f>
        <v>54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54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58</v>
      </c>
      <c r="N26" s="11">
        <v>90</v>
      </c>
      <c r="O26" s="11">
        <v>63</v>
      </c>
      <c r="P26" s="11"/>
      <c r="Q26" s="11">
        <v>90</v>
      </c>
      <c r="R26" s="44">
        <f t="shared" si="2"/>
        <v>185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2</v>
      </c>
      <c r="F56" s="30">
        <f>'เย็น '!F56+'เช้า '!F56+บ่าย!F56</f>
        <v>1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3</v>
      </c>
      <c r="N56" s="11"/>
      <c r="O56" s="11"/>
      <c r="P56" s="11"/>
      <c r="Q56" s="11"/>
      <c r="R56" s="44">
        <f t="shared" si="2"/>
        <v>-3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2</v>
      </c>
      <c r="F57" s="30">
        <f>'เย็น '!F57+'เช้า '!F57+บ่าย!F57</f>
        <v>1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3</v>
      </c>
      <c r="N57" s="11"/>
      <c r="O57" s="11"/>
      <c r="P57" s="11"/>
      <c r="Q57" s="11"/>
      <c r="R57" s="44">
        <f t="shared" si="2"/>
        <v>-3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2</v>
      </c>
      <c r="F58" s="30">
        <f>'เย็น '!F58+'เช้า '!F58+บ่าย!F58</f>
        <v>1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3</v>
      </c>
      <c r="N58" s="11"/>
      <c r="O58" s="11"/>
      <c r="P58" s="11"/>
      <c r="Q58" s="11"/>
      <c r="R58" s="44">
        <f t="shared" si="2"/>
        <v>-3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2</v>
      </c>
      <c r="F59" s="30">
        <f>'เย็น '!F59+'เช้า '!F59+บ่าย!F59</f>
        <v>1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3</v>
      </c>
      <c r="N59" s="11"/>
      <c r="O59" s="11"/>
      <c r="P59" s="11"/>
      <c r="Q59" s="11"/>
      <c r="R59" s="44">
        <f t="shared" si="2"/>
        <v>-3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2</v>
      </c>
      <c r="F60" s="30">
        <f>'เย็น '!F60+'เช้า '!F60+บ่าย!F60</f>
        <v>1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3</v>
      </c>
      <c r="N60" s="11"/>
      <c r="O60" s="11"/>
      <c r="P60" s="11"/>
      <c r="Q60" s="11"/>
      <c r="R60" s="44">
        <f t="shared" si="2"/>
        <v>-3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2</v>
      </c>
      <c r="F61" s="30">
        <f>'เย็น '!F61+'เช้า '!F61+บ่าย!F61</f>
        <v>1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3</v>
      </c>
      <c r="N61" s="11"/>
      <c r="O61" s="11"/>
      <c r="P61" s="11"/>
      <c r="Q61" s="11"/>
      <c r="R61" s="44">
        <f t="shared" si="2"/>
        <v>-3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2</v>
      </c>
      <c r="F62" s="30">
        <f>'เย็น '!F62+'เช้า '!F62+บ่าย!F62</f>
        <v>1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3</v>
      </c>
      <c r="N62" s="11"/>
      <c r="O62" s="11"/>
      <c r="P62" s="11"/>
      <c r="Q62" s="11"/>
      <c r="R62" s="44">
        <f t="shared" si="2"/>
        <v>-3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2</v>
      </c>
      <c r="F63" s="30">
        <f>'เย็น '!F63+'เช้า '!F63+บ่าย!F63</f>
        <v>1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3</v>
      </c>
      <c r="N63" s="11"/>
      <c r="O63" s="11"/>
      <c r="P63" s="11"/>
      <c r="Q63" s="11"/>
      <c r="R63" s="44">
        <f t="shared" si="2"/>
        <v>-3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2</v>
      </c>
      <c r="F64" s="30">
        <f>'เย็น '!F64+'เช้า '!F64+บ่าย!F64</f>
        <v>1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3</v>
      </c>
      <c r="N64" s="11"/>
      <c r="O64" s="11"/>
      <c r="P64" s="11"/>
      <c r="Q64" s="11"/>
      <c r="R64" s="44">
        <f t="shared" si="2"/>
        <v>-3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2</v>
      </c>
      <c r="F65" s="30">
        <f>'เย็น '!F65+'เช้า '!F65+บ่าย!F65</f>
        <v>1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3</v>
      </c>
      <c r="N65" s="11"/>
      <c r="O65" s="11"/>
      <c r="P65" s="11"/>
      <c r="Q65" s="11"/>
      <c r="R65" s="44">
        <f t="shared" si="2"/>
        <v>-3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3" t="s">
        <v>55</v>
      </c>
      <c r="C68" s="74"/>
      <c r="D68" s="74"/>
      <c r="E68" s="74"/>
      <c r="F68" s="74"/>
      <c r="G68" s="74"/>
      <c r="H68" s="74"/>
      <c r="I68" s="74"/>
      <c r="J68" s="30">
        <f t="shared" si="0"/>
        <v>0</v>
      </c>
      <c r="K68" s="74"/>
      <c r="L68" s="74"/>
      <c r="M68" s="36">
        <f t="shared" si="1"/>
        <v>0</v>
      </c>
      <c r="N68" s="74"/>
      <c r="O68" s="74"/>
      <c r="P68" s="74"/>
      <c r="Q68" s="74"/>
      <c r="R68" s="75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0</v>
      </c>
      <c r="F69" s="30">
        <f>'เย็น '!F69+'เช้า '!F69+บ่าย!F69</f>
        <v>0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3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5</v>
      </c>
      <c r="N69" s="11">
        <v>15</v>
      </c>
      <c r="O69" s="11">
        <v>44</v>
      </c>
      <c r="P69" s="11"/>
      <c r="Q69" s="11">
        <v>15</v>
      </c>
      <c r="R69" s="44">
        <f t="shared" ref="R69:R76" si="4">(N69+O69+P69+Q69)-M69</f>
        <v>69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3" t="s">
        <v>64</v>
      </c>
      <c r="C78" s="74"/>
      <c r="D78" s="74"/>
      <c r="E78" s="74"/>
      <c r="F78" s="74"/>
      <c r="G78" s="74"/>
      <c r="H78" s="74"/>
      <c r="I78" s="74"/>
      <c r="J78" s="30">
        <f t="shared" si="5"/>
        <v>0</v>
      </c>
      <c r="K78" s="74"/>
      <c r="L78" s="74"/>
      <c r="M78" s="36">
        <f t="shared" si="6"/>
        <v>0</v>
      </c>
      <c r="N78" s="74"/>
      <c r="O78" s="74"/>
      <c r="P78" s="74"/>
      <c r="Q78" s="74"/>
      <c r="R78" s="75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2</v>
      </c>
      <c r="E87" s="30">
        <f>'เย็น '!E87+'เช้า '!E87+บ่าย!E87</f>
        <v>9</v>
      </c>
      <c r="F87" s="30">
        <f>'เย็น '!F87+'เช้า '!F87+บ่าย!F87</f>
        <v>0</v>
      </c>
      <c r="G87" s="30">
        <f>'เย็น '!G87+'เช้า '!G87+บ่าย!G87</f>
        <v>6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6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17</v>
      </c>
      <c r="N87" s="11">
        <v>80</v>
      </c>
      <c r="O87" s="11">
        <v>74</v>
      </c>
      <c r="P87" s="11"/>
      <c r="Q87" s="11">
        <v>80</v>
      </c>
      <c r="R87" s="44">
        <f t="shared" si="8"/>
        <v>217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3" t="s">
        <v>74</v>
      </c>
      <c r="C89" s="74"/>
      <c r="D89" s="74"/>
      <c r="E89" s="74"/>
      <c r="F89" s="74"/>
      <c r="G89" s="74"/>
      <c r="H89" s="74"/>
      <c r="I89" s="74"/>
      <c r="J89" s="30">
        <f t="shared" si="5"/>
        <v>0</v>
      </c>
      <c r="K89" s="74"/>
      <c r="L89" s="74"/>
      <c r="M89" s="36">
        <f t="shared" si="6"/>
        <v>0</v>
      </c>
      <c r="N89" s="74"/>
      <c r="O89" s="74"/>
      <c r="P89" s="74"/>
      <c r="Q89" s="74"/>
      <c r="R89" s="75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3</v>
      </c>
      <c r="E90" s="30">
        <f>'เย็น '!E90+'เช้า '!E90+บ่าย!E90</f>
        <v>1</v>
      </c>
      <c r="F90" s="30">
        <f>'เย็น '!F90+'เช้า '!F90+บ่าย!F90</f>
        <v>10</v>
      </c>
      <c r="G90" s="30">
        <f>'เย็น '!G90+'เช้า '!G90+บ่าย!G90</f>
        <v>9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9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23</v>
      </c>
      <c r="N90" s="11">
        <v>55</v>
      </c>
      <c r="O90" s="11">
        <v>72</v>
      </c>
      <c r="P90" s="11"/>
      <c r="Q90" s="11">
        <v>50</v>
      </c>
      <c r="R90" s="44">
        <f t="shared" ref="R90:R100" si="9">(N90+O90+P90+Q90)-M90</f>
        <v>154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5</v>
      </c>
      <c r="E91" s="30">
        <f>'เย็น '!E91+'เช้า '!E91+บ่าย!E91</f>
        <v>0</v>
      </c>
      <c r="F91" s="30">
        <f>'เย็น '!F91+'เช้า '!F91+บ่าย!F91</f>
        <v>14</v>
      </c>
      <c r="G91" s="30">
        <f>'เย็น '!G91+'เช้า '!G91+บ่าย!G91</f>
        <v>9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9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28</v>
      </c>
      <c r="N91" s="11">
        <v>55</v>
      </c>
      <c r="O91" s="11">
        <v>47</v>
      </c>
      <c r="P91" s="11"/>
      <c r="Q91" s="11">
        <v>50</v>
      </c>
      <c r="R91" s="44">
        <f t="shared" si="9"/>
        <v>124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5</v>
      </c>
      <c r="E92" s="30">
        <f>'เย็น '!E92+'เช้า '!E92+บ่าย!E92</f>
        <v>0</v>
      </c>
      <c r="F92" s="30">
        <f>'เย็น '!F92+'เช้า '!F92+บ่าย!F92</f>
        <v>2</v>
      </c>
      <c r="G92" s="30">
        <f>'เย็น '!G92+'เช้า '!G92+บ่าย!G92</f>
        <v>9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9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16</v>
      </c>
      <c r="N92" s="11">
        <v>61</v>
      </c>
      <c r="O92" s="11">
        <v>65</v>
      </c>
      <c r="P92" s="11"/>
      <c r="Q92" s="11">
        <v>50</v>
      </c>
      <c r="R92" s="44">
        <f t="shared" si="9"/>
        <v>160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5</v>
      </c>
      <c r="E93" s="30">
        <f>'เย็น '!E93+'เช้า '!E93+บ่าย!E93</f>
        <v>0</v>
      </c>
      <c r="F93" s="30">
        <f>'เย็น '!F93+'เช้า '!F93+บ่าย!F93</f>
        <v>2</v>
      </c>
      <c r="G93" s="30">
        <f>'เย็น '!G93+'เช้า '!G93+บ่าย!G93</f>
        <v>9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9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16</v>
      </c>
      <c r="N93" s="11">
        <v>56</v>
      </c>
      <c r="O93" s="11">
        <v>86</v>
      </c>
      <c r="P93" s="11"/>
      <c r="Q93" s="11">
        <v>50</v>
      </c>
      <c r="R93" s="44">
        <f t="shared" si="9"/>
        <v>176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4</v>
      </c>
      <c r="E97" s="30">
        <f>'เย็น '!E97+'เช้า '!E97+บ่าย!E97</f>
        <v>0</v>
      </c>
      <c r="F97" s="30">
        <f>'เย็น '!F97+'เช้า '!F97+บ่าย!F97</f>
        <v>2</v>
      </c>
      <c r="G97" s="30">
        <f>'เย็น '!G97+'เช้า '!G97+บ่าย!G97</f>
        <v>9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9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15</v>
      </c>
      <c r="N97" s="11">
        <v>54</v>
      </c>
      <c r="O97" s="11">
        <v>86</v>
      </c>
      <c r="P97" s="11"/>
      <c r="Q97" s="11">
        <v>50</v>
      </c>
      <c r="R97" s="44">
        <f t="shared" si="9"/>
        <v>175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4</v>
      </c>
      <c r="E98" s="30">
        <f>'เย็น '!E98+'เช้า '!E98+บ่าย!E98</f>
        <v>0</v>
      </c>
      <c r="F98" s="30">
        <f>'เย็น '!F98+'เช้า '!F98+บ่าย!F98</f>
        <v>2</v>
      </c>
      <c r="G98" s="30">
        <f>'เย็น '!G98+'เช้า '!G98+บ่าย!G98</f>
        <v>9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9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15</v>
      </c>
      <c r="N98" s="11">
        <v>100</v>
      </c>
      <c r="O98" s="11">
        <v>39</v>
      </c>
      <c r="P98" s="11"/>
      <c r="Q98" s="11">
        <v>50</v>
      </c>
      <c r="R98" s="44">
        <f t="shared" si="9"/>
        <v>174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381</v>
      </c>
      <c r="O100" s="11">
        <f>SUM(O90:O99)</f>
        <v>395</v>
      </c>
      <c r="P100" s="11">
        <f>SUM(P90:P99)</f>
        <v>0</v>
      </c>
      <c r="Q100" s="11">
        <f>SUM(Q90:Q99)</f>
        <v>300</v>
      </c>
      <c r="R100" s="44">
        <f t="shared" si="9"/>
        <v>1076</v>
      </c>
    </row>
    <row r="101" spans="2:18" x14ac:dyDescent="0.25">
      <c r="B101" s="73" t="s">
        <v>85</v>
      </c>
      <c r="C101" s="74"/>
      <c r="D101" s="74"/>
      <c r="E101" s="74"/>
      <c r="F101" s="74"/>
      <c r="G101" s="74"/>
      <c r="H101" s="74"/>
      <c r="I101" s="74"/>
      <c r="J101" s="30">
        <f t="shared" si="5"/>
        <v>0</v>
      </c>
      <c r="K101" s="74"/>
      <c r="L101" s="74"/>
      <c r="M101" s="36">
        <f t="shared" si="6"/>
        <v>0</v>
      </c>
      <c r="N101" s="74"/>
      <c r="O101" s="74"/>
      <c r="P101" s="74"/>
      <c r="Q101" s="74"/>
      <c r="R101" s="75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3" t="s">
        <v>86</v>
      </c>
      <c r="C113" s="74"/>
      <c r="D113" s="74"/>
      <c r="E113" s="74"/>
      <c r="F113" s="74"/>
      <c r="G113" s="74"/>
      <c r="H113" s="74"/>
      <c r="I113" s="74"/>
      <c r="J113" s="30">
        <f t="shared" si="5"/>
        <v>0</v>
      </c>
      <c r="K113" s="74"/>
      <c r="L113" s="74"/>
      <c r="M113" s="36">
        <f t="shared" si="6"/>
        <v>0</v>
      </c>
      <c r="N113" s="74"/>
      <c r="O113" s="74"/>
      <c r="P113" s="74"/>
      <c r="Q113" s="74"/>
      <c r="R113" s="75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16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1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1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17</v>
      </c>
      <c r="N114" s="11">
        <v>50</v>
      </c>
      <c r="O114" s="11">
        <v>25</v>
      </c>
      <c r="P114" s="11"/>
      <c r="Q114" s="11"/>
      <c r="R114" s="44">
        <f t="shared" ref="R114:R151" si="11">(N114+O114+P114+Q114)-M114</f>
        <v>58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15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15</v>
      </c>
      <c r="N115" s="11">
        <v>40</v>
      </c>
      <c r="O115" s="11">
        <v>22</v>
      </c>
      <c r="P115" s="11"/>
      <c r="Q115" s="11"/>
      <c r="R115" s="44">
        <f t="shared" si="11"/>
        <v>47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/>
      <c r="O120" s="11"/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50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50</v>
      </c>
      <c r="N121" s="11"/>
      <c r="O121" s="11"/>
      <c r="P121" s="11">
        <v>50</v>
      </c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2</v>
      </c>
      <c r="E123" s="30">
        <f>บ่าย!E123+'เช้า '!E123+'เย็น '!E123</f>
        <v>4</v>
      </c>
      <c r="F123" s="30">
        <f>บ่าย!F123+'เช้า '!F123+'เย็น '!F123</f>
        <v>4</v>
      </c>
      <c r="G123" s="30">
        <f>บ่าย!G123+'เช้า '!G123+'เย็น '!G123</f>
        <v>128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 t="shared" si="5"/>
        <v>128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138</v>
      </c>
      <c r="N123" s="11"/>
      <c r="O123" s="11">
        <v>5</v>
      </c>
      <c r="P123" s="11">
        <v>133</v>
      </c>
      <c r="Q123" s="11"/>
      <c r="R123" s="44">
        <f t="shared" si="11"/>
        <v>0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2</v>
      </c>
      <c r="E124" s="30">
        <f>บ่าย!E124+'เช้า '!E124+'เย็น '!E124</f>
        <v>1</v>
      </c>
      <c r="F124" s="30">
        <f>บ่าย!F124+'เช้า '!F124+'เย็น '!F124</f>
        <v>5</v>
      </c>
      <c r="G124" s="30">
        <f>บ่าย!G124+'เช้า '!G124+'เย็น '!G124</f>
        <v>125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 t="shared" si="5"/>
        <v>125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133</v>
      </c>
      <c r="N124" s="11">
        <v>83</v>
      </c>
      <c r="O124" s="11"/>
      <c r="P124" s="11">
        <v>50</v>
      </c>
      <c r="Q124" s="11"/>
      <c r="R124" s="44">
        <f t="shared" si="11"/>
        <v>0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1</v>
      </c>
      <c r="E125" s="30">
        <f>บ่าย!E125+'เช้า '!E125+'เย็น '!E125</f>
        <v>1</v>
      </c>
      <c r="F125" s="30">
        <f>บ่าย!F125+'เช้า '!F125+'เย็น '!F125</f>
        <v>5</v>
      </c>
      <c r="G125" s="30">
        <f>บ่าย!G125+'เช้า '!G125+'เย็น '!G125</f>
        <v>120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 t="shared" si="5"/>
        <v>120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127</v>
      </c>
      <c r="N125" s="11"/>
      <c r="O125" s="11"/>
      <c r="P125" s="11">
        <v>127</v>
      </c>
      <c r="Q125" s="11"/>
      <c r="R125" s="44">
        <f t="shared" si="11"/>
        <v>0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14</v>
      </c>
      <c r="F126" s="30">
        <f>บ่าย!F126+'เช้า '!F126+'เย็น '!F126</f>
        <v>17</v>
      </c>
      <c r="G126" s="30">
        <f>บ่าย!G126+'เช้า '!G126+'เย็น '!G126</f>
        <v>16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16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47</v>
      </c>
      <c r="N126" s="11">
        <v>40</v>
      </c>
      <c r="O126" s="11">
        <v>12</v>
      </c>
      <c r="P126" s="11"/>
      <c r="Q126" s="11">
        <v>40</v>
      </c>
      <c r="R126" s="44">
        <f t="shared" si="11"/>
        <v>45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>
        <f t="shared" si="11"/>
        <v>0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15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15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15</v>
      </c>
      <c r="N142" s="11"/>
      <c r="O142" s="11">
        <v>15</v>
      </c>
      <c r="P142" s="11"/>
      <c r="Q142" s="11"/>
      <c r="R142" s="44">
        <f t="shared" si="11"/>
        <v>0</v>
      </c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>
        <v>20</v>
      </c>
      <c r="P143" s="11"/>
      <c r="Q143" s="11"/>
      <c r="R143" s="44">
        <f t="shared" si="11"/>
        <v>20</v>
      </c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>
        <f t="shared" si="11"/>
        <v>0</v>
      </c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>
        <f t="shared" si="11"/>
        <v>0</v>
      </c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>
        <f t="shared" si="11"/>
        <v>0</v>
      </c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>
        <f t="shared" si="11"/>
        <v>0</v>
      </c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124</v>
      </c>
      <c r="E152" s="60">
        <f t="shared" ref="E152:R152" si="14">SUM(E114:E151,E90:E99,E79:E87,E69:E76,E7:E66,E102:E111)</f>
        <v>67</v>
      </c>
      <c r="F152" s="60">
        <f t="shared" si="14"/>
        <v>107</v>
      </c>
      <c r="G152" s="60">
        <f t="shared" si="14"/>
        <v>526</v>
      </c>
      <c r="H152" s="60">
        <f t="shared" si="14"/>
        <v>0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0</v>
      </c>
      <c r="M152" s="60">
        <f t="shared" si="14"/>
        <v>824</v>
      </c>
      <c r="N152" s="60">
        <f t="shared" si="14"/>
        <v>889</v>
      </c>
      <c r="O152" s="60">
        <f t="shared" si="14"/>
        <v>829</v>
      </c>
      <c r="P152" s="60">
        <f t="shared" si="14"/>
        <v>360</v>
      </c>
      <c r="Q152" s="60">
        <f t="shared" si="14"/>
        <v>635</v>
      </c>
      <c r="R152" s="60">
        <f t="shared" si="14"/>
        <v>1889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2025-07-15T00:36:14Z</cp:lastPrinted>
  <dcterms:created xsi:type="dcterms:W3CDTF">2024-04-30T05:21:27Z</dcterms:created>
  <dcterms:modified xsi:type="dcterms:W3CDTF">2025-07-16T09:03:27Z</dcterms:modified>
</cp:coreProperties>
</file>