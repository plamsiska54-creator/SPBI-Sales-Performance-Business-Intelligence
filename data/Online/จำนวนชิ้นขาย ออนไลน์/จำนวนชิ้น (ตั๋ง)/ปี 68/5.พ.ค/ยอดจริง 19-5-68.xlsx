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84540693-530C-4923-8DBD-407853C15814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<sst xmlns="http://schemas.openxmlformats.org/spreadsheetml/2006/main" count="618" uniqueCount="147">
  <si>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</si>
  <si>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</si>
  <si>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</si>
  <si>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</si>
  <si>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</si>
  <si>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</si>
  <si>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</si>
  <si>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</si>
  <si>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</si>
  <si>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</si>
  <si>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</si>
  <si>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</si>
  <si>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</si>
  <si>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</si>
  <si>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</si>
  <si>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</si>
  <si>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</si>
  <si>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</si>
  <si>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</si>
  <si>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</si>
  <si>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</si>
  <si>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</si>
  <si>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</si>
  <si>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</si>
  <si>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</si>
  <si>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</si>
  <si>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</si>
  <si>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</si>
  <si>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</si>
  <si>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</si>
  <si>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</si>
  <si>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</si>
  <si>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</si>
  <si>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</si>
  <si>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</si>
  <si>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</si>
  <si>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</si>
  <si>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</si>
  <si>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</si>
  <si>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</si>
  <si>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</si>
  <si>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</si>
  <si>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</si>
  <si>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</si>
  <si>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</si>
  <si>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</si>
  <si>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</si>
  <si>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</si>
  <si>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</si>
  <si>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</si>
  <si>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</si>
  <si>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</si>
  <si>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</si>
  <si>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</si>
  <si>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</si>
  <si>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</si>
  <si>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</si>
  <si>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</si>
  <si>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</si>
  <si>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</si>
  <si>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</si>
  <si>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</si>
  <si>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</si>
  <si>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</si>
  <si>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</si>
  <si>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</si>
  <si>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</si>
  <si>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</si>
  <si>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</si>
  <si>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</si>
  <si>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</si>
  <si>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</si>
  <si>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</si>
  <si>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</si>
  <si>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</si>
  <si>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</si>
  <si>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</si>
  <si>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</si>
  <si>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</si>
  <si>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</si>
  <si>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</si>
  <si>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</si>
  <si>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</si>
  <si>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</si>
  <si>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</si>
  <si>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</si>
  <si>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</si>
  <si>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</si>
  <si>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</si>
  <si>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</si>
  <si>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</si>
  <si>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</si>
  <si>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</si>
  <si>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</si>
  <si>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</si>
  <si>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</si>
  <si>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</si>
  <si>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</si>
  <si>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</si>
  <si>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</si>
  <si>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</si>
  <si>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</si>
  <si>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</si>
  <si>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</si>
  <si>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</si>
  <si>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</si>
  <si>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</si>
  <si>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</si>
  <si>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</si>
  <si>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</si>
  <si>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</si>
  <si>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</si>
  <si>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</si>
  <si>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</si>
  <si>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</si>
  <si>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</si>
  <si>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</si>
  <si>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</si>
  <si>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</si>
  <si>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</si>
  <si>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</si>
  <si>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</si>
  <si>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</si>
  <si>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</si>
  <si>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</si>
  <si>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</si>
  <si>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</si>
  <si>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</si>
  <si>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</si>
  <si>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</si>
  <si>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</si>
  <si>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</si>
  <si>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</si>
  <si>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</si>
  <si>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</si>
  <si>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</si>
  <si>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</si>
  <si>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</si>
  <si>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</si>
  <si>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</si>
  <si>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</si>
  <si>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</si>
  <si>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</si>
  <si>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</si>
  <si>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19/5/68  รวม</t>
  </si>
  <si>
    <t>ยอดจริง ออนไลน์ วันที่  19/5/68 เช้า</t>
  </si>
  <si>
    <t xml:space="preserve">แยกชิ้นทำเมโม่ไว้ให้แล้วนะคะ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</si>
</sst>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M161"/>
  <sheetViews>
    <sheetView topLeftCell="A109" zoomScale="60" zoomScaleNormal="60" workbookViewId="0">
      <selection activeCell="B1" sqref="B1:M14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36.285156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3</v>
      </c>
      <c r="E7" s="30">
        <v>30</v>
      </c>
      <c r="F7" s="30">
        <v>5</v>
      </c>
      <c r="G7" s="30"/>
      <c r="H7" s="30">
        <v>3</v>
      </c>
      <c r="I7" s="30">
        <v>1</v>
      </c>
      <c r="J7" s="43"/>
      <c r="K7" s="43"/>
      <c r="L7" s="36">
        <f>SUM(D7:K7)</f>
        <v>42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</v>
      </c>
      <c r="E25" s="30"/>
      <c r="F25" s="30"/>
      <c r="G25" s="30">
        <v>2</v>
      </c>
      <c r="H25" s="30">
        <v>1</v>
      </c>
      <c r="I25" s="30">
        <v>1</v>
      </c>
      <c r="J25" s="43"/>
      <c r="K25" s="43">
        <v>10</v>
      </c>
      <c r="L25" s="36">
        <f t="shared" si="0"/>
        <v>17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27</v>
      </c>
      <c r="H26" s="30">
        <v>9</v>
      </c>
      <c r="I26" s="30">
        <v>27</v>
      </c>
      <c r="J26" s="43"/>
      <c r="K26" s="43"/>
      <c r="L26" s="36">
        <f t="shared" si="0"/>
        <v>63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2</v>
      </c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/>
      <c r="F41" s="30">
        <v>2</v>
      </c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/>
      <c r="F42" s="30">
        <v>2</v>
      </c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/>
      <c r="F43" s="30">
        <v>2</v>
      </c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/>
      <c r="F44" s="30">
        <v>2</v>
      </c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/>
      <c r="F45" s="30">
        <v>2</v>
      </c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/>
      <c r="F46" s="30">
        <v>2</v>
      </c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/>
      <c r="F47" s="30">
        <v>1</v>
      </c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/>
      <c r="F48" s="30">
        <v>1</v>
      </c>
      <c r="G48" s="30"/>
      <c r="H48" s="30"/>
      <c r="I48" s="30"/>
      <c r="J48" s="43"/>
      <c r="K48" s="43"/>
      <c r="L48" s="36">
        <f t="shared" si="0"/>
        <v>1</v>
      </c>
    </row>
    <row r="49" spans="2:13">
      <c r="B49" s="11">
        <v>1111066</v>
      </c>
      <c r="C49" s="15" t="s">
        <v>39</v>
      </c>
      <c r="D49" s="30"/>
      <c r="E49" s="30"/>
      <c r="F49" s="30">
        <v>1</v>
      </c>
      <c r="G49" s="30"/>
      <c r="H49" s="30"/>
      <c r="I49" s="30"/>
      <c r="J49" s="43"/>
      <c r="K49" s="43"/>
      <c r="L49" s="36">
        <f t="shared" si="0"/>
        <v>1</v>
      </c>
    </row>
    <row r="50" spans="2:13">
      <c r="B50" s="11">
        <v>1111067</v>
      </c>
      <c r="C50" s="15" t="s">
        <v>40</v>
      </c>
      <c r="D50" s="30"/>
      <c r="E50" s="30"/>
      <c r="F50" s="30">
        <v>1</v>
      </c>
      <c r="G50" s="30"/>
      <c r="H50" s="30"/>
      <c r="I50" s="30"/>
      <c r="J50" s="43"/>
      <c r="K50" s="43"/>
      <c r="L50" s="36">
        <f t="shared" si="0"/>
        <v>1</v>
      </c>
    </row>
    <row r="51" spans="2:13">
      <c r="B51" s="11">
        <v>1111068</v>
      </c>
      <c r="C51" s="15" t="s">
        <v>41</v>
      </c>
      <c r="D51" s="30"/>
      <c r="E51" s="30"/>
      <c r="F51" s="30">
        <v>1</v>
      </c>
      <c r="G51" s="30"/>
      <c r="H51" s="30"/>
      <c r="I51" s="30"/>
      <c r="J51" s="43"/>
      <c r="K51" s="43"/>
      <c r="L51" s="36">
        <f t="shared" si="0"/>
        <v>1</v>
      </c>
    </row>
    <row r="52" spans="2:13">
      <c r="B52" s="11">
        <v>1111069</v>
      </c>
      <c r="C52" s="15" t="s">
        <v>42</v>
      </c>
      <c r="D52" s="30"/>
      <c r="E52" s="30"/>
      <c r="F52" s="30">
        <v>1</v>
      </c>
      <c r="G52" s="30"/>
      <c r="H52" s="30"/>
      <c r="I52" s="30"/>
      <c r="J52" s="43"/>
      <c r="K52" s="43"/>
      <c r="L52" s="36">
        <f t="shared" si="0"/>
        <v>1</v>
      </c>
    </row>
    <row r="53" spans="2:13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3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3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3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>
        <v>40</v>
      </c>
      <c r="L56" s="36">
        <f t="shared" si="0"/>
        <v>40</v>
      </c>
      <c r="M56" s="45" t="s">
        <v>146</v>
      </c>
    </row>
    <row r="57" spans="2:13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>
        <v>40</v>
      </c>
      <c r="L57" s="36">
        <f t="shared" si="0"/>
        <v>40</v>
      </c>
    </row>
    <row r="58" spans="2:13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>
        <v>40</v>
      </c>
      <c r="L58" s="36">
        <f t="shared" si="0"/>
        <v>40</v>
      </c>
    </row>
    <row r="59" spans="2:13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>
        <v>40</v>
      </c>
      <c r="L59" s="36">
        <f t="shared" si="0"/>
        <v>40</v>
      </c>
    </row>
    <row r="60" spans="2:13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>
        <v>40</v>
      </c>
      <c r="L60" s="36">
        <f t="shared" si="0"/>
        <v>40</v>
      </c>
    </row>
    <row r="61" spans="2:13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>
        <v>40</v>
      </c>
      <c r="L61" s="36">
        <f t="shared" si="0"/>
        <v>40</v>
      </c>
    </row>
    <row r="62" spans="2:13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>
        <v>40</v>
      </c>
      <c r="L62" s="36">
        <f t="shared" si="0"/>
        <v>40</v>
      </c>
    </row>
    <row r="63" spans="2:13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3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422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5</v>
      </c>
      <c r="E69" s="30">
        <v>1</v>
      </c>
      <c r="F69" s="30"/>
      <c r="G69" s="30">
        <v>3</v>
      </c>
      <c r="H69" s="30">
        <v>1</v>
      </c>
      <c r="I69" s="30">
        <v>1</v>
      </c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10</v>
      </c>
      <c r="E71" s="30"/>
      <c r="F71" s="30"/>
      <c r="G71" s="30"/>
      <c r="H71" s="30"/>
      <c r="I71" s="30"/>
      <c r="J71" s="43"/>
      <c r="K71" s="43"/>
      <c r="L71" s="36">
        <f t="shared" si="1"/>
        <v>10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6</v>
      </c>
      <c r="F87" s="30"/>
      <c r="G87" s="30">
        <v>39</v>
      </c>
      <c r="H87" s="30">
        <v>36</v>
      </c>
      <c r="I87" s="30">
        <v>42</v>
      </c>
      <c r="J87" s="43"/>
      <c r="K87" s="43"/>
      <c r="L87" s="36">
        <f t="shared" si="2"/>
        <v>123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</v>
      </c>
      <c r="E90" s="30"/>
      <c r="F90" s="30"/>
      <c r="G90" s="30">
        <v>21</v>
      </c>
      <c r="H90" s="30">
        <v>17</v>
      </c>
      <c r="I90" s="30">
        <v>10</v>
      </c>
      <c r="J90" s="43"/>
      <c r="K90" s="43"/>
      <c r="L90" s="36">
        <f t="shared" ref="L90:L99" si="3">SUM(D90:K90)</f>
        <v>50</v>
      </c>
    </row>
    <row r="91" spans="2:12">
      <c r="B91" s="11">
        <v>1112011</v>
      </c>
      <c r="C91" s="19" t="s">
        <v>76</v>
      </c>
      <c r="D91" s="30">
        <v>2</v>
      </c>
      <c r="E91" s="30"/>
      <c r="F91" s="30">
        <v>2</v>
      </c>
      <c r="G91" s="30">
        <v>21</v>
      </c>
      <c r="H91" s="30">
        <v>16</v>
      </c>
      <c r="I91" s="30">
        <v>10</v>
      </c>
      <c r="J91" s="43"/>
      <c r="K91" s="43"/>
      <c r="L91" s="36">
        <f t="shared" si="3"/>
        <v>51</v>
      </c>
    </row>
    <row r="92" spans="2:12">
      <c r="B92" s="11">
        <v>1112003</v>
      </c>
      <c r="C92" s="19" t="s">
        <v>77</v>
      </c>
      <c r="D92" s="30"/>
      <c r="E92" s="30">
        <v>1</v>
      </c>
      <c r="F92" s="30"/>
      <c r="G92" s="30">
        <v>12</v>
      </c>
      <c r="H92" s="30">
        <v>17</v>
      </c>
      <c r="I92" s="30">
        <v>15</v>
      </c>
      <c r="J92" s="43"/>
      <c r="K92" s="43"/>
      <c r="L92" s="36">
        <f t="shared" si="3"/>
        <v>45</v>
      </c>
    </row>
    <row r="93" spans="2:12">
      <c r="B93" s="11">
        <v>1112005</v>
      </c>
      <c r="C93" s="19" t="s">
        <v>78</v>
      </c>
      <c r="D93" s="30"/>
      <c r="E93" s="30">
        <v>1</v>
      </c>
      <c r="F93" s="30"/>
      <c r="G93" s="30">
        <v>31</v>
      </c>
      <c r="H93" s="30">
        <v>17</v>
      </c>
      <c r="I93" s="30">
        <v>21</v>
      </c>
      <c r="J93" s="43"/>
      <c r="K93" s="43"/>
      <c r="L93" s="36">
        <f t="shared" si="3"/>
        <v>70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1</v>
      </c>
      <c r="F97" s="30"/>
      <c r="G97" s="30">
        <v>31</v>
      </c>
      <c r="H97" s="30">
        <v>16</v>
      </c>
      <c r="I97" s="30">
        <v>21</v>
      </c>
      <c r="J97" s="43"/>
      <c r="K97" s="43"/>
      <c r="L97" s="36">
        <f t="shared" si="3"/>
        <v>70</v>
      </c>
    </row>
    <row r="98" spans="2:12">
      <c r="B98" s="11">
        <v>1112013</v>
      </c>
      <c r="C98" s="19" t="s">
        <v>83</v>
      </c>
      <c r="D98" s="30">
        <v>2</v>
      </c>
      <c r="E98" s="30"/>
      <c r="F98" s="30"/>
      <c r="G98" s="30">
        <v>11</v>
      </c>
      <c r="H98" s="30">
        <v>16</v>
      </c>
      <c r="I98" s="30">
        <v>16</v>
      </c>
      <c r="J98" s="43"/>
      <c r="K98" s="43"/>
      <c r="L98" s="36">
        <f t="shared" si="3"/>
        <v>45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331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11</v>
      </c>
      <c r="E114" s="30"/>
      <c r="F114" s="30"/>
      <c r="G114" s="30"/>
      <c r="H114" s="30">
        <v>1</v>
      </c>
      <c r="I114" s="30">
        <v>1</v>
      </c>
      <c r="J114" s="43"/>
      <c r="K114" s="43"/>
      <c r="L114" s="36">
        <f t="shared" ref="L114:L140" si="5">SUM(D114:K114)</f>
        <v>13</v>
      </c>
    </row>
    <row r="115" spans="2:12">
      <c r="B115" s="11">
        <v>1113171</v>
      </c>
      <c r="C115" s="21" t="s">
        <v>88</v>
      </c>
      <c r="D115" s="30">
        <v>11</v>
      </c>
      <c r="E115" s="30"/>
      <c r="F115" s="30">
        <v>1</v>
      </c>
      <c r="G115" s="30">
        <v>5</v>
      </c>
      <c r="H115" s="30"/>
      <c r="I115" s="30"/>
      <c r="J115" s="43"/>
      <c r="K115" s="43"/>
      <c r="L115" s="36">
        <f t="shared" si="5"/>
        <v>17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11</v>
      </c>
      <c r="E123" s="30">
        <v>5</v>
      </c>
      <c r="F123" s="30">
        <v>3</v>
      </c>
      <c r="G123" s="30">
        <v>251</v>
      </c>
      <c r="H123" s="30">
        <v>253</v>
      </c>
      <c r="I123" s="30">
        <v>146</v>
      </c>
      <c r="J123" s="43"/>
      <c r="K123" s="43">
        <v>20</v>
      </c>
      <c r="L123" s="36">
        <f t="shared" si="5"/>
        <v>689</v>
      </c>
    </row>
    <row r="124" spans="2:12">
      <c r="B124" s="11">
        <v>1114502</v>
      </c>
      <c r="C124" s="21" t="s">
        <v>96</v>
      </c>
      <c r="D124" s="30">
        <v>8</v>
      </c>
      <c r="E124" s="30">
        <v>1</v>
      </c>
      <c r="F124" s="30"/>
      <c r="G124" s="30">
        <v>203</v>
      </c>
      <c r="H124" s="30">
        <v>221</v>
      </c>
      <c r="I124" s="30">
        <v>77</v>
      </c>
      <c r="J124" s="43"/>
      <c r="K124" s="43">
        <v>20</v>
      </c>
      <c r="L124" s="36">
        <f t="shared" si="5"/>
        <v>530</v>
      </c>
    </row>
    <row r="125" spans="2:12">
      <c r="B125" s="11">
        <v>1114503</v>
      </c>
      <c r="C125" s="21" t="s">
        <v>97</v>
      </c>
      <c r="D125" s="30">
        <v>3</v>
      </c>
      <c r="E125" s="30">
        <v>2</v>
      </c>
      <c r="F125" s="30"/>
      <c r="G125" s="30">
        <v>204</v>
      </c>
      <c r="H125" s="30">
        <v>222</v>
      </c>
      <c r="I125" s="30">
        <v>77</v>
      </c>
      <c r="J125" s="43"/>
      <c r="K125" s="43">
        <v>20</v>
      </c>
      <c r="L125" s="36">
        <f t="shared" si="5"/>
        <v>528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A127" sqref="AA12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30</v>
      </c>
      <c r="F7" s="30">
        <f>'เย็น '!F7+'เช้า '!F7+บ่าย!F7</f>
        <v>5</v>
      </c>
      <c r="G7" s="30">
        <f>'เย็น '!G7+'เช้า '!G7+บ่าย!G7</f>
        <v>0</v>
      </c>
      <c r="H7" s="30">
        <f>'เย็น '!H7+'เช้า '!H7+บ่าย!H7</f>
        <v>3</v>
      </c>
      <c r="I7" s="30">
        <f>'เย็น '!I7+'เช้า '!I7+บ่าย!I7</f>
        <v>1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42</v>
      </c>
      <c r="M7" s="11">
        <v>70</v>
      </c>
      <c r="N7" s="11">
        <v>32</v>
      </c>
      <c r="O7" s="11"/>
      <c r="P7" s="11">
        <v>70</v>
      </c>
      <c r="Q7" s="44">
        <f>(M7+N7+O7+P7)-L7</f>
        <v>130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2</v>
      </c>
      <c r="H25" s="30">
        <f>'เย็น '!H25+'เช้า '!H25+บ่าย!H25</f>
        <v>1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10</v>
      </c>
      <c r="L25" s="36">
        <f t="shared" si="0"/>
        <v>17</v>
      </c>
      <c r="M25" s="11">
        <v>35</v>
      </c>
      <c r="N25" s="11">
        <v>7</v>
      </c>
      <c r="O25" s="11"/>
      <c r="P25" s="11">
        <v>15</v>
      </c>
      <c r="Q25" s="44">
        <f t="shared" si="1"/>
        <v>40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27</v>
      </c>
      <c r="H26" s="30">
        <f>'เย็น '!H26+'เช้า '!H26+บ่าย!H26</f>
        <v>9</v>
      </c>
      <c r="I26" s="30">
        <f>'เย็น '!I26+'เช้า '!I26+บ่าย!I26</f>
        <v>27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63</v>
      </c>
      <c r="M26" s="11">
        <v>90</v>
      </c>
      <c r="N26" s="11">
        <v>113</v>
      </c>
      <c r="O26" s="11"/>
      <c r="P26" s="11">
        <v>90</v>
      </c>
      <c r="Q26" s="44">
        <f t="shared" si="1"/>
        <v>230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2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2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2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2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2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2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2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1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1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1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1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1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1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40</v>
      </c>
      <c r="L56" s="36">
        <f t="shared" si="0"/>
        <v>40</v>
      </c>
      <c r="M56" s="11"/>
      <c r="N56" s="11"/>
      <c r="O56" s="11"/>
      <c r="P56" s="11"/>
      <c r="Q56" s="44">
        <f t="shared" si="1"/>
        <v>-40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40</v>
      </c>
      <c r="L57" s="36">
        <f t="shared" si="0"/>
        <v>40</v>
      </c>
      <c r="M57" s="11"/>
      <c r="N57" s="11"/>
      <c r="O57" s="11"/>
      <c r="P57" s="11"/>
      <c r="Q57" s="44">
        <f t="shared" si="1"/>
        <v>-40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40</v>
      </c>
      <c r="L58" s="36">
        <f t="shared" si="0"/>
        <v>40</v>
      </c>
      <c r="M58" s="11"/>
      <c r="N58" s="11"/>
      <c r="O58" s="11"/>
      <c r="P58" s="11"/>
      <c r="Q58" s="44">
        <f t="shared" si="1"/>
        <v>-40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40</v>
      </c>
      <c r="L59" s="36">
        <f t="shared" si="0"/>
        <v>40</v>
      </c>
      <c r="M59" s="11"/>
      <c r="N59" s="11"/>
      <c r="O59" s="11"/>
      <c r="P59" s="11"/>
      <c r="Q59" s="44">
        <f t="shared" si="1"/>
        <v>-40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40</v>
      </c>
      <c r="L60" s="36">
        <f t="shared" si="0"/>
        <v>40</v>
      </c>
      <c r="M60" s="11"/>
      <c r="N60" s="11"/>
      <c r="O60" s="11"/>
      <c r="P60" s="11"/>
      <c r="Q60" s="44">
        <f t="shared" si="1"/>
        <v>-40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40</v>
      </c>
      <c r="L61" s="36">
        <f t="shared" si="0"/>
        <v>40</v>
      </c>
      <c r="M61" s="11"/>
      <c r="N61" s="11"/>
      <c r="O61" s="11"/>
      <c r="P61" s="11"/>
      <c r="Q61" s="44">
        <f t="shared" si="1"/>
        <v>-40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40</v>
      </c>
      <c r="L62" s="36">
        <f t="shared" si="0"/>
        <v>40</v>
      </c>
      <c r="M62" s="11"/>
      <c r="N62" s="11"/>
      <c r="O62" s="11"/>
      <c r="P62" s="11"/>
      <c r="Q62" s="44">
        <f t="shared" si="1"/>
        <v>-40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1</v>
      </c>
      <c r="F69" s="30">
        <f>'เย็น '!F69+'เช้า '!F69+บ่าย!F69</f>
        <v>0</v>
      </c>
      <c r="G69" s="30">
        <f>'เย็น '!G69+'เช้า '!G69+บ่าย!G69</f>
        <v>3</v>
      </c>
      <c r="H69" s="30">
        <f>'เย็น '!H69+'เช้า '!H69+บ่าย!H69</f>
        <v>1</v>
      </c>
      <c r="I69" s="30">
        <f>'เย็น '!I69+'เช้า '!I69+บ่าย!I69</f>
        <v>1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>
        <v>15</v>
      </c>
      <c r="N69" s="11">
        <v>44</v>
      </c>
      <c r="O69" s="11"/>
      <c r="P69" s="11">
        <v>15</v>
      </c>
      <c r="Q69" s="44">
        <f t="shared" ref="Q69:Q76" si="5">(M69+N69+O69+P69)-L69</f>
        <v>63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10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10</v>
      </c>
      <c r="M71" s="11"/>
      <c r="N71" s="11">
        <v>10</v>
      </c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36</v>
      </c>
      <c r="I87" s="30">
        <f>'เย็น '!I87+'เช้า '!I87+บ่าย!I87</f>
        <v>42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123</v>
      </c>
      <c r="M87" s="11">
        <v>90</v>
      </c>
      <c r="N87" s="11">
        <v>203</v>
      </c>
      <c r="O87" s="11"/>
      <c r="P87" s="11">
        <v>90</v>
      </c>
      <c r="Q87" s="44">
        <f t="shared" si="8"/>
        <v>260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21</v>
      </c>
      <c r="H90" s="30">
        <f>'เย็น '!H90+'เช้า '!H90+บ่าย!H90</f>
        <v>17</v>
      </c>
      <c r="I90" s="30">
        <f>'เย็น '!I90+'เช้า '!I90+บ่าย!I90</f>
        <v>10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50</v>
      </c>
      <c r="M90" s="11">
        <v>50</v>
      </c>
      <c r="N90" s="11">
        <v>40</v>
      </c>
      <c r="O90" s="11"/>
      <c r="P90" s="11">
        <v>50</v>
      </c>
      <c r="Q90" s="44">
        <f t="shared" ref="Q90:Q100" si="10">(M90+N90+O90+P90)-L90</f>
        <v>90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21</v>
      </c>
      <c r="H91" s="30">
        <f>'เย็น '!H91+'เช้า '!H91+บ่าย!H91</f>
        <v>16</v>
      </c>
      <c r="I91" s="30">
        <f>'เย็น '!I91+'เช้า '!I91+บ่าย!I91</f>
        <v>10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51</v>
      </c>
      <c r="M91" s="11">
        <v>50</v>
      </c>
      <c r="N91" s="11">
        <v>45</v>
      </c>
      <c r="O91" s="11"/>
      <c r="P91" s="11">
        <v>50</v>
      </c>
      <c r="Q91" s="44">
        <f t="shared" si="10"/>
        <v>94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12</v>
      </c>
      <c r="H92" s="30">
        <f>'เย็น '!H92+'เช้า '!H92+บ่าย!H92</f>
        <v>17</v>
      </c>
      <c r="I92" s="30">
        <f>'เย็น '!I92+'เช้า '!I92+บ่าย!I92</f>
        <v>15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45</v>
      </c>
      <c r="M92" s="11">
        <v>51</v>
      </c>
      <c r="N92" s="11">
        <v>37</v>
      </c>
      <c r="O92" s="11"/>
      <c r="P92" s="11">
        <v>50</v>
      </c>
      <c r="Q92" s="44">
        <f t="shared" si="10"/>
        <v>93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31</v>
      </c>
      <c r="H93" s="30">
        <f>'เย็น '!H93+'เช้า '!H93+บ่าย!H93</f>
        <v>17</v>
      </c>
      <c r="I93" s="30">
        <f>'เย็น '!I93+'เช้า '!I93+บ่าย!I93</f>
        <v>21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70</v>
      </c>
      <c r="M93" s="11">
        <v>86</v>
      </c>
      <c r="N93" s="11">
        <v>39</v>
      </c>
      <c r="O93" s="11"/>
      <c r="P93" s="11">
        <v>50</v>
      </c>
      <c r="Q93" s="44">
        <f t="shared" si="10"/>
        <v>105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31</v>
      </c>
      <c r="H97" s="30">
        <f>'เย็น '!H97+'เช้า '!H97+บ่าย!H97</f>
        <v>16</v>
      </c>
      <c r="I97" s="30">
        <f>'เย็น '!I97+'เช้า '!I97+บ่าย!I97</f>
        <v>21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70</v>
      </c>
      <c r="M97" s="11">
        <v>95</v>
      </c>
      <c r="N97" s="11">
        <v>31</v>
      </c>
      <c r="O97" s="11"/>
      <c r="P97" s="11">
        <v>50</v>
      </c>
      <c r="Q97" s="44">
        <f t="shared" si="10"/>
        <v>106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11</v>
      </c>
      <c r="H98" s="30">
        <f>'เย็น '!H98+'เช้า '!H98+บ่าย!H98</f>
        <v>16</v>
      </c>
      <c r="I98" s="30">
        <f>'เย็น '!I98+'เช้า '!I98+บ่าย!I98</f>
        <v>16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45</v>
      </c>
      <c r="M98" s="11">
        <v>50</v>
      </c>
      <c r="N98" s="11">
        <v>39</v>
      </c>
      <c r="O98" s="11"/>
      <c r="P98" s="11">
        <v>50</v>
      </c>
      <c r="Q98" s="44">
        <f t="shared" si="10"/>
        <v>94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331</v>
      </c>
      <c r="M100" s="11">
        <f>SUM(M90:M99)</f>
        <v>382</v>
      </c>
      <c r="N100" s="11">
        <f>SUM(N90:N99)</f>
        <v>231</v>
      </c>
      <c r="O100" s="11">
        <f>SUM(O90:O99)</f>
        <v>0</v>
      </c>
      <c r="P100" s="11">
        <f>SUM(P90:P99)</f>
        <v>300</v>
      </c>
      <c r="Q100" s="44">
        <f t="shared" si="10"/>
        <v>582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11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1</v>
      </c>
      <c r="I114" s="30">
        <f>'เย็น '!I114+'เช้า '!I114+บ่าย!I114</f>
        <v>1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13</v>
      </c>
      <c r="M114" s="11">
        <v>20</v>
      </c>
      <c r="N114" s="11"/>
      <c r="O114" s="11"/>
      <c r="P114" s="11"/>
      <c r="Q114" s="44">
        <f t="shared" ref="Q114:Q140" si="14">(M114+N114+O114+P114)-L114</f>
        <v>7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11</v>
      </c>
      <c r="E115" s="30">
        <f>'เย็น '!E115+'เช้า '!E115+บ่าย!E115</f>
        <v>0</v>
      </c>
      <c r="F115" s="30">
        <f>'เย็น '!F115+'เช้า '!F115+บ่าย!F115</f>
        <v>1</v>
      </c>
      <c r="G115" s="30">
        <f>'เย็น '!G115+'เช้า '!G115+บ่าย!G115</f>
        <v>5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17</v>
      </c>
      <c r="M115" s="11">
        <v>20</v>
      </c>
      <c r="N115" s="11">
        <v>1</v>
      </c>
      <c r="O115" s="11"/>
      <c r="P115" s="11"/>
      <c r="Q115" s="44">
        <f t="shared" si="14"/>
        <v>4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11</v>
      </c>
      <c r="E123" s="30">
        <f>'เย็น '!E123+'เช้า '!E123+บ่าย!E123</f>
        <v>5</v>
      </c>
      <c r="F123" s="30">
        <f>'เย็น '!F123+'เช้า '!F123+บ่าย!F123</f>
        <v>3</v>
      </c>
      <c r="G123" s="30">
        <f>'เย็น '!G123+'เช้า '!G123+บ่าย!G123</f>
        <v>251</v>
      </c>
      <c r="H123" s="30">
        <f>'เย็น '!H123+'เช้า '!H123+บ่าย!H123</f>
        <v>253</v>
      </c>
      <c r="I123" s="30">
        <f>'เย็น '!I123+'เช้า '!I123+บ่าย!I123</f>
        <v>146</v>
      </c>
      <c r="J123" s="30">
        <f>'เย็น '!J123+'เช้า '!J123+บ่าย!J123</f>
        <v>0</v>
      </c>
      <c r="K123" s="30">
        <f>'เย็น '!K123+'เช้า '!K123+บ่าย!K123</f>
        <v>20</v>
      </c>
      <c r="L123" s="36">
        <f t="shared" si="13"/>
        <v>689</v>
      </c>
      <c r="M123" s="11">
        <v>74</v>
      </c>
      <c r="N123" s="11">
        <v>627</v>
      </c>
      <c r="O123" s="11"/>
      <c r="P123" s="11">
        <v>400</v>
      </c>
      <c r="Q123" s="44">
        <f t="shared" si="14"/>
        <v>412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8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203</v>
      </c>
      <c r="H124" s="30">
        <f>'เย็น '!H124+'เช้า '!H124+บ่าย!H124</f>
        <v>221</v>
      </c>
      <c r="I124" s="30">
        <f>'เย็น '!I124+'เช้า '!I124+บ่าย!I124</f>
        <v>77</v>
      </c>
      <c r="J124" s="30">
        <f>'เย็น '!J124+'เช้า '!J124+บ่าย!J124</f>
        <v>0</v>
      </c>
      <c r="K124" s="30">
        <f>'เย็น '!K124+'เช้า '!K124+บ่าย!K124</f>
        <v>20</v>
      </c>
      <c r="L124" s="36">
        <f t="shared" si="13"/>
        <v>530</v>
      </c>
      <c r="M124" s="11">
        <v>215</v>
      </c>
      <c r="N124" s="11">
        <v>299</v>
      </c>
      <c r="O124" s="11"/>
      <c r="P124" s="11">
        <v>300</v>
      </c>
      <c r="Q124" s="44">
        <f t="shared" si="14"/>
        <v>284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204</v>
      </c>
      <c r="H125" s="30">
        <f>'เย็น '!H125+'เช้า '!H125+บ่าย!H125</f>
        <v>222</v>
      </c>
      <c r="I125" s="30">
        <f>'เย็น '!I125+'เช้า '!I125+บ่าย!I125</f>
        <v>77</v>
      </c>
      <c r="J125" s="30">
        <f>'เย็น '!J125+'เช้า '!J125+บ่าย!J125</f>
        <v>0</v>
      </c>
      <c r="K125" s="30">
        <f>'เย็น '!K125+'เช้า '!K125+บ่าย!K125</f>
        <v>20</v>
      </c>
      <c r="L125" s="36">
        <f t="shared" si="13"/>
        <v>528</v>
      </c>
      <c r="M125" s="11">
        <v>94</v>
      </c>
      <c r="N125" s="11">
        <v>479</v>
      </c>
      <c r="O125" s="11"/>
      <c r="P125" s="11">
        <v>300</v>
      </c>
      <c r="Q125" s="44">
        <f t="shared" si="14"/>
        <v>345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>
        <v>5</v>
      </c>
      <c r="O126" s="11"/>
      <c r="P126" s="11"/>
      <c r="Q126" s="44">
        <f t="shared" si="14"/>
        <v>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72</v>
      </c>
      <c r="E141" s="36">
        <f t="shared" ref="E141:K141" si="15">SUM(E114:E140,E90:E99,E79:E87,E69:E76,E7:E66,E102:E111)</f>
        <v>48</v>
      </c>
      <c r="F141" s="36">
        <f t="shared" si="15"/>
        <v>31</v>
      </c>
      <c r="G141" s="36">
        <f t="shared" si="15"/>
        <v>861</v>
      </c>
      <c r="H141" s="36">
        <f t="shared" si="15"/>
        <v>846</v>
      </c>
      <c r="I141" s="36">
        <f t="shared" si="15"/>
        <v>466</v>
      </c>
      <c r="J141" s="36">
        <f t="shared" si="15"/>
        <v>0</v>
      </c>
      <c r="K141" s="36">
        <f t="shared" si="15"/>
        <v>350</v>
      </c>
      <c r="L141" s="36">
        <f>SUM(L114:L140,L90:L99,L79:L87,L69:L76,L7:L66,L102:L111)</f>
        <v>2674</v>
      </c>
      <c r="M141" s="36">
        <f>SUM(M114:M140,M90:M99,M79:M87,M69:M76,M7:M66,M102:M111)</f>
        <v>1105</v>
      </c>
      <c r="N141" s="36">
        <f t="shared" ref="N141" si="16">SUM(N114:N140,N90:N99,N79:N87,N69:N76,N7:N66,N102:N111)</f>
        <v>2051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1580</v>
      </c>
      <c r="Q141" s="36">
        <f t="shared" ref="Q141" si="19">SUM(Q114:Q140,Q90:Q99,Q79:Q87,Q69:Q76,Q7:Q66,Q102:Q111)</f>
        <v>2062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2025-05-19T00:44:28Z</cp:lastPrinted>
  <dcterms:created xsi:type="dcterms:W3CDTF">2024-04-30T05:21:27Z</dcterms:created>
  <dcterms:modified xsi:type="dcterms:W3CDTF">2025-05-19T00:49:47Z</dcterms:modified>
</cp:coreProperties>
</file>