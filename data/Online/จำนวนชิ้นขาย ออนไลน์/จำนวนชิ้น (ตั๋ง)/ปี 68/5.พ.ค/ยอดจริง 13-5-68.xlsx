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5.พ.ค\"/>
    </mc:Choice>
  </mc:AlternateContent>
  <xr:revisionPtr revIDLastSave="0" documentId="13_ncr:1_{71FA1EF1-4C77-412D-836D-AD4B92E2DEFB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L77" i="6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R139" i="5" l="1"/>
  <c r="R132" i="5"/>
  <c r="R138" i="5"/>
  <c r="L141" i="5"/>
  <c r="R136" i="5"/>
  <c r="L100" i="3"/>
  <c r="L67" i="3"/>
  <c r="R135" i="5"/>
  <c r="R140" i="5"/>
  <c r="R130" i="5"/>
  <c r="R129" i="5"/>
  <c r="R93" i="5"/>
  <c r="R95" i="5"/>
  <c r="R127" i="5"/>
  <c r="R118" i="5"/>
  <c r="R131" i="5"/>
  <c r="R133" i="5"/>
  <c r="R126" i="5"/>
  <c r="R119" i="5"/>
  <c r="R124" i="5"/>
  <c r="R117" i="5"/>
  <c r="R94" i="5"/>
  <c r="R128" i="5"/>
  <c r="R96" i="5"/>
  <c r="R125" i="5"/>
  <c r="R121" i="5"/>
  <c r="R134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G141" i="5" s="1"/>
  <c r="H99" i="5"/>
  <c r="I99" i="5"/>
  <c r="K99" i="5"/>
  <c r="D66" i="5"/>
  <c r="E66" i="5"/>
  <c r="F66" i="5"/>
  <c r="G66" i="5"/>
  <c r="H66" i="5"/>
  <c r="I66" i="5"/>
  <c r="K66" i="5"/>
  <c r="E141" i="5" l="1"/>
  <c r="K141" i="5"/>
  <c r="F141" i="5"/>
  <c r="I141" i="5"/>
  <c r="H141" i="5"/>
  <c r="R114" i="5"/>
  <c r="R90" i="5"/>
  <c r="R10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2" i="5" l="1"/>
  <c r="R141" i="5" s="1"/>
  <c r="R112" i="5"/>
  <c r="M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<sst xmlns="http://schemas.openxmlformats.org/spreadsheetml/2006/main" count="618" uniqueCount="147">
  <si>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</si>
  <si>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</si>
  <si>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</si>
  <si>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</si>
  <si>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</si>
  <si>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</si>
  <si>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</si>
  <si>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</si>
  <si>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</si>
  <si>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</si>
  <si>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</si>
  <si>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</si>
  <si>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</si>
  <si>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</si>
  <si>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</si>
  <si>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</si>
  <si>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</si>
  <si>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</si>
  <si>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</si>
  <si>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</si>
  <si>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</si>
  <si>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</si>
  <si>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</si>
  <si>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</si>
  <si>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</si>
  <si>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</si>
  <si>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</si>
  <si>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</si>
  <si>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</si>
  <si>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</si>
  <si>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</si>
  <si>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</si>
  <si>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</si>
  <si>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</si>
  <si>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</si>
  <si>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</si>
  <si>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</si>
  <si>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</si>
  <si>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</si>
  <si>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</si>
  <si>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</si>
  <si>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</si>
  <si>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</si>
  <si>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</si>
  <si>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</si>
  <si>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</si>
  <si>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</si>
  <si>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</si>
  <si>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</si>
  <si>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</si>
  <si>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</si>
  <si>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</si>
  <si>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</si>
  <si>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</si>
  <si>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</si>
  <si>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</si>
  <si>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</si>
  <si>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</si>
  <si>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</si>
  <si>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</si>
  <si>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</si>
  <si>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</si>
  <si>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</si>
  <si>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</si>
  <si>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</si>
  <si>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</si>
  <si>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</si>
  <si>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</si>
  <si>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</si>
  <si>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</si>
  <si>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</si>
  <si>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</si>
  <si>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</si>
  <si>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</si>
  <si>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</si>
  <si>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</si>
  <si>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</si>
  <si>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</si>
  <si>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</si>
  <si>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</si>
  <si>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</si>
  <si>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</si>
  <si>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</si>
  <si>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</si>
  <si>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</si>
  <si>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</si>
  <si>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</si>
  <si>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</si>
  <si>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</si>
  <si>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</si>
  <si>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</si>
  <si>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</si>
  <si>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</si>
  <si>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</si>
  <si>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</si>
  <si>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</si>
  <si>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</si>
  <si>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</si>
  <si>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</si>
  <si>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</si>
  <si>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</si>
  <si>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</si>
  <si>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</si>
  <si>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</si>
  <si>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</si>
  <si>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</si>
  <si>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</si>
  <si>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</si>
  <si>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</si>
  <si>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</si>
  <si>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</si>
  <si>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</si>
  <si>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</si>
  <si>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</si>
  <si>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</si>
  <si>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</si>
  <si>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</si>
  <si>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</si>
  <si>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</si>
  <si>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</si>
  <si>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</si>
  <si>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</si>
  <si>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</si>
  <si>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</si>
  <si>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</si>
  <si>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</si>
  <si>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</si>
  <si>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</si>
  <si>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</si>
  <si>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</si>
  <si>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</si>
  <si>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</si>
  <si>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</si>
  <si>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</si>
  <si>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</si>
  <si>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</si>
  <si>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</si>
  <si>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</si>
  <si>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</si>
  <si>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</si>
  <si>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</si>
  <si>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</si>
  <si>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</si>
  <si>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</si>
  <si>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13/5/68รวม</t>
  </si>
  <si>
    <t>ยอดจริง ออนไลน์ วันที่  13/5/68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</si>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</sst>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58" zoomScale="60" zoomScaleNormal="60" workbookViewId="0">
      <selection activeCell="K96" sqref="K9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2</v>
      </c>
      <c r="E7" s="30">
        <v>15</v>
      </c>
      <c r="F7" s="30">
        <v>34</v>
      </c>
      <c r="G7" s="30">
        <v>3</v>
      </c>
      <c r="H7" s="30"/>
      <c r="I7" s="30">
        <v>16</v>
      </c>
      <c r="J7" s="43"/>
      <c r="K7" s="43">
        <v>100</v>
      </c>
      <c r="L7" s="36">
        <f>SUM(D7:K7)</f>
        <v>170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>
        <v>5</v>
      </c>
      <c r="F25" s="30"/>
      <c r="G25" s="30"/>
      <c r="H25" s="30"/>
      <c r="I25" s="30">
        <v>2</v>
      </c>
      <c r="J25" s="43"/>
      <c r="K25" s="43">
        <v>50</v>
      </c>
      <c r="L25" s="36">
        <f t="shared" si="0"/>
        <v>58</v>
      </c>
    </row>
    <row r="26" spans="2:12" x14ac:dyDescent="0.25">
      <c r="B26" s="11">
        <v>1004055</v>
      </c>
      <c r="C26" s="15" t="s">
        <v>108</v>
      </c>
      <c r="D26" s="30"/>
      <c r="E26" s="30">
        <v>5</v>
      </c>
      <c r="F26" s="30"/>
      <c r="G26" s="30">
        <v>41</v>
      </c>
      <c r="H26" s="30">
        <v>27</v>
      </c>
      <c r="I26" s="30">
        <v>14</v>
      </c>
      <c r="J26" s="43"/>
      <c r="K26" s="43"/>
      <c r="L26" s="36">
        <f t="shared" si="0"/>
        <v>87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315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2</v>
      </c>
      <c r="E69" s="30">
        <v>4</v>
      </c>
      <c r="F69" s="30">
        <v>2</v>
      </c>
      <c r="G69" s="30"/>
      <c r="H69" s="30"/>
      <c r="I69" s="30">
        <v>5</v>
      </c>
      <c r="J69" s="43"/>
      <c r="K69" s="43">
        <v>4</v>
      </c>
      <c r="L69" s="36">
        <f t="shared" ref="L69:L76" si="1">SUM(D69:K69)</f>
        <v>17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6</v>
      </c>
      <c r="L71" s="36">
        <f t="shared" si="1"/>
        <v>6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23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13</v>
      </c>
      <c r="E87" s="30">
        <v>6</v>
      </c>
      <c r="F87" s="30"/>
      <c r="G87" s="30">
        <v>41</v>
      </c>
      <c r="H87" s="30">
        <v>27</v>
      </c>
      <c r="I87" s="30">
        <v>11</v>
      </c>
      <c r="J87" s="43"/>
      <c r="K87" s="43"/>
      <c r="L87" s="36">
        <f t="shared" si="2"/>
        <v>98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98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2</v>
      </c>
      <c r="E90" s="30">
        <v>1</v>
      </c>
      <c r="F90" s="30">
        <v>2</v>
      </c>
      <c r="G90" s="30">
        <v>16</v>
      </c>
      <c r="H90" s="30">
        <v>7</v>
      </c>
      <c r="I90" s="30">
        <v>24</v>
      </c>
      <c r="J90" s="43"/>
      <c r="K90" s="43">
        <v>15</v>
      </c>
      <c r="L90" s="36">
        <f t="shared" ref="L90:L99" si="3">SUM(D90:K90)</f>
        <v>67</v>
      </c>
    </row>
    <row r="91" spans="2:12" x14ac:dyDescent="0.25">
      <c r="B91" s="11">
        <v>1112011</v>
      </c>
      <c r="C91" s="19" t="s">
        <v>76</v>
      </c>
      <c r="D91" s="30">
        <v>2</v>
      </c>
      <c r="E91" s="30">
        <v>1</v>
      </c>
      <c r="F91" s="30">
        <v>6</v>
      </c>
      <c r="G91" s="30">
        <v>16</v>
      </c>
      <c r="H91" s="30">
        <v>7</v>
      </c>
      <c r="I91" s="30">
        <v>24</v>
      </c>
      <c r="J91" s="43"/>
      <c r="K91" s="43">
        <v>15</v>
      </c>
      <c r="L91" s="36">
        <f t="shared" si="3"/>
        <v>71</v>
      </c>
    </row>
    <row r="92" spans="2:12" x14ac:dyDescent="0.25">
      <c r="B92" s="11">
        <v>1112003</v>
      </c>
      <c r="C92" s="19" t="s">
        <v>77</v>
      </c>
      <c r="D92" s="30">
        <v>1</v>
      </c>
      <c r="E92" s="30">
        <v>2</v>
      </c>
      <c r="F92" s="30"/>
      <c r="G92" s="30">
        <v>16</v>
      </c>
      <c r="H92" s="30">
        <v>8</v>
      </c>
      <c r="I92" s="30">
        <v>24</v>
      </c>
      <c r="J92" s="43"/>
      <c r="K92" s="43"/>
      <c r="L92" s="36">
        <f t="shared" si="3"/>
        <v>51</v>
      </c>
    </row>
    <row r="93" spans="2:12" x14ac:dyDescent="0.25">
      <c r="B93" s="11">
        <v>1112005</v>
      </c>
      <c r="C93" s="19" t="s">
        <v>78</v>
      </c>
      <c r="D93" s="30">
        <v>2</v>
      </c>
      <c r="E93" s="30">
        <v>1</v>
      </c>
      <c r="F93" s="30"/>
      <c r="G93" s="30">
        <v>16</v>
      </c>
      <c r="H93" s="30">
        <v>8</v>
      </c>
      <c r="I93" s="30">
        <v>24</v>
      </c>
      <c r="J93" s="43"/>
      <c r="K93" s="43">
        <v>15</v>
      </c>
      <c r="L93" s="36">
        <f t="shared" si="3"/>
        <v>66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>
        <v>1</v>
      </c>
      <c r="F97" s="30"/>
      <c r="G97" s="30">
        <v>16</v>
      </c>
      <c r="H97" s="30">
        <v>8</v>
      </c>
      <c r="I97" s="30">
        <v>24</v>
      </c>
      <c r="J97" s="43"/>
      <c r="K97" s="43"/>
      <c r="L97" s="36">
        <f t="shared" si="3"/>
        <v>49</v>
      </c>
    </row>
    <row r="98" spans="2:12" x14ac:dyDescent="0.25">
      <c r="B98" s="11">
        <v>1112013</v>
      </c>
      <c r="C98" s="19" t="s">
        <v>83</v>
      </c>
      <c r="D98" s="30">
        <v>2</v>
      </c>
      <c r="E98" s="30">
        <v>1</v>
      </c>
      <c r="F98" s="30"/>
      <c r="G98" s="30">
        <v>16</v>
      </c>
      <c r="H98" s="30">
        <v>7</v>
      </c>
      <c r="I98" s="30">
        <v>24</v>
      </c>
      <c r="J98" s="43"/>
      <c r="K98" s="43">
        <v>15</v>
      </c>
      <c r="L98" s="36">
        <f t="shared" si="3"/>
        <v>65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369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>
        <v>2</v>
      </c>
      <c r="E114" s="30"/>
      <c r="F114" s="30"/>
      <c r="G114" s="30">
        <v>1</v>
      </c>
      <c r="H114" s="30">
        <v>1</v>
      </c>
      <c r="I114" s="30">
        <v>2</v>
      </c>
      <c r="J114" s="43"/>
      <c r="K114" s="43"/>
      <c r="L114" s="36">
        <f t="shared" ref="L114:L140" si="5">SUM(D114:K114)</f>
        <v>6</v>
      </c>
    </row>
    <row r="115" spans="2:12" x14ac:dyDescent="0.25">
      <c r="B115" s="11">
        <v>1113171</v>
      </c>
      <c r="C115" s="21" t="s">
        <v>88</v>
      </c>
      <c r="D115" s="30">
        <v>2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3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3</v>
      </c>
      <c r="H120" s="30">
        <v>2</v>
      </c>
      <c r="I120" s="30">
        <v>3</v>
      </c>
      <c r="J120" s="43"/>
      <c r="K120" s="43"/>
      <c r="L120" s="36">
        <f t="shared" si="5"/>
        <v>8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5</v>
      </c>
      <c r="E123" s="30">
        <v>4</v>
      </c>
      <c r="F123" s="30"/>
      <c r="G123" s="30">
        <v>252</v>
      </c>
      <c r="H123" s="30">
        <v>262</v>
      </c>
      <c r="I123" s="30">
        <v>208</v>
      </c>
      <c r="J123" s="43"/>
      <c r="K123" s="43"/>
      <c r="L123" s="36">
        <f t="shared" si="5"/>
        <v>731</v>
      </c>
    </row>
    <row r="124" spans="2:12" x14ac:dyDescent="0.25">
      <c r="B124" s="11">
        <v>1114502</v>
      </c>
      <c r="C124" s="21" t="s">
        <v>96</v>
      </c>
      <c r="D124" s="30">
        <v>1</v>
      </c>
      <c r="E124" s="30">
        <v>1</v>
      </c>
      <c r="F124" s="30"/>
      <c r="G124" s="30">
        <v>214</v>
      </c>
      <c r="H124" s="30">
        <v>231</v>
      </c>
      <c r="I124" s="30">
        <v>106</v>
      </c>
      <c r="J124" s="43"/>
      <c r="K124" s="43"/>
      <c r="L124" s="36">
        <f t="shared" si="5"/>
        <v>553</v>
      </c>
    </row>
    <row r="125" spans="2:12" x14ac:dyDescent="0.25">
      <c r="B125" s="11">
        <v>1114503</v>
      </c>
      <c r="C125" s="21" t="s">
        <v>97</v>
      </c>
      <c r="D125" s="30">
        <v>1</v>
      </c>
      <c r="E125" s="30"/>
      <c r="F125" s="30"/>
      <c r="G125" s="30">
        <v>213</v>
      </c>
      <c r="H125" s="30">
        <v>231</v>
      </c>
      <c r="I125" s="30">
        <v>104</v>
      </c>
      <c r="J125" s="43"/>
      <c r="K125" s="43"/>
      <c r="L125" s="36">
        <f t="shared" si="5"/>
        <v>549</v>
      </c>
    </row>
    <row r="126" spans="2:12" x14ac:dyDescent="0.25">
      <c r="B126" s="11">
        <v>1124021</v>
      </c>
      <c r="C126" s="21" t="s">
        <v>98</v>
      </c>
      <c r="D126" s="30"/>
      <c r="E126" s="30">
        <v>34</v>
      </c>
      <c r="F126" s="30"/>
      <c r="G126" s="30">
        <v>12</v>
      </c>
      <c r="H126" s="30">
        <v>9</v>
      </c>
      <c r="I126" s="30"/>
      <c r="J126" s="43"/>
      <c r="K126" s="43"/>
      <c r="L126" s="36">
        <f t="shared" si="5"/>
        <v>55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topLeftCell="A107" zoomScale="50" zoomScaleNormal="50" workbookViewId="0">
      <selection activeCell="Q133" sqref="Q13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3" t="s">
        <v>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140</v>
      </c>
      <c r="Q2" s="70" t="s">
        <v>141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15</v>
      </c>
      <c r="F7" s="30">
        <f>'เย็น '!F7+'เช้า '!F7+บ่าย!F7</f>
        <v>34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16</v>
      </c>
      <c r="J7" s="30">
        <f>+G7+H7+I7</f>
        <v>19</v>
      </c>
      <c r="K7" s="30">
        <f>'เย็น '!J7+'เช้า '!J7+บ่าย!J7</f>
        <v>0</v>
      </c>
      <c r="L7" s="30">
        <f>'เย็น '!K7+'เช้า '!K7+บ่าย!K7</f>
        <v>100</v>
      </c>
      <c r="M7" s="36">
        <f>+D7+E7+F7+J7+K7+L7</f>
        <v>170</v>
      </c>
      <c r="N7" s="11">
        <v>170</v>
      </c>
      <c r="O7" s="11">
        <v>110</v>
      </c>
      <c r="P7" s="11"/>
      <c r="Q7" s="11">
        <v>70</v>
      </c>
      <c r="R7" s="44">
        <f>(N7+O7+P7+Q7)-M7</f>
        <v>180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5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2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50</v>
      </c>
      <c r="M25" s="36">
        <f t="shared" si="1"/>
        <v>58</v>
      </c>
      <c r="N25" s="11">
        <v>65</v>
      </c>
      <c r="O25" s="11">
        <v>40</v>
      </c>
      <c r="P25" s="11"/>
      <c r="Q25" s="11">
        <v>15</v>
      </c>
      <c r="R25" s="44">
        <f t="shared" si="2"/>
        <v>62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5</v>
      </c>
      <c r="F26" s="30">
        <f>'เย็น '!F26+'เช้า '!F26+บ่าย!F26</f>
        <v>0</v>
      </c>
      <c r="G26" s="30">
        <f>'เย็น '!G26+'เช้า '!G26+บ่าย!G26</f>
        <v>41</v>
      </c>
      <c r="H26" s="30">
        <f>'เย็น '!H26+'เช้า '!H26+บ่าย!H26</f>
        <v>27</v>
      </c>
      <c r="I26" s="30">
        <f>'เย็น '!I26+'เช้า '!I26+บ่าย!I26</f>
        <v>14</v>
      </c>
      <c r="J26" s="30">
        <f t="shared" si="0"/>
        <v>82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87</v>
      </c>
      <c r="N26" s="11">
        <v>90</v>
      </c>
      <c r="O26" s="11">
        <v>4</v>
      </c>
      <c r="P26" s="11"/>
      <c r="Q26" s="11">
        <v>90</v>
      </c>
      <c r="R26" s="44">
        <f t="shared" si="2"/>
        <v>97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4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5</v>
      </c>
      <c r="J69" s="30">
        <f t="shared" si="0"/>
        <v>5</v>
      </c>
      <c r="K69" s="30">
        <f>'เย็น '!J69+'เช้า '!J69+บ่าย!J69</f>
        <v>0</v>
      </c>
      <c r="L69" s="30">
        <f>'เย็น '!K69+'เช้า '!K69+บ่าย!K69</f>
        <v>4</v>
      </c>
      <c r="M69" s="36">
        <f t="shared" si="1"/>
        <v>17</v>
      </c>
      <c r="N69" s="11">
        <v>19</v>
      </c>
      <c r="O69" s="11">
        <v>20</v>
      </c>
      <c r="P69" s="11"/>
      <c r="Q69" s="11">
        <v>15</v>
      </c>
      <c r="R69" s="44">
        <f t="shared" ref="R69:R76" si="4">(N69+O69+P69+Q69)-M69</f>
        <v>37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6</v>
      </c>
      <c r="M71" s="36">
        <f t="shared" si="1"/>
        <v>6</v>
      </c>
      <c r="N71" s="11">
        <v>6</v>
      </c>
      <c r="O71" s="11">
        <v>9</v>
      </c>
      <c r="P71" s="11"/>
      <c r="Q71" s="11"/>
      <c r="R71" s="44">
        <f t="shared" si="4"/>
        <v>9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>
        <v>9</v>
      </c>
      <c r="P76" s="11"/>
      <c r="Q76" s="11"/>
      <c r="R76" s="44">
        <f t="shared" si="4"/>
        <v>9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13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41</v>
      </c>
      <c r="H87" s="30">
        <f>'เย็น '!H87+'เช้า '!H87+บ่าย!H87</f>
        <v>27</v>
      </c>
      <c r="I87" s="30">
        <f>'เย็น '!I87+'เช้า '!I87+บ่าย!I87</f>
        <v>11</v>
      </c>
      <c r="J87" s="30">
        <f t="shared" si="5"/>
        <v>79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98</v>
      </c>
      <c r="N87" s="11">
        <v>90</v>
      </c>
      <c r="O87" s="11">
        <v>1</v>
      </c>
      <c r="P87" s="11"/>
      <c r="Q87" s="11">
        <v>90</v>
      </c>
      <c r="R87" s="44">
        <f t="shared" si="8"/>
        <v>83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16</v>
      </c>
      <c r="H90" s="30">
        <f>'เย็น '!H90+'เช้า '!H90+บ่าย!H90</f>
        <v>7</v>
      </c>
      <c r="I90" s="30">
        <f>'เย็น '!I90+'เช้า '!I90+บ่าย!I90</f>
        <v>24</v>
      </c>
      <c r="J90" s="30">
        <f t="shared" si="5"/>
        <v>47</v>
      </c>
      <c r="K90" s="30">
        <f>'เย็น '!J90+'เช้า '!J90+บ่าย!J90</f>
        <v>0</v>
      </c>
      <c r="L90" s="30">
        <f>'เย็น '!K90+'เช้า '!K90+บ่าย!K90</f>
        <v>15</v>
      </c>
      <c r="M90" s="36">
        <f t="shared" si="6"/>
        <v>67</v>
      </c>
      <c r="N90" s="11">
        <v>65</v>
      </c>
      <c r="O90" s="11">
        <v>23</v>
      </c>
      <c r="P90" s="11"/>
      <c r="Q90" s="11">
        <v>50</v>
      </c>
      <c r="R90" s="44">
        <f t="shared" ref="R90:R100" si="9">(N90+O90+P90+Q90)-M90</f>
        <v>71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16</v>
      </c>
      <c r="H91" s="30">
        <f>'เย็น '!H91+'เช้า '!H91+บ่าย!H91</f>
        <v>7</v>
      </c>
      <c r="I91" s="30">
        <f>'เย็น '!I91+'เช้า '!I91+บ่าย!I91</f>
        <v>24</v>
      </c>
      <c r="J91" s="30">
        <f t="shared" si="5"/>
        <v>47</v>
      </c>
      <c r="K91" s="30">
        <f>'เย็น '!J91+'เช้า '!J91+บ่าย!J91</f>
        <v>0</v>
      </c>
      <c r="L91" s="30">
        <f>'เย็น '!K91+'เช้า '!K91+บ่าย!K91</f>
        <v>15</v>
      </c>
      <c r="M91" s="36">
        <f t="shared" si="6"/>
        <v>71</v>
      </c>
      <c r="N91" s="11">
        <v>65</v>
      </c>
      <c r="O91" s="11">
        <v>22</v>
      </c>
      <c r="P91" s="11"/>
      <c r="Q91" s="11">
        <v>50</v>
      </c>
      <c r="R91" s="44">
        <f t="shared" si="9"/>
        <v>66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16</v>
      </c>
      <c r="H92" s="30">
        <f>'เย็น '!H92+'เช้า '!H92+บ่าย!H92</f>
        <v>8</v>
      </c>
      <c r="I92" s="30">
        <f>'เย็น '!I92+'เช้า '!I92+บ่าย!I92</f>
        <v>24</v>
      </c>
      <c r="J92" s="30">
        <f t="shared" si="5"/>
        <v>48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51</v>
      </c>
      <c r="N92" s="11">
        <v>50</v>
      </c>
      <c r="O92" s="11">
        <v>21</v>
      </c>
      <c r="P92" s="11"/>
      <c r="Q92" s="11">
        <v>50</v>
      </c>
      <c r="R92" s="44">
        <f t="shared" si="9"/>
        <v>70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16</v>
      </c>
      <c r="H93" s="30">
        <f>'เย็น '!H93+'เช้า '!H93+บ่าย!H93</f>
        <v>8</v>
      </c>
      <c r="I93" s="30">
        <f>'เย็น '!I93+'เช้า '!I93+บ่าย!I93</f>
        <v>24</v>
      </c>
      <c r="J93" s="30">
        <f t="shared" si="5"/>
        <v>48</v>
      </c>
      <c r="K93" s="30">
        <f>'เย็น '!J93+'เช้า '!J93+บ่าย!J93</f>
        <v>0</v>
      </c>
      <c r="L93" s="30">
        <f>'เย็น '!K93+'เช้า '!K93+บ่าย!K93</f>
        <v>15</v>
      </c>
      <c r="M93" s="36">
        <f t="shared" si="6"/>
        <v>66</v>
      </c>
      <c r="N93" s="11">
        <v>65</v>
      </c>
      <c r="O93" s="11">
        <v>22</v>
      </c>
      <c r="P93" s="11"/>
      <c r="Q93" s="11">
        <v>50</v>
      </c>
      <c r="R93" s="44">
        <f t="shared" si="9"/>
        <v>71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16</v>
      </c>
      <c r="H97" s="30">
        <f>'เย็น '!H97+'เช้า '!H97+บ่าย!H97</f>
        <v>8</v>
      </c>
      <c r="I97" s="30">
        <f>'เย็น '!I97+'เช้า '!I97+บ่าย!I97</f>
        <v>24</v>
      </c>
      <c r="J97" s="30">
        <f t="shared" si="5"/>
        <v>48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49</v>
      </c>
      <c r="N97" s="11">
        <v>50</v>
      </c>
      <c r="O97" s="11">
        <v>21</v>
      </c>
      <c r="P97" s="11"/>
      <c r="Q97" s="11">
        <v>50</v>
      </c>
      <c r="R97" s="44">
        <f t="shared" si="9"/>
        <v>72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16</v>
      </c>
      <c r="H98" s="30">
        <f>'เย็น '!H98+'เช้า '!H98+บ่าย!H98</f>
        <v>7</v>
      </c>
      <c r="I98" s="30">
        <f>'เย็น '!I98+'เช้า '!I98+บ่าย!I98</f>
        <v>24</v>
      </c>
      <c r="J98" s="30">
        <f t="shared" si="5"/>
        <v>47</v>
      </c>
      <c r="K98" s="30">
        <f>'เย็น '!J98+'เช้า '!J98+บ่าย!J98</f>
        <v>0</v>
      </c>
      <c r="L98" s="30">
        <f>'เย็น '!K98+'เช้า '!K98+บ่าย!K98</f>
        <v>15</v>
      </c>
      <c r="M98" s="36">
        <f t="shared" si="6"/>
        <v>65</v>
      </c>
      <c r="N98" s="11">
        <v>65</v>
      </c>
      <c r="O98" s="11">
        <v>19</v>
      </c>
      <c r="P98" s="11"/>
      <c r="Q98" s="11">
        <v>50</v>
      </c>
      <c r="R98" s="44">
        <f t="shared" si="9"/>
        <v>69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360</v>
      </c>
      <c r="O100" s="11">
        <f>SUM(O90:O99)</f>
        <v>128</v>
      </c>
      <c r="P100" s="11">
        <f>SUM(P90:P99)</f>
        <v>0</v>
      </c>
      <c r="Q100" s="11">
        <f>SUM(Q90:Q99)</f>
        <v>300</v>
      </c>
      <c r="R100" s="44">
        <f t="shared" si="9"/>
        <v>788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1</v>
      </c>
      <c r="I114" s="30">
        <f>'เย็น '!I114+'เช้า '!I114+บ่าย!I114</f>
        <v>2</v>
      </c>
      <c r="J114" s="30">
        <f t="shared" si="5"/>
        <v>4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6</v>
      </c>
      <c r="N114" s="11">
        <v>16</v>
      </c>
      <c r="O114" s="11">
        <v>11</v>
      </c>
      <c r="P114" s="11"/>
      <c r="Q114" s="11"/>
      <c r="R114" s="44">
        <f t="shared" ref="R114:R140" si="11">(N114+O114+P114+Q114)-M114</f>
        <v>21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1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3</v>
      </c>
      <c r="N115" s="11">
        <v>19</v>
      </c>
      <c r="O115" s="11">
        <v>11</v>
      </c>
      <c r="P115" s="11"/>
      <c r="Q115" s="11"/>
      <c r="R115" s="44">
        <f t="shared" si="11"/>
        <v>27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3</v>
      </c>
      <c r="H120" s="30">
        <f>'เย็น '!H120+'เช้า '!H120+บ่าย!H120</f>
        <v>2</v>
      </c>
      <c r="I120" s="30">
        <f>'เย็น '!I120+'เช้า '!I120+บ่าย!I120</f>
        <v>3</v>
      </c>
      <c r="J120" s="30">
        <f t="shared" si="5"/>
        <v>8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8</v>
      </c>
      <c r="N120" s="11"/>
      <c r="O120" s="11">
        <v>19</v>
      </c>
      <c r="P120" s="11"/>
      <c r="Q120" s="11"/>
      <c r="R120" s="44">
        <f t="shared" si="11"/>
        <v>11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4</v>
      </c>
      <c r="F123" s="30">
        <f>'เย็น '!F123+'เช้า '!F123+บ่าย!F123</f>
        <v>0</v>
      </c>
      <c r="G123" s="30">
        <f>'เย็น '!G123+'เช้า '!G123+บ่าย!G123</f>
        <v>252</v>
      </c>
      <c r="H123" s="30">
        <f>'เย็น '!H123+'เช้า '!H123+บ่าย!H123</f>
        <v>262</v>
      </c>
      <c r="I123" s="30">
        <f>'เย็น '!I123+'เช้า '!I123+บ่าย!I123</f>
        <v>208</v>
      </c>
      <c r="J123" s="30">
        <f t="shared" si="5"/>
        <v>722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731</v>
      </c>
      <c r="N123" s="11">
        <v>555</v>
      </c>
      <c r="O123" s="11">
        <v>181</v>
      </c>
      <c r="P123" s="11"/>
      <c r="Q123" s="11">
        <v>350</v>
      </c>
      <c r="R123" s="44">
        <f t="shared" si="11"/>
        <v>355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214</v>
      </c>
      <c r="H124" s="30">
        <f>'เย็น '!H124+'เช้า '!H124+บ่าย!H124</f>
        <v>231</v>
      </c>
      <c r="I124" s="30">
        <f>'เย็น '!I124+'เช้า '!I124+บ่าย!I124</f>
        <v>106</v>
      </c>
      <c r="J124" s="30">
        <f t="shared" si="5"/>
        <v>551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553</v>
      </c>
      <c r="N124" s="11">
        <v>397</v>
      </c>
      <c r="O124" s="11">
        <v>148</v>
      </c>
      <c r="P124" s="11"/>
      <c r="Q124" s="11">
        <v>250</v>
      </c>
      <c r="R124" s="44">
        <f t="shared" si="11"/>
        <v>242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213</v>
      </c>
      <c r="H125" s="30">
        <f>'เย็น '!H125+'เช้า '!H125+บ่าย!H125</f>
        <v>231</v>
      </c>
      <c r="I125" s="30">
        <f>'เย็น '!I125+'เช้า '!I125+บ่าย!I125</f>
        <v>104</v>
      </c>
      <c r="J125" s="30">
        <f t="shared" si="5"/>
        <v>548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549</v>
      </c>
      <c r="N125" s="11">
        <v>446</v>
      </c>
      <c r="O125" s="11">
        <v>107</v>
      </c>
      <c r="P125" s="11"/>
      <c r="Q125" s="11">
        <v>250</v>
      </c>
      <c r="R125" s="44">
        <f t="shared" si="11"/>
        <v>254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34</v>
      </c>
      <c r="F126" s="30">
        <f>'เย็น '!F126+'เช้า '!F126+บ่าย!F126</f>
        <v>0</v>
      </c>
      <c r="G126" s="30">
        <f>'เย็น '!G126+'เช้า '!G126+บ่าย!G126</f>
        <v>12</v>
      </c>
      <c r="H126" s="30">
        <f>'เย็น '!H126+'เช้า '!H126+บ่าย!H126</f>
        <v>9</v>
      </c>
      <c r="I126" s="30">
        <f>'เย็น '!I126+'เช้า '!I126+บ่าย!I126</f>
        <v>0</v>
      </c>
      <c r="J126" s="30">
        <f t="shared" si="5"/>
        <v>21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55</v>
      </c>
      <c r="N126" s="11">
        <v>35</v>
      </c>
      <c r="O126" s="11">
        <v>20</v>
      </c>
      <c r="P126" s="11"/>
      <c r="Q126" s="11">
        <v>15</v>
      </c>
      <c r="R126" s="44">
        <f t="shared" si="11"/>
        <v>15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2</v>
      </c>
      <c r="N136" s="11"/>
      <c r="O136" s="11"/>
      <c r="P136" s="11"/>
      <c r="Q136" s="11"/>
      <c r="R136" s="44">
        <f t="shared" si="11"/>
        <v>-2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0</v>
      </c>
      <c r="N137" s="11"/>
      <c r="O137" s="11"/>
      <c r="P137" s="11"/>
      <c r="Q137" s="11"/>
      <c r="R137" s="44"/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38</v>
      </c>
      <c r="E141" s="36">
        <f t="shared" ref="E141:L141" si="14">SUM(E114:E140,E90:E99,E79:E87,E69:E76,E7:E66,E102:E111)</f>
        <v>83</v>
      </c>
      <c r="F141" s="36">
        <f t="shared" si="14"/>
        <v>44</v>
      </c>
      <c r="G141" s="36">
        <f t="shared" si="14"/>
        <v>877</v>
      </c>
      <c r="H141" s="36">
        <f t="shared" si="14"/>
        <v>835</v>
      </c>
      <c r="I141" s="36">
        <f t="shared" si="14"/>
        <v>615</v>
      </c>
      <c r="J141" s="36"/>
      <c r="K141" s="36">
        <f t="shared" si="14"/>
        <v>0</v>
      </c>
      <c r="L141" s="36">
        <f t="shared" si="14"/>
        <v>220</v>
      </c>
      <c r="M141" s="36">
        <f>SUM(M114:M140,M90:M99,M79:M87,M69:M76,M7:M66,M102:M111)</f>
        <v>2712</v>
      </c>
      <c r="N141" s="36">
        <f>SUM(N114:N140,N90:N99,N79:N87,N69:N76,N7:N66,N102:N111)</f>
        <v>2268</v>
      </c>
      <c r="O141" s="36">
        <f t="shared" ref="O141" si="15">SUM(O114:O140,O90:O99,O79:O87,O69:O76,O7:O66,O102:O111)</f>
        <v>818</v>
      </c>
      <c r="P141" s="36">
        <f t="shared" ref="P141" si="16">SUM(P114:P140,P90:P99,P79:P87,P69:P76,P7:P66,P102:P111)</f>
        <v>0</v>
      </c>
      <c r="Q141" s="36">
        <f t="shared" ref="Q141" si="17">SUM(Q114:Q140,Q90:Q99,Q79:Q87,Q69:Q76,Q7:Q66,Q102:Q111)</f>
        <v>1445</v>
      </c>
      <c r="R141" s="36">
        <f t="shared" ref="R141" si="18">SUM(R114:R140,R90:R99,R79:R87,R69:R76,R7:R66,R102:R111)</f>
        <v>1819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2024-10-30T00:45:46Z</cp:lastPrinted>
  <dcterms:created xsi:type="dcterms:W3CDTF">2024-04-30T05:21:27Z</dcterms:created>
  <dcterms:modified xsi:type="dcterms:W3CDTF">2025-05-14T06:12:23Z</dcterms:modified>
</cp:coreProperties>
</file>