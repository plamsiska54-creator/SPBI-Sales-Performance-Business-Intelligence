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5.พ.ค\"/>
    </mc:Choice>
  </mc:AlternateContent>
  <xr:revisionPtr revIDLastSave="0" documentId="13_ncr:1_{AC5BC906-6C04-4C4B-AFCC-6EB878F7A235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6" i="5" l="1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7" i="5"/>
  <c r="L77" i="6"/>
  <c r="Q100" i="5"/>
  <c r="P100" i="5"/>
  <c r="O100" i="5"/>
  <c r="N100" i="5"/>
  <c r="Q112" i="5"/>
  <c r="P112" i="5"/>
  <c r="O112" i="5"/>
  <c r="N112" i="5"/>
  <c r="N141" i="5"/>
  <c r="O141" i="5"/>
  <c r="P141" i="5"/>
  <c r="Q141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100" i="3" s="1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K140" i="5"/>
  <c r="L140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E114" i="5"/>
  <c r="F114" i="5"/>
  <c r="G114" i="5"/>
  <c r="H114" i="5"/>
  <c r="I114" i="5"/>
  <c r="K114" i="5"/>
  <c r="L114" i="5"/>
  <c r="D114" i="5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R137" i="5" l="1"/>
  <c r="R136" i="5"/>
  <c r="R135" i="5"/>
  <c r="R133" i="5"/>
  <c r="R138" i="5"/>
  <c r="L141" i="5"/>
  <c r="R131" i="5"/>
  <c r="R139" i="5"/>
  <c r="R134" i="5"/>
  <c r="R132" i="5"/>
  <c r="L67" i="3"/>
  <c r="R140" i="5"/>
  <c r="R130" i="5"/>
  <c r="R129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3" i="5"/>
  <c r="E103" i="5"/>
  <c r="F103" i="5"/>
  <c r="G103" i="5"/>
  <c r="H103" i="5"/>
  <c r="I103" i="5"/>
  <c r="K103" i="5"/>
  <c r="D104" i="5"/>
  <c r="E104" i="5"/>
  <c r="F104" i="5"/>
  <c r="G104" i="5"/>
  <c r="H104" i="5"/>
  <c r="I104" i="5"/>
  <c r="K104" i="5"/>
  <c r="D105" i="5"/>
  <c r="E105" i="5"/>
  <c r="F105" i="5"/>
  <c r="G105" i="5"/>
  <c r="H105" i="5"/>
  <c r="I105" i="5"/>
  <c r="K105" i="5"/>
  <c r="D106" i="5"/>
  <c r="E106" i="5"/>
  <c r="F106" i="5"/>
  <c r="G106" i="5"/>
  <c r="H106" i="5"/>
  <c r="I106" i="5"/>
  <c r="K106" i="5"/>
  <c r="D107" i="5"/>
  <c r="E107" i="5"/>
  <c r="F107" i="5"/>
  <c r="G107" i="5"/>
  <c r="H107" i="5"/>
  <c r="I107" i="5"/>
  <c r="K107" i="5"/>
  <c r="D108" i="5"/>
  <c r="E108" i="5"/>
  <c r="F108" i="5"/>
  <c r="G108" i="5"/>
  <c r="H108" i="5"/>
  <c r="I108" i="5"/>
  <c r="K108" i="5"/>
  <c r="D109" i="5"/>
  <c r="E109" i="5"/>
  <c r="F109" i="5"/>
  <c r="G109" i="5"/>
  <c r="H109" i="5"/>
  <c r="I109" i="5"/>
  <c r="K109" i="5"/>
  <c r="D110" i="5"/>
  <c r="E110" i="5"/>
  <c r="F110" i="5"/>
  <c r="G110" i="5"/>
  <c r="H110" i="5"/>
  <c r="I110" i="5"/>
  <c r="K110" i="5"/>
  <c r="D111" i="5"/>
  <c r="E111" i="5"/>
  <c r="F111" i="5"/>
  <c r="G111" i="5"/>
  <c r="H111" i="5"/>
  <c r="I111" i="5"/>
  <c r="K111" i="5"/>
  <c r="E102" i="5"/>
  <c r="F102" i="5"/>
  <c r="G102" i="5"/>
  <c r="H102" i="5"/>
  <c r="I102" i="5"/>
  <c r="K102" i="5"/>
  <c r="D102" i="5"/>
  <c r="D99" i="5"/>
  <c r="E99" i="5"/>
  <c r="F99" i="5"/>
  <c r="G99" i="5"/>
  <c r="H99" i="5"/>
  <c r="H141" i="5" s="1"/>
  <c r="I99" i="5"/>
  <c r="I141" i="5" s="1"/>
  <c r="K99" i="5"/>
  <c r="D66" i="5"/>
  <c r="E66" i="5"/>
  <c r="F66" i="5"/>
  <c r="G66" i="5"/>
  <c r="H66" i="5"/>
  <c r="I66" i="5"/>
  <c r="K66" i="5"/>
  <c r="G141" i="5" l="1"/>
  <c r="F141" i="5"/>
  <c r="E141" i="5"/>
  <c r="K141" i="5"/>
  <c r="R114" i="5"/>
  <c r="R90" i="5"/>
  <c r="D141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R100" i="5" l="1"/>
  <c r="R102" i="5"/>
  <c r="R141" i="5" s="1"/>
  <c r="R112" i="5"/>
  <c r="M141" i="5"/>
  <c r="R88" i="5"/>
  <c r="R67" i="5"/>
</calcChain>
</file>

<file path=xl/sharedStrings.xml><?xml version="1.0" encoding="utf-8"?>
<sst xmlns="http://schemas.openxmlformats.org/spreadsheetml/2006/main" count="618" uniqueCount="147">
  <si>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</si>
  <si>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</si>
  <si>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</si>
  <si>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</si>
  <si>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</si>
  <si>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</si>
  <si>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</si>
  <si>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</si>
  <si>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</si>
  <si>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</si>
  <si>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</si>
  <si>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</si>
  <si>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</si>
  <si>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</si>
  <si>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</si>
  <si>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</si>
  <si>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</si>
  <si>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</si>
  <si>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</si>
  <si>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</si>
  <si>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</si>
  <si>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</si>
  <si>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</si>
  <si>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</si>
  <si>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</si>
  <si>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</si>
  <si>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</si>
  <si>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</si>
  <si>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</si>
  <si>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</si>
  <si>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</si>
  <si>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</si>
  <si>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</si>
  <si>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</si>
  <si>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</si>
  <si>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</si>
  <si>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</si>
  <si>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</si>
  <si>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</si>
  <si>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</si>
  <si>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</si>
  <si>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</si>
  <si>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</si>
  <si>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</si>
  <si>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</si>
  <si>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</si>
  <si>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</si>
  <si>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</si>
  <si>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</si>
  <si>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</si>
  <si>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</si>
  <si>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</si>
  <si>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</si>
  <si>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</si>
  <si>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</si>
  <si>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</si>
  <si>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</si>
  <si>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</si>
  <si>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</si>
  <si>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</si>
  <si>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</si>
  <si>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</si>
  <si>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</si>
  <si>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</si>
  <si>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</si>
  <si>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</si>
  <si>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</si>
  <si>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</si>
  <si>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</si>
  <si>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</si>
  <si>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</si>
  <si>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</si>
  <si>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</si>
  <si>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</si>
  <si>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</si>
  <si>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</si>
  <si>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</si>
  <si>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</si>
  <si>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</si>
  <si>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</si>
  <si>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</si>
  <si>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</si>
  <si>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</si>
  <si>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</si>
  <si>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</si>
  <si>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</si>
  <si>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</si>
  <si>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</si>
  <si>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</si>
  <si>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</si>
  <si>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</si>
  <si>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</si>
  <si>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</si>
  <si>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</si>
  <si>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</si>
  <si>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</si>
  <si>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</si>
  <si>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</si>
  <si>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</si>
  <si>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</si>
  <si>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</si>
  <si>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</si>
  <si>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</si>
  <si>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</si>
  <si>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</si>
  <si>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</si>
  <si>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</si>
  <si>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</si>
  <si>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</si>
  <si>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</si>
  <si>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</si>
  <si>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</si>
  <si>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</si>
  <si>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</si>
  <si>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</si>
  <si>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</si>
  <si>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</si>
  <si>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</si>
  <si>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</si>
  <si>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</si>
  <si>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</si>
  <si>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</si>
  <si>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</si>
  <si>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</si>
  <si>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</si>
  <si>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</si>
  <si>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</si>
  <si>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</si>
  <si>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</si>
  <si>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</si>
  <si>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</si>
  <si>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</si>
  <si>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</si>
  <si>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</si>
  <si>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</si>
  <si>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</si>
  <si>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</si>
  <si>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</si>
  <si>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</si>
  <si>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</si>
  <si>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</si>
  <si>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</si>
  <si>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</si>
  <si>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</si>
  <si>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3/5/68รวม</t>
  </si>
  <si>
    <t>ยอดจริง ออนไลน์ วันที่  3/5/68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</si>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</sst>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73" zoomScale="60" zoomScaleNormal="60" workbookViewId="0">
      <selection activeCell="I96" sqref="I9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>
        <v>9</v>
      </c>
      <c r="F7" s="30">
        <v>9</v>
      </c>
      <c r="G7" s="30">
        <v>9</v>
      </c>
      <c r="H7" s="30"/>
      <c r="I7" s="30"/>
      <c r="J7" s="43"/>
      <c r="K7" s="43"/>
      <c r="L7" s="36">
        <f>SUM(D7:K7)</f>
        <v>27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11</v>
      </c>
      <c r="F25" s="30">
        <v>1</v>
      </c>
      <c r="G25" s="30">
        <v>1</v>
      </c>
      <c r="H25" s="30"/>
      <c r="I25" s="30"/>
      <c r="J25" s="43"/>
      <c r="K25" s="43"/>
      <c r="L25" s="36">
        <f t="shared" si="0"/>
        <v>13</v>
      </c>
    </row>
    <row r="26" spans="2:12" x14ac:dyDescent="0.25">
      <c r="B26" s="11">
        <v>1004055</v>
      </c>
      <c r="C26" s="15" t="s">
        <v>108</v>
      </c>
      <c r="D26" s="30">
        <v>1</v>
      </c>
      <c r="E26" s="30"/>
      <c r="F26" s="30"/>
      <c r="G26" s="30">
        <v>48</v>
      </c>
      <c r="H26" s="30"/>
      <c r="I26" s="30"/>
      <c r="J26" s="43"/>
      <c r="K26" s="43"/>
      <c r="L26" s="36">
        <f t="shared" si="0"/>
        <v>49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2</v>
      </c>
      <c r="F40" s="30"/>
      <c r="G40" s="30"/>
      <c r="H40" s="30"/>
      <c r="I40" s="30"/>
      <c r="J40" s="43"/>
      <c r="K40" s="43"/>
      <c r="L40" s="36">
        <f t="shared" si="0"/>
        <v>2</v>
      </c>
    </row>
    <row r="41" spans="2:12" x14ac:dyDescent="0.25">
      <c r="B41" s="11">
        <v>1111058</v>
      </c>
      <c r="C41" s="15" t="s">
        <v>31</v>
      </c>
      <c r="D41" s="30"/>
      <c r="E41" s="30">
        <v>2</v>
      </c>
      <c r="F41" s="30"/>
      <c r="G41" s="30"/>
      <c r="H41" s="30"/>
      <c r="I41" s="30"/>
      <c r="J41" s="43"/>
      <c r="K41" s="43"/>
      <c r="L41" s="36">
        <f t="shared" si="0"/>
        <v>2</v>
      </c>
    </row>
    <row r="42" spans="2:12" x14ac:dyDescent="0.25">
      <c r="B42" s="11">
        <v>1111059</v>
      </c>
      <c r="C42" s="15" t="s">
        <v>32</v>
      </c>
      <c r="D42" s="30"/>
      <c r="E42" s="30">
        <v>2</v>
      </c>
      <c r="F42" s="30"/>
      <c r="G42" s="30"/>
      <c r="H42" s="30"/>
      <c r="I42" s="30"/>
      <c r="J42" s="43"/>
      <c r="K42" s="43"/>
      <c r="L42" s="36">
        <f t="shared" si="0"/>
        <v>2</v>
      </c>
    </row>
    <row r="43" spans="2:12" x14ac:dyDescent="0.25">
      <c r="B43" s="11">
        <v>1111060</v>
      </c>
      <c r="C43" s="15" t="s">
        <v>33</v>
      </c>
      <c r="D43" s="30"/>
      <c r="E43" s="30">
        <v>2</v>
      </c>
      <c r="F43" s="30"/>
      <c r="G43" s="30"/>
      <c r="H43" s="30"/>
      <c r="I43" s="30"/>
      <c r="J43" s="43"/>
      <c r="K43" s="43"/>
      <c r="L43" s="36">
        <f t="shared" si="0"/>
        <v>2</v>
      </c>
    </row>
    <row r="44" spans="2:12" x14ac:dyDescent="0.25">
      <c r="B44" s="11">
        <v>1111061</v>
      </c>
      <c r="C44" s="15" t="s">
        <v>34</v>
      </c>
      <c r="D44" s="30"/>
      <c r="E44" s="30">
        <v>2</v>
      </c>
      <c r="F44" s="30"/>
      <c r="G44" s="30"/>
      <c r="H44" s="30"/>
      <c r="I44" s="30"/>
      <c r="J44" s="43"/>
      <c r="K44" s="43"/>
      <c r="L44" s="36">
        <f t="shared" si="0"/>
        <v>2</v>
      </c>
    </row>
    <row r="45" spans="2:12" x14ac:dyDescent="0.25">
      <c r="B45" s="11">
        <v>1111062</v>
      </c>
      <c r="C45" s="15" t="s">
        <v>35</v>
      </c>
      <c r="D45" s="30"/>
      <c r="E45" s="30">
        <v>2</v>
      </c>
      <c r="F45" s="30"/>
      <c r="G45" s="30"/>
      <c r="H45" s="30"/>
      <c r="I45" s="30"/>
      <c r="J45" s="43"/>
      <c r="K45" s="43"/>
      <c r="L45" s="36">
        <f t="shared" si="0"/>
        <v>2</v>
      </c>
    </row>
    <row r="46" spans="2:12" x14ac:dyDescent="0.25">
      <c r="B46" s="11">
        <v>1111063</v>
      </c>
      <c r="C46" s="15" t="s">
        <v>36</v>
      </c>
      <c r="D46" s="30"/>
      <c r="E46" s="30">
        <v>2</v>
      </c>
      <c r="F46" s="30"/>
      <c r="G46" s="30"/>
      <c r="H46" s="30"/>
      <c r="I46" s="30"/>
      <c r="J46" s="43"/>
      <c r="K46" s="43"/>
      <c r="L46" s="36">
        <f t="shared" si="0"/>
        <v>2</v>
      </c>
    </row>
    <row r="47" spans="2:12" x14ac:dyDescent="0.25">
      <c r="B47" s="11">
        <v>1111064</v>
      </c>
      <c r="C47" s="15" t="s">
        <v>37</v>
      </c>
      <c r="D47" s="30"/>
      <c r="E47" s="30">
        <v>1</v>
      </c>
      <c r="F47" s="30"/>
      <c r="G47" s="30"/>
      <c r="H47" s="30"/>
      <c r="I47" s="30"/>
      <c r="J47" s="43"/>
      <c r="K47" s="43"/>
      <c r="L47" s="36">
        <f t="shared" si="0"/>
        <v>1</v>
      </c>
    </row>
    <row r="48" spans="2:12" x14ac:dyDescent="0.25">
      <c r="B48" s="11">
        <v>1111065</v>
      </c>
      <c r="C48" s="15" t="s">
        <v>38</v>
      </c>
      <c r="D48" s="30"/>
      <c r="E48" s="30">
        <v>1</v>
      </c>
      <c r="F48" s="30"/>
      <c r="G48" s="30"/>
      <c r="H48" s="30"/>
      <c r="I48" s="30"/>
      <c r="J48" s="43"/>
      <c r="K48" s="43"/>
      <c r="L48" s="36">
        <f t="shared" si="0"/>
        <v>1</v>
      </c>
    </row>
    <row r="49" spans="2:12" x14ac:dyDescent="0.25">
      <c r="B49" s="11">
        <v>1111066</v>
      </c>
      <c r="C49" s="15" t="s">
        <v>39</v>
      </c>
      <c r="D49" s="30"/>
      <c r="E49" s="30">
        <v>1</v>
      </c>
      <c r="F49" s="30"/>
      <c r="G49" s="30"/>
      <c r="H49" s="30"/>
      <c r="I49" s="30"/>
      <c r="J49" s="43"/>
      <c r="K49" s="43"/>
      <c r="L49" s="36">
        <f t="shared" si="0"/>
        <v>1</v>
      </c>
    </row>
    <row r="50" spans="2:12" x14ac:dyDescent="0.25">
      <c r="B50" s="11">
        <v>1111067</v>
      </c>
      <c r="C50" s="15" t="s">
        <v>40</v>
      </c>
      <c r="D50" s="30"/>
      <c r="E50" s="30">
        <v>1</v>
      </c>
      <c r="F50" s="30"/>
      <c r="G50" s="30"/>
      <c r="H50" s="30"/>
      <c r="I50" s="30"/>
      <c r="J50" s="43"/>
      <c r="K50" s="43"/>
      <c r="L50" s="36">
        <f t="shared" si="0"/>
        <v>1</v>
      </c>
    </row>
    <row r="51" spans="2:12" x14ac:dyDescent="0.25">
      <c r="B51" s="11">
        <v>1111068</v>
      </c>
      <c r="C51" s="15" t="s">
        <v>41</v>
      </c>
      <c r="D51" s="30"/>
      <c r="E51" s="30">
        <v>1</v>
      </c>
      <c r="F51" s="30"/>
      <c r="G51" s="30"/>
      <c r="H51" s="30"/>
      <c r="I51" s="30"/>
      <c r="J51" s="43"/>
      <c r="K51" s="43"/>
      <c r="L51" s="36">
        <f t="shared" si="0"/>
        <v>1</v>
      </c>
    </row>
    <row r="52" spans="2:12" x14ac:dyDescent="0.25">
      <c r="B52" s="11">
        <v>1111069</v>
      </c>
      <c r="C52" s="15" t="s">
        <v>42</v>
      </c>
      <c r="D52" s="30"/>
      <c r="E52" s="30">
        <v>1</v>
      </c>
      <c r="F52" s="30"/>
      <c r="G52" s="30"/>
      <c r="H52" s="30"/>
      <c r="I52" s="30"/>
      <c r="J52" s="43"/>
      <c r="K52" s="43"/>
      <c r="L52" s="36">
        <f t="shared" si="0"/>
        <v>1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109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>
        <v>6</v>
      </c>
      <c r="F69" s="30">
        <v>7</v>
      </c>
      <c r="G69" s="30">
        <v>1</v>
      </c>
      <c r="H69" s="30"/>
      <c r="I69" s="30"/>
      <c r="J69" s="43"/>
      <c r="K69" s="43"/>
      <c r="L69" s="36">
        <f t="shared" ref="L69:L76" si="1">SUM(D69:K69)</f>
        <v>14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14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1</v>
      </c>
      <c r="E87" s="30">
        <v>14</v>
      </c>
      <c r="F87" s="30"/>
      <c r="G87" s="30">
        <v>75</v>
      </c>
      <c r="H87" s="30"/>
      <c r="I87" s="30"/>
      <c r="J87" s="43"/>
      <c r="K87" s="43"/>
      <c r="L87" s="36">
        <f t="shared" si="2"/>
        <v>90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>
        <v>1</v>
      </c>
      <c r="E90" s="30"/>
      <c r="F90" s="30"/>
      <c r="G90" s="30">
        <v>51</v>
      </c>
      <c r="H90" s="30"/>
      <c r="I90" s="30"/>
      <c r="J90" s="43"/>
      <c r="K90" s="43"/>
      <c r="L90" s="36">
        <f t="shared" ref="L90:L99" si="3">SUM(D90:K90)</f>
        <v>52</v>
      </c>
    </row>
    <row r="91" spans="2:12" x14ac:dyDescent="0.25">
      <c r="B91" s="11">
        <v>1112011</v>
      </c>
      <c r="C91" s="19" t="s">
        <v>76</v>
      </c>
      <c r="D91" s="30"/>
      <c r="E91" s="30">
        <v>1</v>
      </c>
      <c r="F91" s="30">
        <v>4</v>
      </c>
      <c r="G91" s="30">
        <v>51</v>
      </c>
      <c r="H91" s="30"/>
      <c r="I91" s="30"/>
      <c r="J91" s="43"/>
      <c r="K91" s="43"/>
      <c r="L91" s="36">
        <f t="shared" si="3"/>
        <v>56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>
        <v>50</v>
      </c>
      <c r="H92" s="30"/>
      <c r="I92" s="30"/>
      <c r="J92" s="43"/>
      <c r="K92" s="43"/>
      <c r="L92" s="36">
        <f t="shared" si="3"/>
        <v>50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>
        <v>51</v>
      </c>
      <c r="H93" s="30"/>
      <c r="I93" s="30"/>
      <c r="J93" s="43"/>
      <c r="K93" s="43"/>
      <c r="L93" s="36">
        <f t="shared" si="3"/>
        <v>51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>
        <v>20</v>
      </c>
      <c r="H97" s="30"/>
      <c r="I97" s="30"/>
      <c r="J97" s="43"/>
      <c r="K97" s="43"/>
      <c r="L97" s="36">
        <f t="shared" si="3"/>
        <v>20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>
        <v>20</v>
      </c>
      <c r="H98" s="30"/>
      <c r="I98" s="30"/>
      <c r="J98" s="43"/>
      <c r="K98" s="43"/>
      <c r="L98" s="36">
        <f t="shared" si="3"/>
        <v>20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249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>
        <v>100</v>
      </c>
      <c r="E121" s="30"/>
      <c r="F121" s="30"/>
      <c r="G121" s="30">
        <v>1</v>
      </c>
      <c r="H121" s="30"/>
      <c r="I121" s="30"/>
      <c r="J121" s="43"/>
      <c r="K121" s="43"/>
      <c r="L121" s="36">
        <f t="shared" si="5"/>
        <v>101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14</v>
      </c>
      <c r="E123" s="30">
        <v>5</v>
      </c>
      <c r="F123" s="30">
        <v>2</v>
      </c>
      <c r="G123" s="30">
        <v>149</v>
      </c>
      <c r="H123" s="30"/>
      <c r="I123" s="30"/>
      <c r="J123" s="43"/>
      <c r="K123" s="43"/>
      <c r="L123" s="36">
        <f t="shared" si="5"/>
        <v>170</v>
      </c>
    </row>
    <row r="124" spans="2:12" x14ac:dyDescent="0.25">
      <c r="B124" s="11">
        <v>1114502</v>
      </c>
      <c r="C124" s="21" t="s">
        <v>96</v>
      </c>
      <c r="D124" s="30">
        <v>3</v>
      </c>
      <c r="E124" s="30">
        <v>1</v>
      </c>
      <c r="F124" s="30">
        <v>2</v>
      </c>
      <c r="G124" s="30">
        <v>126</v>
      </c>
      <c r="H124" s="30"/>
      <c r="I124" s="30"/>
      <c r="J124" s="43"/>
      <c r="K124" s="43"/>
      <c r="L124" s="36">
        <f t="shared" si="5"/>
        <v>132</v>
      </c>
    </row>
    <row r="125" spans="2:12" x14ac:dyDescent="0.25">
      <c r="B125" s="11">
        <v>1114503</v>
      </c>
      <c r="C125" s="21" t="s">
        <v>97</v>
      </c>
      <c r="D125" s="30"/>
      <c r="E125" s="30">
        <v>1</v>
      </c>
      <c r="F125" s="30">
        <v>1</v>
      </c>
      <c r="G125" s="30">
        <v>123</v>
      </c>
      <c r="H125" s="30"/>
      <c r="I125" s="30"/>
      <c r="J125" s="43"/>
      <c r="K125" s="43"/>
      <c r="L125" s="36">
        <f t="shared" si="5"/>
        <v>125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3"/>
      <c r="C141" s="54"/>
      <c r="D141" s="31"/>
      <c r="E141" s="31"/>
      <c r="F141" s="31"/>
      <c r="G141" s="26"/>
      <c r="L141" s="55"/>
    </row>
    <row r="142" spans="2:12" x14ac:dyDescent="0.25">
      <c r="B142" s="53"/>
      <c r="C142" s="54"/>
      <c r="D142" s="31"/>
      <c r="E142" s="31"/>
      <c r="F142" s="31"/>
      <c r="G142" s="26"/>
      <c r="L142" s="55"/>
    </row>
    <row r="143" spans="2:12" x14ac:dyDescent="0.25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5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5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3.8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3.8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3.8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3.8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3.8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5">
      <c r="D151" s="31"/>
      <c r="E151" s="31"/>
      <c r="F151" s="31"/>
      <c r="G151" s="31"/>
      <c r="H151" s="31"/>
    </row>
    <row r="152" spans="2:12" x14ac:dyDescent="0.25">
      <c r="D152" s="31"/>
      <c r="E152" s="31"/>
      <c r="F152" s="31"/>
      <c r="G152" s="31"/>
      <c r="H152" s="31"/>
    </row>
    <row r="153" spans="2:12" x14ac:dyDescent="0.25">
      <c r="D153" s="31"/>
      <c r="E153" s="31"/>
      <c r="F153" s="31"/>
      <c r="G153" s="31"/>
      <c r="H153" s="31"/>
    </row>
    <row r="154" spans="2:12" x14ac:dyDescent="0.25">
      <c r="D154" s="31"/>
      <c r="E154" s="31"/>
      <c r="F154" s="31"/>
      <c r="G154" s="31"/>
      <c r="H154" s="31"/>
    </row>
    <row r="155" spans="2:12" x14ac:dyDescent="0.25">
      <c r="D155" s="31"/>
      <c r="E155" s="31"/>
      <c r="F155" s="31"/>
      <c r="G155" s="31"/>
      <c r="H155" s="31"/>
    </row>
    <row r="156" spans="2:12" x14ac:dyDescent="0.25">
      <c r="D156" s="31"/>
      <c r="E156" s="31"/>
      <c r="F156" s="31"/>
      <c r="G156" s="31"/>
      <c r="H156" s="31"/>
    </row>
    <row r="157" spans="2:12" x14ac:dyDescent="0.25">
      <c r="D157" s="31"/>
      <c r="E157" s="31"/>
      <c r="F157" s="31"/>
      <c r="G157" s="31"/>
      <c r="H157" s="31"/>
    </row>
    <row r="158" spans="2:12" x14ac:dyDescent="0.25">
      <c r="D158" s="31"/>
      <c r="E158" s="31"/>
      <c r="F158" s="31"/>
      <c r="G158" s="31"/>
      <c r="H158" s="31"/>
    </row>
    <row r="159" spans="2:12" x14ac:dyDescent="0.25">
      <c r="D159" s="31"/>
      <c r="E159" s="31"/>
      <c r="F159" s="31"/>
      <c r="G159" s="31"/>
      <c r="H159" s="31"/>
    </row>
    <row r="160" spans="2:12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63"/>
  <sheetViews>
    <sheetView tabSelected="1" topLeftCell="A108" zoomScale="50" zoomScaleNormal="50" workbookViewId="0">
      <selection activeCell="A108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2" t="s">
        <v>144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spans="2:18" x14ac:dyDescent="0.25">
      <c r="B2" s="73"/>
      <c r="C2" s="74"/>
      <c r="D2" s="1"/>
      <c r="E2" s="75"/>
      <c r="F2" s="75"/>
      <c r="G2" s="2"/>
      <c r="H2" s="2"/>
      <c r="I2" s="2"/>
      <c r="J2" s="2"/>
      <c r="K2" s="2"/>
      <c r="L2" s="2"/>
      <c r="M2" s="3" t="s">
        <v>0</v>
      </c>
      <c r="N2" s="69" t="s">
        <v>127</v>
      </c>
      <c r="O2" s="69" t="s">
        <v>130</v>
      </c>
      <c r="P2" s="69" t="s">
        <v>140</v>
      </c>
      <c r="Q2" s="69" t="s">
        <v>141</v>
      </c>
      <c r="R2" s="77" t="s">
        <v>1</v>
      </c>
    </row>
    <row r="3" spans="2:18" x14ac:dyDescent="0.25">
      <c r="B3" s="73"/>
      <c r="C3" s="74"/>
      <c r="D3" s="4"/>
      <c r="E3" s="76"/>
      <c r="F3" s="76"/>
      <c r="G3" s="5"/>
      <c r="H3" s="5"/>
      <c r="I3" s="5"/>
      <c r="J3" s="80"/>
      <c r="K3" s="41"/>
      <c r="L3" s="41"/>
      <c r="M3" s="6" t="s">
        <v>2</v>
      </c>
      <c r="N3" s="70"/>
      <c r="O3" s="70"/>
      <c r="P3" s="70"/>
      <c r="Q3" s="70"/>
      <c r="R3" s="78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146</v>
      </c>
      <c r="K4" s="42" t="s">
        <v>133</v>
      </c>
      <c r="L4" s="42" t="s">
        <v>136</v>
      </c>
      <c r="M4" s="10" t="s">
        <v>10</v>
      </c>
      <c r="N4" s="71"/>
      <c r="O4" s="71"/>
      <c r="P4" s="71"/>
      <c r="Q4" s="71"/>
      <c r="R4" s="79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66" t="s">
        <v>11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8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9</v>
      </c>
      <c r="F7" s="30">
        <f>'เย็น '!F7+'เช้า '!F7+บ่าย!F7</f>
        <v>9</v>
      </c>
      <c r="G7" s="30">
        <f>'เย็น '!G7+'เช้า '!G7+บ่าย!G7</f>
        <v>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+G7+H7+I7</f>
        <v>9</v>
      </c>
      <c r="K7" s="30">
        <f>'เย็น '!J7+'เช้า '!J7+บ่าย!J7</f>
        <v>0</v>
      </c>
      <c r="L7" s="30">
        <f>'เย็น '!K7+'เช้า '!K7+บ่าย!K7</f>
        <v>0</v>
      </c>
      <c r="M7" s="36">
        <f>+D7+E7+F7+J7+K7+L7</f>
        <v>27</v>
      </c>
      <c r="N7" s="11">
        <v>90</v>
      </c>
      <c r="O7" s="11"/>
      <c r="P7" s="11"/>
      <c r="Q7" s="11">
        <v>137</v>
      </c>
      <c r="R7" s="44">
        <f>(N7+O7+P7+Q7)-M7</f>
        <v>200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11</v>
      </c>
      <c r="F25" s="30">
        <f>'เย็น '!F25+'เช้า '!F25+บ่าย!F25</f>
        <v>1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1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13</v>
      </c>
      <c r="N25" s="11">
        <v>20</v>
      </c>
      <c r="O25" s="11">
        <v>25</v>
      </c>
      <c r="P25" s="11"/>
      <c r="Q25" s="11">
        <v>20</v>
      </c>
      <c r="R25" s="44">
        <f t="shared" si="2"/>
        <v>52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48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 t="shared" si="0"/>
        <v>48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49</v>
      </c>
      <c r="N26" s="11">
        <v>140</v>
      </c>
      <c r="O26" s="11">
        <v>1</v>
      </c>
      <c r="P26" s="11"/>
      <c r="Q26" s="11">
        <v>120</v>
      </c>
      <c r="R26" s="44">
        <f t="shared" si="2"/>
        <v>212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2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2</v>
      </c>
      <c r="N40" s="11"/>
      <c r="O40" s="11"/>
      <c r="P40" s="11"/>
      <c r="Q40" s="11"/>
      <c r="R40" s="44">
        <f t="shared" si="2"/>
        <v>-2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2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2</v>
      </c>
      <c r="N41" s="11"/>
      <c r="O41" s="11"/>
      <c r="P41" s="11"/>
      <c r="Q41" s="11"/>
      <c r="R41" s="44">
        <f t="shared" si="2"/>
        <v>-2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2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2</v>
      </c>
      <c r="N42" s="11"/>
      <c r="O42" s="11"/>
      <c r="P42" s="11"/>
      <c r="Q42" s="11"/>
      <c r="R42" s="44">
        <f t="shared" si="2"/>
        <v>-2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2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2</v>
      </c>
      <c r="N43" s="11"/>
      <c r="O43" s="11"/>
      <c r="P43" s="11"/>
      <c r="Q43" s="11"/>
      <c r="R43" s="44">
        <f t="shared" si="2"/>
        <v>-2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2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2</v>
      </c>
      <c r="N44" s="11"/>
      <c r="O44" s="11"/>
      <c r="P44" s="11"/>
      <c r="Q44" s="11"/>
      <c r="R44" s="44">
        <f t="shared" si="2"/>
        <v>-2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2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2</v>
      </c>
      <c r="N45" s="11"/>
      <c r="O45" s="11"/>
      <c r="P45" s="11"/>
      <c r="Q45" s="11"/>
      <c r="R45" s="44">
        <f t="shared" si="2"/>
        <v>-2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2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2</v>
      </c>
      <c r="N46" s="11"/>
      <c r="O46" s="11"/>
      <c r="P46" s="11"/>
      <c r="Q46" s="11"/>
      <c r="R46" s="44">
        <f t="shared" si="2"/>
        <v>-2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1</v>
      </c>
      <c r="N47" s="11"/>
      <c r="O47" s="11"/>
      <c r="P47" s="11"/>
      <c r="Q47" s="11"/>
      <c r="R47" s="44">
        <f t="shared" si="2"/>
        <v>-1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1</v>
      </c>
      <c r="N48" s="11"/>
      <c r="O48" s="11"/>
      <c r="P48" s="11"/>
      <c r="Q48" s="11"/>
      <c r="R48" s="44">
        <f t="shared" si="2"/>
        <v>-1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1</v>
      </c>
      <c r="N49" s="11"/>
      <c r="O49" s="11"/>
      <c r="P49" s="11"/>
      <c r="Q49" s="11"/>
      <c r="R49" s="44">
        <f t="shared" si="2"/>
        <v>-1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1</v>
      </c>
      <c r="N50" s="11"/>
      <c r="O50" s="11"/>
      <c r="P50" s="11"/>
      <c r="Q50" s="11"/>
      <c r="R50" s="44">
        <f t="shared" si="2"/>
        <v>-1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1</v>
      </c>
      <c r="N51" s="11"/>
      <c r="O51" s="11"/>
      <c r="P51" s="11"/>
      <c r="Q51" s="11"/>
      <c r="R51" s="44">
        <f t="shared" si="2"/>
        <v>-1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1</v>
      </c>
      <c r="N52" s="11"/>
      <c r="O52" s="11"/>
      <c r="P52" s="11"/>
      <c r="Q52" s="11"/>
      <c r="R52" s="44">
        <f t="shared" si="2"/>
        <v>-1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66" t="s">
        <v>55</v>
      </c>
      <c r="C68" s="67"/>
      <c r="D68" s="67"/>
      <c r="E68" s="67"/>
      <c r="F68" s="67"/>
      <c r="G68" s="67"/>
      <c r="H68" s="67"/>
      <c r="I68" s="67"/>
      <c r="J68" s="30">
        <f t="shared" si="0"/>
        <v>0</v>
      </c>
      <c r="K68" s="67"/>
      <c r="L68" s="67"/>
      <c r="M68" s="36">
        <f t="shared" si="1"/>
        <v>0</v>
      </c>
      <c r="N68" s="67"/>
      <c r="O68" s="67"/>
      <c r="P68" s="67"/>
      <c r="Q68" s="67"/>
      <c r="R68" s="68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6</v>
      </c>
      <c r="F69" s="30">
        <f>'เย็น '!F69+'เช้า '!F69+บ่าย!F69</f>
        <v>7</v>
      </c>
      <c r="G69" s="30">
        <f>'เย็น '!G69+'เช้า '!G69+บ่าย!G69</f>
        <v>1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1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14</v>
      </c>
      <c r="N69" s="11">
        <v>15</v>
      </c>
      <c r="O69" s="11">
        <v>26</v>
      </c>
      <c r="P69" s="11"/>
      <c r="Q69" s="11">
        <v>20</v>
      </c>
      <c r="R69" s="44">
        <f t="shared" ref="R69:R76" si="4">(N69+O69+P69+Q69)-M69</f>
        <v>47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66" t="s">
        <v>64</v>
      </c>
      <c r="C78" s="67"/>
      <c r="D78" s="67"/>
      <c r="E78" s="67"/>
      <c r="F78" s="67"/>
      <c r="G78" s="67"/>
      <c r="H78" s="67"/>
      <c r="I78" s="67"/>
      <c r="J78" s="30">
        <f t="shared" si="5"/>
        <v>0</v>
      </c>
      <c r="K78" s="67"/>
      <c r="L78" s="67"/>
      <c r="M78" s="36">
        <f t="shared" si="6"/>
        <v>0</v>
      </c>
      <c r="N78" s="67"/>
      <c r="O78" s="67"/>
      <c r="P78" s="67"/>
      <c r="Q78" s="67"/>
      <c r="R78" s="68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14</v>
      </c>
      <c r="F87" s="30">
        <f>'เย็น '!F87+'เช้า '!F87+บ่าย!F87</f>
        <v>0</v>
      </c>
      <c r="G87" s="30">
        <f>'เย็น '!G87+'เช้า '!G87+บ่าย!G87</f>
        <v>75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 t="shared" si="5"/>
        <v>75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90</v>
      </c>
      <c r="N87" s="11">
        <v>90</v>
      </c>
      <c r="O87" s="11">
        <v>62</v>
      </c>
      <c r="P87" s="11"/>
      <c r="Q87" s="11">
        <v>120</v>
      </c>
      <c r="R87" s="44">
        <f t="shared" si="8"/>
        <v>182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66" t="s">
        <v>74</v>
      </c>
      <c r="C89" s="67"/>
      <c r="D89" s="67"/>
      <c r="E89" s="67"/>
      <c r="F89" s="67"/>
      <c r="G89" s="67"/>
      <c r="H89" s="67"/>
      <c r="I89" s="67"/>
      <c r="J89" s="30">
        <f t="shared" si="5"/>
        <v>0</v>
      </c>
      <c r="K89" s="67"/>
      <c r="L89" s="67"/>
      <c r="M89" s="36">
        <f t="shared" si="6"/>
        <v>0</v>
      </c>
      <c r="N89" s="67"/>
      <c r="O89" s="67"/>
      <c r="P89" s="67"/>
      <c r="Q89" s="67"/>
      <c r="R89" s="68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1</v>
      </c>
      <c r="E90" s="30">
        <f>'เย็น '!E90+'เช้า '!E90+บ่าย!E90</f>
        <v>0</v>
      </c>
      <c r="F90" s="30">
        <f>'เย็น '!F90+'เช้า '!F90+บ่าย!F90</f>
        <v>0</v>
      </c>
      <c r="G90" s="30">
        <f>'เย็น '!G90+'เช้า '!G90+บ่าย!G90</f>
        <v>51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 t="shared" si="5"/>
        <v>51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52</v>
      </c>
      <c r="N90" s="11">
        <v>50</v>
      </c>
      <c r="O90" s="11">
        <v>71</v>
      </c>
      <c r="P90" s="11"/>
      <c r="Q90" s="11">
        <v>80</v>
      </c>
      <c r="R90" s="44">
        <f t="shared" ref="R90:R100" si="9">(N90+O90+P90+Q90)-M90</f>
        <v>149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1</v>
      </c>
      <c r="F91" s="30">
        <f>'เย็น '!F91+'เช้า '!F91+บ่าย!F91</f>
        <v>4</v>
      </c>
      <c r="G91" s="30">
        <f>'เย็น '!G91+'เช้า '!G91+บ่าย!G91</f>
        <v>51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 t="shared" si="5"/>
        <v>51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56</v>
      </c>
      <c r="N91" s="11">
        <v>50</v>
      </c>
      <c r="O91" s="11">
        <v>67</v>
      </c>
      <c r="P91" s="11"/>
      <c r="Q91" s="11">
        <v>80</v>
      </c>
      <c r="R91" s="44">
        <f t="shared" si="9"/>
        <v>141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50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 t="shared" si="5"/>
        <v>50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50</v>
      </c>
      <c r="N92" s="11">
        <v>97</v>
      </c>
      <c r="O92" s="11"/>
      <c r="P92" s="11"/>
      <c r="Q92" s="11">
        <v>65</v>
      </c>
      <c r="R92" s="44">
        <f t="shared" si="9"/>
        <v>112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51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 t="shared" si="5"/>
        <v>51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51</v>
      </c>
      <c r="N93" s="11">
        <v>50</v>
      </c>
      <c r="O93" s="11">
        <v>65</v>
      </c>
      <c r="P93" s="11"/>
      <c r="Q93" s="11">
        <v>81</v>
      </c>
      <c r="R93" s="44">
        <f t="shared" si="9"/>
        <v>145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20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 t="shared" si="5"/>
        <v>20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20</v>
      </c>
      <c r="N97" s="11">
        <v>65</v>
      </c>
      <c r="O97" s="11">
        <v>1</v>
      </c>
      <c r="P97" s="11"/>
      <c r="Q97" s="11">
        <v>75</v>
      </c>
      <c r="R97" s="44">
        <f t="shared" si="9"/>
        <v>121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 t="shared" si="5"/>
        <v>20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20</v>
      </c>
      <c r="N98" s="11">
        <v>50</v>
      </c>
      <c r="O98" s="11">
        <v>25</v>
      </c>
      <c r="P98" s="11"/>
      <c r="Q98" s="11">
        <v>60</v>
      </c>
      <c r="R98" s="44">
        <f t="shared" si="9"/>
        <v>115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362</v>
      </c>
      <c r="O100" s="11">
        <f>SUM(O90:O99)</f>
        <v>229</v>
      </c>
      <c r="P100" s="11">
        <f>SUM(P90:P99)</f>
        <v>0</v>
      </c>
      <c r="Q100" s="11">
        <f>SUM(Q90:Q99)</f>
        <v>441</v>
      </c>
      <c r="R100" s="44">
        <f t="shared" si="9"/>
        <v>1032</v>
      </c>
    </row>
    <row r="101" spans="2:18" x14ac:dyDescent="0.25">
      <c r="B101" s="66" t="s">
        <v>85</v>
      </c>
      <c r="C101" s="67"/>
      <c r="D101" s="67"/>
      <c r="E101" s="67"/>
      <c r="F101" s="67"/>
      <c r="G101" s="67"/>
      <c r="H101" s="67"/>
      <c r="I101" s="67"/>
      <c r="J101" s="30">
        <f t="shared" si="5"/>
        <v>0</v>
      </c>
      <c r="K101" s="67"/>
      <c r="L101" s="67"/>
      <c r="M101" s="36">
        <f t="shared" si="6"/>
        <v>0</v>
      </c>
      <c r="N101" s="67"/>
      <c r="O101" s="67"/>
      <c r="P101" s="67"/>
      <c r="Q101" s="67"/>
      <c r="R101" s="68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43"/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43"/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43"/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43"/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43"/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43"/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43"/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43"/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43"/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43"/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66" t="s">
        <v>86</v>
      </c>
      <c r="C113" s="67"/>
      <c r="D113" s="67"/>
      <c r="E113" s="67"/>
      <c r="F113" s="67"/>
      <c r="G113" s="67"/>
      <c r="H113" s="67"/>
      <c r="I113" s="67"/>
      <c r="J113" s="30">
        <f t="shared" si="5"/>
        <v>0</v>
      </c>
      <c r="K113" s="67"/>
      <c r="L113" s="67"/>
      <c r="M113" s="36">
        <f t="shared" si="6"/>
        <v>0</v>
      </c>
      <c r="N113" s="67"/>
      <c r="O113" s="67"/>
      <c r="P113" s="67"/>
      <c r="Q113" s="67"/>
      <c r="R113" s="68"/>
    </row>
    <row r="114" spans="2:18" x14ac:dyDescent="0.25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 t="shared" si="5"/>
        <v>0</v>
      </c>
      <c r="K114" s="30">
        <f>'เย็น '!J114+'เช้า '!J114+บ่าย!J114</f>
        <v>0</v>
      </c>
      <c r="L114" s="30">
        <f>'เย็น '!K114+'เช้า '!K114+บ่าย!K114</f>
        <v>0</v>
      </c>
      <c r="M114" s="36">
        <f t="shared" si="6"/>
        <v>0</v>
      </c>
      <c r="N114" s="11"/>
      <c r="O114" s="11"/>
      <c r="P114" s="11"/>
      <c r="Q114" s="11"/>
      <c r="R114" s="44">
        <f t="shared" ref="R114:R140" si="11">(N114+O114+P114+Q114)-M114</f>
        <v>0</v>
      </c>
    </row>
    <row r="115" spans="2:18" x14ac:dyDescent="0.25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 t="shared" si="5"/>
        <v>0</v>
      </c>
      <c r="K115" s="30">
        <f>'เย็น '!J115+'เช้า '!J115+บ่าย!J115</f>
        <v>0</v>
      </c>
      <c r="L115" s="30">
        <f>'เย็น '!K115+'เช้า '!K115+บ่าย!K115</f>
        <v>0</v>
      </c>
      <c r="M115" s="36">
        <f t="shared" si="6"/>
        <v>0</v>
      </c>
      <c r="N115" s="11"/>
      <c r="O115" s="11"/>
      <c r="P115" s="11"/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 t="shared" si="5"/>
        <v>0</v>
      </c>
      <c r="K116" s="30">
        <f>'เย็น '!J116+'เช้า '!J116+บ่าย!J116</f>
        <v>0</v>
      </c>
      <c r="L116" s="30">
        <f>'เย็น '!K116+'เช้า '!K116+บ่าย!K116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 t="shared" si="5"/>
        <v>0</v>
      </c>
      <c r="K117" s="30">
        <f>'เย็น '!J117+'เช้า '!J117+บ่าย!J117</f>
        <v>0</v>
      </c>
      <c r="L117" s="30">
        <f>'เย็น '!K117+'เช้า '!K117+บ่าย!K117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 t="shared" si="5"/>
        <v>0</v>
      </c>
      <c r="K118" s="30">
        <f>'เย็น '!J118+'เช้า '!J118+บ่าย!J118</f>
        <v>0</v>
      </c>
      <c r="L118" s="30">
        <f>'เย็น '!K118+'เช้า '!K118+บ่าย!K118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 t="shared" si="5"/>
        <v>0</v>
      </c>
      <c r="K119" s="30">
        <f>'เย็น '!J119+'เช้า '!J119+บ่าย!J119</f>
        <v>0</v>
      </c>
      <c r="L119" s="30">
        <f>'เย็น '!K119+'เช้า '!K119+บ่าย!K119</f>
        <v>0</v>
      </c>
      <c r="M119" s="36">
        <f t="shared" si="6"/>
        <v>0</v>
      </c>
      <c r="N119" s="11"/>
      <c r="O119" s="11">
        <v>1</v>
      </c>
      <c r="P119" s="11"/>
      <c r="Q119" s="11"/>
      <c r="R119" s="44">
        <f t="shared" si="11"/>
        <v>1</v>
      </c>
    </row>
    <row r="120" spans="2:18" x14ac:dyDescent="0.25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 t="shared" si="5"/>
        <v>0</v>
      </c>
      <c r="K120" s="30">
        <f>'เย็น '!J120+'เช้า '!J120+บ่าย!J120</f>
        <v>0</v>
      </c>
      <c r="L120" s="30">
        <f>'เย็น '!K120+'เช้า '!K120+บ่าย!K120</f>
        <v>0</v>
      </c>
      <c r="M120" s="36">
        <f t="shared" si="6"/>
        <v>0</v>
      </c>
      <c r="N120" s="11"/>
      <c r="O120" s="11"/>
      <c r="P120" s="11"/>
      <c r="Q120" s="11"/>
      <c r="R120" s="44">
        <f t="shared" si="11"/>
        <v>0</v>
      </c>
    </row>
    <row r="121" spans="2:18" x14ac:dyDescent="0.25">
      <c r="B121" s="11">
        <v>1200001</v>
      </c>
      <c r="C121" s="21" t="s">
        <v>93</v>
      </c>
      <c r="D121" s="30">
        <f>'เย็น '!D121+'เช้า '!D121+บ่าย!D121</f>
        <v>100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1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 t="shared" si="5"/>
        <v>1</v>
      </c>
      <c r="K121" s="30">
        <f>'เย็น '!J121+'เช้า '!J121+บ่าย!J121</f>
        <v>0</v>
      </c>
      <c r="L121" s="30">
        <f>'เย็น '!K121+'เช้า '!K121+บ่าย!K121</f>
        <v>0</v>
      </c>
      <c r="M121" s="36">
        <f t="shared" si="6"/>
        <v>101</v>
      </c>
      <c r="N121" s="11"/>
      <c r="O121" s="11">
        <v>1</v>
      </c>
      <c r="P121" s="11"/>
      <c r="Q121" s="11"/>
      <c r="R121" s="44">
        <f t="shared" si="11"/>
        <v>-100</v>
      </c>
    </row>
    <row r="122" spans="2:18" x14ac:dyDescent="0.25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 t="shared" si="5"/>
        <v>0</v>
      </c>
      <c r="K122" s="30">
        <f>'เย็น '!J122+'เช้า '!J122+บ่าย!J122</f>
        <v>0</v>
      </c>
      <c r="L122" s="30">
        <f>'เย็น '!K122+'เช้า '!K122+บ่าย!K122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'เย็น '!D123+'เช้า '!D123+บ่าย!D123</f>
        <v>14</v>
      </c>
      <c r="E123" s="30">
        <f>'เย็น '!E123+'เช้า '!E123+บ่าย!E123</f>
        <v>5</v>
      </c>
      <c r="F123" s="30">
        <f>'เย็น '!F123+'เช้า '!F123+บ่าย!F123</f>
        <v>2</v>
      </c>
      <c r="G123" s="30">
        <f>'เย็น '!G123+'เช้า '!G123+บ่าย!G123</f>
        <v>149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 t="shared" si="5"/>
        <v>149</v>
      </c>
      <c r="K123" s="30">
        <f>'เย็น '!J123+'เช้า '!J123+บ่าย!J123</f>
        <v>0</v>
      </c>
      <c r="L123" s="30">
        <f>'เย็น '!K123+'เช้า '!K123+บ่าย!K123</f>
        <v>0</v>
      </c>
      <c r="M123" s="36">
        <f t="shared" si="6"/>
        <v>170</v>
      </c>
      <c r="N123" s="11">
        <v>312</v>
      </c>
      <c r="O123" s="11">
        <v>162</v>
      </c>
      <c r="P123" s="11"/>
      <c r="Q123" s="11">
        <v>600</v>
      </c>
      <c r="R123" s="44">
        <f t="shared" si="11"/>
        <v>904</v>
      </c>
    </row>
    <row r="124" spans="2:18" x14ac:dyDescent="0.25">
      <c r="B124" s="11">
        <v>1114502</v>
      </c>
      <c r="C124" s="21" t="s">
        <v>96</v>
      </c>
      <c r="D124" s="30">
        <f>'เย็น '!D124+'เช้า '!D124+บ่าย!D124</f>
        <v>3</v>
      </c>
      <c r="E124" s="30">
        <f>'เย็น '!E124+'เช้า '!E124+บ่าย!E124</f>
        <v>1</v>
      </c>
      <c r="F124" s="30">
        <f>'เย็น '!F124+'เช้า '!F124+บ่าย!F124</f>
        <v>2</v>
      </c>
      <c r="G124" s="30">
        <f>'เย็น '!G124+'เช้า '!G124+บ่าย!G124</f>
        <v>126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 t="shared" si="5"/>
        <v>126</v>
      </c>
      <c r="K124" s="30">
        <f>'เย็น '!J124+'เช้า '!J124+บ่าย!J124</f>
        <v>0</v>
      </c>
      <c r="L124" s="30">
        <f>'เย็น '!K124+'เช้า '!K124+บ่าย!K124</f>
        <v>0</v>
      </c>
      <c r="M124" s="36">
        <f t="shared" si="6"/>
        <v>132</v>
      </c>
      <c r="N124" s="11">
        <v>246</v>
      </c>
      <c r="O124" s="11">
        <v>73</v>
      </c>
      <c r="P124" s="11"/>
      <c r="Q124" s="11">
        <v>500</v>
      </c>
      <c r="R124" s="44">
        <f t="shared" si="11"/>
        <v>687</v>
      </c>
    </row>
    <row r="125" spans="2:18" x14ac:dyDescent="0.25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1</v>
      </c>
      <c r="F125" s="30">
        <f>'เย็น '!F125+'เช้า '!F125+บ่าย!F125</f>
        <v>1</v>
      </c>
      <c r="G125" s="30">
        <f>'เย็น '!G125+'เช้า '!G125+บ่าย!G125</f>
        <v>123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 t="shared" si="5"/>
        <v>123</v>
      </c>
      <c r="K125" s="30">
        <f>'เย็น '!J125+'เช้า '!J125+บ่าย!J125</f>
        <v>0</v>
      </c>
      <c r="L125" s="30">
        <f>'เย็น '!K125+'เช้า '!K125+บ่าย!K125</f>
        <v>0</v>
      </c>
      <c r="M125" s="36">
        <f t="shared" si="6"/>
        <v>125</v>
      </c>
      <c r="N125" s="11">
        <v>300</v>
      </c>
      <c r="O125" s="11">
        <v>57</v>
      </c>
      <c r="P125" s="11"/>
      <c r="Q125" s="11">
        <v>500</v>
      </c>
      <c r="R125" s="44">
        <f t="shared" si="11"/>
        <v>732</v>
      </c>
    </row>
    <row r="126" spans="2:18" x14ac:dyDescent="0.25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 t="shared" si="5"/>
        <v>0</v>
      </c>
      <c r="K126" s="30">
        <f>'เย็น '!J126+'เช้า '!J126+บ่าย!J126</f>
        <v>0</v>
      </c>
      <c r="L126" s="30">
        <f>'เย็น '!K126+'เช้า '!K126+บ่าย!K126</f>
        <v>0</v>
      </c>
      <c r="M126" s="36">
        <f t="shared" si="6"/>
        <v>0</v>
      </c>
      <c r="N126" s="11">
        <v>34</v>
      </c>
      <c r="O126" s="11"/>
      <c r="P126" s="11"/>
      <c r="Q126" s="11">
        <v>20</v>
      </c>
      <c r="R126" s="44">
        <f t="shared" si="11"/>
        <v>54</v>
      </c>
    </row>
    <row r="127" spans="2:18" x14ac:dyDescent="0.25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 t="shared" si="5"/>
        <v>0</v>
      </c>
      <c r="K127" s="30">
        <f>'เย็น '!J127+'เช้า '!J127+บ่าย!J127</f>
        <v>0</v>
      </c>
      <c r="L127" s="30">
        <f>'เย็น '!K127+'เช้า '!K127+บ่าย!K127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 t="shared" si="5"/>
        <v>0</v>
      </c>
      <c r="K128" s="30">
        <f>'เย็น '!J128+'เช้า '!J128+บ่าย!J128</f>
        <v>0</v>
      </c>
      <c r="L128" s="30">
        <f>'เย็น '!K128+'เช้า '!K128+บ่าย!K128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8" x14ac:dyDescent="0.25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 t="shared" si="5"/>
        <v>0</v>
      </c>
      <c r="K129" s="30">
        <f>'เย็น '!J129+'เช้า '!J129+บ่าย!J129</f>
        <v>0</v>
      </c>
      <c r="L129" s="30">
        <f>'เย็น '!K129+'เช้า '!K129+บ่าย!K129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8" x14ac:dyDescent="0.25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 t="shared" si="5"/>
        <v>0</v>
      </c>
      <c r="K130" s="30">
        <f>'เย็น '!J130+'เช้า '!J130+บ่าย!J130</f>
        <v>0</v>
      </c>
      <c r="L130" s="30">
        <f>'เย็น '!K130+'เช้า '!K130+บ่าย!K130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8" x14ac:dyDescent="0.25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 t="shared" si="5"/>
        <v>0</v>
      </c>
      <c r="K131" s="30">
        <f>'เย็น '!J131+'เช้า '!J131+บ่าย!J131</f>
        <v>0</v>
      </c>
      <c r="L131" s="30">
        <f>'เย็น '!K131+'เช้า '!K131+บ่าย!K131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8" x14ac:dyDescent="0.25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 t="shared" si="5"/>
        <v>0</v>
      </c>
      <c r="K132" s="30">
        <f>'เย็น '!J132+'เช้า '!J132+บ่าย!J132</f>
        <v>0</v>
      </c>
      <c r="L132" s="30">
        <f>'เย็น '!K132+'เช้า '!K132+บ่าย!K132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8" x14ac:dyDescent="0.25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 t="shared" si="5"/>
        <v>0</v>
      </c>
      <c r="K133" s="30">
        <f>'เย็น '!J133+'เช้า '!J133+บ่าย!J133</f>
        <v>0</v>
      </c>
      <c r="L133" s="30">
        <f>'เย็น '!K133+'เช้า '!K133+บ่าย!K133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8" x14ac:dyDescent="0.25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 t="shared" si="5"/>
        <v>0</v>
      </c>
      <c r="K134" s="30">
        <f>'เย็น '!J134+'เช้า '!J134+บ่าย!J134</f>
        <v>0</v>
      </c>
      <c r="L134" s="30">
        <f>'เย็น '!K134+'เช้า '!K134+บ่าย!K134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8" x14ac:dyDescent="0.25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 t="shared" si="5"/>
        <v>0</v>
      </c>
      <c r="K135" s="30">
        <f>'เย็น '!J135+'เช้า '!J135+บ่าย!J135</f>
        <v>0</v>
      </c>
      <c r="L135" s="30">
        <f>'เย็น '!K135+'เช้า '!K135+บ่าย!K135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8" x14ac:dyDescent="0.25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 t="shared" ref="J136:J140" si="12">+G136+H136+I136</f>
        <v>0</v>
      </c>
      <c r="K136" s="30">
        <f>'เย็น '!J136+'เช้า '!J136+บ่าย!J136</f>
        <v>0</v>
      </c>
      <c r="L136" s="30">
        <f>'เย็น '!K136+'เช้า '!K136+บ่าย!K136</f>
        <v>0</v>
      </c>
      <c r="M136" s="36">
        <f t="shared" ref="M136:M140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8" x14ac:dyDescent="0.25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 t="shared" si="12"/>
        <v>0</v>
      </c>
      <c r="K137" s="30">
        <f>'เย็น '!J137+'เช้า '!J137+บ่าย!J137</f>
        <v>0</v>
      </c>
      <c r="L137" s="30">
        <f>'เย็น '!K137+'เช้า '!K137+บ่าย!K137</f>
        <v>0</v>
      </c>
      <c r="M137" s="36">
        <f t="shared" si="13"/>
        <v>0</v>
      </c>
      <c r="N137" s="11"/>
      <c r="O137" s="11">
        <v>3</v>
      </c>
      <c r="P137" s="11"/>
      <c r="Q137" s="11">
        <v>40</v>
      </c>
      <c r="R137" s="44">
        <f t="shared" si="11"/>
        <v>43</v>
      </c>
    </row>
    <row r="138" spans="2:18" x14ac:dyDescent="0.25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 t="shared" si="12"/>
        <v>0</v>
      </c>
      <c r="K138" s="30">
        <f>'เย็น '!J138+'เช้า '!J138+บ่าย!J138</f>
        <v>0</v>
      </c>
      <c r="L138" s="30">
        <f>'เย็น '!K138+'เช้า '!K138+บ่าย!K138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8" x14ac:dyDescent="0.25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 t="shared" si="12"/>
        <v>0</v>
      </c>
      <c r="K139" s="30">
        <f>'เย็น '!J139+'เช้า '!J139+บ่าย!J139</f>
        <v>0</v>
      </c>
      <c r="L139" s="30">
        <f>'เย็น '!K139+'เช้า '!K139+บ่าย!K139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8" x14ac:dyDescent="0.25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 t="shared" si="12"/>
        <v>0</v>
      </c>
      <c r="K140" s="30">
        <f>'เย็น '!J140+'เช้า '!J140+บ่าย!J140</f>
        <v>0</v>
      </c>
      <c r="L140" s="30">
        <f>'เย็น '!K140+'เช้า '!K140+บ่าย!K140</f>
        <v>0</v>
      </c>
      <c r="M140" s="36">
        <f t="shared" si="13"/>
        <v>0</v>
      </c>
      <c r="N140" s="11"/>
      <c r="O140" s="11"/>
      <c r="P140" s="11"/>
      <c r="Q140" s="11"/>
      <c r="R140" s="44">
        <f t="shared" si="11"/>
        <v>0</v>
      </c>
    </row>
    <row r="141" spans="2:18" ht="40.5" customHeight="1" x14ac:dyDescent="0.25">
      <c r="C141" s="35"/>
      <c r="D141" s="36">
        <f>SUM(D114:D140,D90:D99,D79:D87,D69:D76,D7:D66,D102:D111)</f>
        <v>120</v>
      </c>
      <c r="E141" s="36">
        <f t="shared" ref="E141:L141" si="14">SUM(E114:E140,E90:E99,E79:E87,E69:E76,E7:E66,E102:E111)</f>
        <v>68</v>
      </c>
      <c r="F141" s="36">
        <f t="shared" si="14"/>
        <v>26</v>
      </c>
      <c r="G141" s="36">
        <f t="shared" si="14"/>
        <v>776</v>
      </c>
      <c r="H141" s="36">
        <f t="shared" si="14"/>
        <v>0</v>
      </c>
      <c r="I141" s="36">
        <f t="shared" si="14"/>
        <v>0</v>
      </c>
      <c r="J141" s="36"/>
      <c r="K141" s="36">
        <f t="shared" si="14"/>
        <v>0</v>
      </c>
      <c r="L141" s="36">
        <f t="shared" si="14"/>
        <v>0</v>
      </c>
      <c r="M141" s="36">
        <f>SUM(M114:M140,M90:M99,M79:M87,M69:M76,M7:M66,M102:M111)</f>
        <v>990</v>
      </c>
      <c r="N141" s="36">
        <f>SUM(N114:N140,N90:N99,N79:N87,N69:N76,N7:N66,N102:N111)</f>
        <v>1609</v>
      </c>
      <c r="O141" s="36">
        <f t="shared" ref="O141" si="15">SUM(O114:O140,O90:O99,O79:O87,O69:O76,O7:O66,O102:O111)</f>
        <v>640</v>
      </c>
      <c r="P141" s="36">
        <f t="shared" ref="P141" si="16">SUM(P114:P140,P90:P99,P79:P87,P69:P76,P7:P66,P102:P111)</f>
        <v>0</v>
      </c>
      <c r="Q141" s="36">
        <f t="shared" ref="Q141" si="17">SUM(Q114:Q140,Q90:Q99,Q79:Q87,Q69:Q76,Q7:Q66,Q102:Q111)</f>
        <v>2518</v>
      </c>
      <c r="R141" s="36">
        <f t="shared" ref="R141" si="18">SUM(R114:R140,R90:R99,R79:R87,R69:R76,R7:R66,R102:R111)</f>
        <v>3777</v>
      </c>
    </row>
    <row r="142" spans="2:18" x14ac:dyDescent="0.25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8"/>
      <c r="M142" s="39"/>
    </row>
    <row r="143" spans="2:18" x14ac:dyDescent="0.25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8"/>
      <c r="M143" s="39"/>
    </row>
    <row r="144" spans="2:18" x14ac:dyDescent="0.25">
      <c r="C144" s="24"/>
      <c r="D144" s="31"/>
      <c r="E144" s="31"/>
      <c r="F144" s="31"/>
      <c r="G144" s="26"/>
      <c r="M144" s="40"/>
    </row>
    <row r="145" spans="2:13" x14ac:dyDescent="0.25">
      <c r="B145" s="31" t="s">
        <v>104</v>
      </c>
      <c r="C145" s="31"/>
      <c r="D145" s="32"/>
      <c r="E145" s="32"/>
      <c r="F145" s="32"/>
      <c r="G145" s="27"/>
      <c r="H145" s="26"/>
      <c r="I145" s="31" t="s">
        <v>104</v>
      </c>
      <c r="J145" s="31"/>
      <c r="K145" s="31"/>
      <c r="L145" s="31"/>
      <c r="M145" s="31"/>
    </row>
    <row r="146" spans="2:13" x14ac:dyDescent="0.25">
      <c r="B146" s="32" t="s">
        <v>105</v>
      </c>
      <c r="C146" s="32"/>
      <c r="D146" s="33"/>
      <c r="E146" s="33"/>
      <c r="F146" s="33"/>
      <c r="G146" s="33"/>
      <c r="H146" s="33"/>
      <c r="I146" s="32" t="s">
        <v>106</v>
      </c>
      <c r="J146" s="32"/>
      <c r="K146" s="32"/>
      <c r="L146" s="32"/>
      <c r="M146" s="32"/>
    </row>
    <row r="147" spans="2:13" x14ac:dyDescent="0.25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1"/>
      <c r="M147" s="34"/>
    </row>
    <row r="148" spans="2:13" ht="20.399999999999999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4"/>
    </row>
    <row r="149" spans="2:13" ht="20.399999999999999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4"/>
    </row>
    <row r="150" spans="2:13" ht="20.399999999999999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4"/>
    </row>
    <row r="151" spans="2:13" ht="20.399999999999999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4"/>
    </row>
    <row r="152" spans="2:13" ht="20.399999999999999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4"/>
    </row>
    <row r="153" spans="2:13" x14ac:dyDescent="0.25">
      <c r="D153" s="31"/>
      <c r="E153" s="31"/>
      <c r="F153" s="31"/>
      <c r="G153" s="31"/>
      <c r="H153" s="31"/>
    </row>
    <row r="154" spans="2:13" x14ac:dyDescent="0.25">
      <c r="D154" s="31"/>
      <c r="E154" s="31"/>
      <c r="F154" s="31"/>
      <c r="G154" s="31"/>
      <c r="H154" s="31"/>
    </row>
    <row r="155" spans="2:13" x14ac:dyDescent="0.25">
      <c r="D155" s="31"/>
      <c r="E155" s="31"/>
      <c r="F155" s="31"/>
      <c r="G155" s="31"/>
      <c r="H155" s="31"/>
    </row>
    <row r="156" spans="2:13" x14ac:dyDescent="0.25">
      <c r="D156" s="31"/>
      <c r="E156" s="31"/>
      <c r="F156" s="31"/>
      <c r="G156" s="31"/>
      <c r="H156" s="31"/>
    </row>
    <row r="157" spans="2:13" x14ac:dyDescent="0.25">
      <c r="D157" s="31"/>
      <c r="E157" s="31"/>
      <c r="F157" s="31"/>
      <c r="G157" s="31"/>
      <c r="H157" s="31"/>
    </row>
    <row r="158" spans="2:13" x14ac:dyDescent="0.25">
      <c r="D158" s="31"/>
      <c r="E158" s="31"/>
      <c r="F158" s="31"/>
      <c r="G158" s="31"/>
      <c r="H158" s="31"/>
    </row>
    <row r="159" spans="2:13" x14ac:dyDescent="0.25">
      <c r="D159" s="31"/>
      <c r="E159" s="31"/>
      <c r="F159" s="31"/>
      <c r="G159" s="31"/>
      <c r="H159" s="31"/>
    </row>
    <row r="160" spans="2:13" x14ac:dyDescent="0.25">
      <c r="D160" s="31"/>
      <c r="E160" s="31"/>
      <c r="F160" s="31"/>
      <c r="G160" s="31"/>
      <c r="H160" s="31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2024-10-30T00:45:46Z</cp:lastPrinted>
  <dcterms:created xsi:type="dcterms:W3CDTF">2024-04-30T05:21:27Z</dcterms:created>
  <dcterms:modified xsi:type="dcterms:W3CDTF">2025-05-09T07:55:54Z</dcterms:modified>
</cp:coreProperties>
</file>