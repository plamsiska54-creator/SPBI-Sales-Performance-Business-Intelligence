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5-68\"/>
    </mc:Choice>
  </mc:AlternateContent>
  <xr:revisionPtr revIDLastSave="0" documentId="13_ncr:1_{F9679A52-0018-424B-BB9C-89149D32ECFA}" xr6:coauthVersionLast="47" xr6:coauthVersionMax="47" xr10:uidLastSave="{00000000-0000-0000-0000-000000000000}"/>
  <bookViews>
    <workbookView xWindow="615" yWindow="390" windowWidth="21180" windowHeight="14235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5" l="1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L77" i="6"/>
  <c r="M141" i="5"/>
  <c r="N141" i="5"/>
  <c r="O141" i="5"/>
  <c r="P141" i="5"/>
  <c r="L137" i="5"/>
  <c r="D135" i="5"/>
  <c r="E135" i="5"/>
  <c r="L135" i="5" s="1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12" i="3" l="1"/>
  <c r="L136" i="5"/>
  <c r="L77" i="3"/>
  <c r="K141" i="5"/>
  <c r="L131" i="5"/>
  <c r="L88" i="3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I141" i="5" s="1"/>
  <c r="J99" i="5"/>
  <c r="D66" i="5"/>
  <c r="E66" i="5"/>
  <c r="F66" i="5"/>
  <c r="G66" i="5"/>
  <c r="H66" i="5"/>
  <c r="I66" i="5"/>
  <c r="J66" i="5"/>
  <c r="E141" i="5" l="1"/>
  <c r="J141" i="5"/>
  <c r="F141" i="5"/>
  <c r="H141" i="5"/>
  <c r="G141" i="5"/>
  <c r="Q114" i="5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L109" i="5"/>
  <c r="Q109" i="5" s="1"/>
  <c r="L72" i="5"/>
  <c r="Q72" i="5" s="1"/>
  <c r="L11" i="5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L71" i="5"/>
  <c r="Q71" i="5" s="1"/>
  <c r="L47" i="5"/>
  <c r="Q47" i="5" s="1"/>
  <c r="L15" i="5"/>
  <c r="L8" i="5"/>
  <c r="L49" i="5"/>
  <c r="Q49" i="5" s="1"/>
  <c r="L33" i="5"/>
  <c r="L17" i="5"/>
  <c r="L81" i="5"/>
  <c r="Q81" i="5" s="1"/>
  <c r="L58" i="5"/>
  <c r="Q58" i="5" s="1"/>
  <c r="L42" i="5"/>
  <c r="Q42" i="5" s="1"/>
  <c r="L26" i="5"/>
  <c r="Q26" i="5" s="1"/>
  <c r="L10" i="5"/>
  <c r="L69" i="5"/>
  <c r="Q69" i="5" s="1"/>
  <c r="L108" i="5"/>
  <c r="Q108" i="5" s="1"/>
  <c r="L20" i="5"/>
  <c r="L52" i="5"/>
  <c r="Q52" i="5" s="1"/>
  <c r="L61" i="5"/>
  <c r="Q61" i="5" s="1"/>
  <c r="L28" i="5"/>
  <c r="L12" i="5"/>
  <c r="L110" i="5"/>
  <c r="Q110" i="5" s="1"/>
  <c r="L53" i="5"/>
  <c r="Q53" i="5" s="1"/>
  <c r="L37" i="5"/>
  <c r="L21" i="5"/>
  <c r="L85" i="5"/>
  <c r="Q85" i="5" s="1"/>
  <c r="L103" i="5"/>
  <c r="Q103" i="5" s="1"/>
  <c r="L84" i="5"/>
  <c r="Q84" i="5" s="1"/>
  <c r="L29" i="5"/>
  <c r="L105" i="5"/>
  <c r="Q105" i="5" s="1"/>
  <c r="L31" i="5"/>
  <c r="L56" i="5"/>
  <c r="Q56" i="5" s="1"/>
  <c r="L106" i="5"/>
  <c r="Q106" i="5" s="1"/>
  <c r="L51" i="5"/>
  <c r="Q51" i="5" s="1"/>
  <c r="L19" i="5"/>
  <c r="L83" i="5"/>
  <c r="Q83" i="5" s="1"/>
  <c r="L46" i="5"/>
  <c r="Q46" i="5" s="1"/>
  <c r="L30" i="5"/>
  <c r="L55" i="5"/>
  <c r="Q55" i="5" s="1"/>
  <c r="L39" i="5"/>
  <c r="L64" i="5"/>
  <c r="Q64" i="5" s="1"/>
  <c r="L48" i="5"/>
  <c r="Q48" i="5" s="1"/>
  <c r="L32" i="5"/>
  <c r="L16" i="5"/>
  <c r="L74" i="5"/>
  <c r="Q74" i="5" s="1"/>
  <c r="L80" i="5"/>
  <c r="Q80" i="5" s="1"/>
  <c r="L13" i="5"/>
  <c r="L86" i="5"/>
  <c r="Q86" i="5" s="1"/>
  <c r="L40" i="5"/>
  <c r="Q40" i="5" s="1"/>
  <c r="L24" i="5"/>
  <c r="L65" i="5"/>
  <c r="Q65" i="5" s="1"/>
  <c r="L60" i="5"/>
  <c r="Q60" i="5" s="1"/>
  <c r="L14" i="5"/>
  <c r="L57" i="5"/>
  <c r="Q57" i="5" s="1"/>
  <c r="L41" i="5"/>
  <c r="Q41" i="5" s="1"/>
  <c r="L25" i="5"/>
  <c r="Q25" i="5" s="1"/>
  <c r="L9" i="5"/>
  <c r="L107" i="5"/>
  <c r="Q107" i="5" s="1"/>
  <c r="L36" i="5"/>
  <c r="L45" i="5"/>
  <c r="Q45" i="5" s="1"/>
  <c r="L22" i="5"/>
  <c r="L104" i="5"/>
  <c r="Q104" i="5" s="1"/>
  <c r="L63" i="5"/>
  <c r="Q63" i="5" s="1"/>
  <c r="L99" i="5"/>
  <c r="Q99" i="5" s="1"/>
  <c r="L35" i="5"/>
  <c r="L44" i="5"/>
  <c r="Q44" i="5" s="1"/>
  <c r="L62" i="5"/>
  <c r="Q62" i="5" s="1"/>
  <c r="L23" i="5"/>
  <c r="L66" i="5"/>
  <c r="Q66" i="5" s="1"/>
  <c r="L50" i="5"/>
  <c r="Q50" i="5" s="1"/>
  <c r="L34" i="5"/>
  <c r="L18" i="5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<sst xmlns="http://schemas.openxmlformats.org/spreadsheetml/2006/main" count="617" uniqueCount="146">
  <si>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</si>
  <si>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</si>
  <si>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</si>
  <si>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</si>
  <si>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</si>
  <si>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</si>
  <si>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</si>
  <si>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</si>
  <si>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</si>
  <si>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</si>
  <si>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</si>
  <si>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</si>
  <si>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</si>
  <si>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</si>
  <si>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</si>
  <si>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</si>
  <si>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</si>
  <si>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</si>
  <si>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</si>
  <si>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</si>
  <si>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</si>
  <si>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</si>
  <si>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</si>
  <si>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</si>
  <si>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</si>
  <si>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</si>
  <si>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</si>
  <si>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</si>
  <si>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</si>
  <si>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</si>
  <si>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</si>
  <si>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</si>
  <si>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</si>
  <si>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</si>
  <si>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</si>
  <si>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</si>
  <si>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</si>
  <si>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</si>
  <si>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</si>
  <si>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</si>
  <si>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</si>
  <si>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</si>
  <si>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</si>
  <si>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</si>
  <si>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</si>
  <si>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</si>
  <si>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</si>
  <si>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</si>
  <si>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</si>
  <si>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</si>
  <si>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</si>
  <si>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</si>
  <si>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</si>
  <si>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</si>
  <si>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</si>
  <si>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</si>
  <si>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</si>
  <si>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</si>
  <si>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</si>
  <si>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</si>
  <si>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</si>
  <si>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</si>
  <si>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</si>
  <si>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</si>
  <si>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</si>
  <si>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</si>
  <si>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</si>
  <si>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</si>
  <si>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</si>
  <si>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</si>
  <si>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</si>
  <si>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</si>
  <si>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</si>
  <si>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</si>
  <si>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</si>
  <si>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</si>
  <si>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</si>
  <si>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</si>
  <si>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</si>
  <si>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</si>
  <si>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</si>
  <si>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</si>
  <si>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</si>
  <si>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</si>
  <si>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</si>
  <si>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</si>
  <si>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</si>
  <si>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</si>
  <si>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</si>
  <si>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</si>
  <si>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</si>
  <si>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</si>
  <si>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</si>
  <si>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</si>
  <si>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</si>
  <si>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</si>
  <si>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</si>
  <si>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</si>
  <si>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</si>
  <si>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</si>
  <si>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</si>
  <si>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</si>
  <si>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</si>
  <si>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</si>
  <si>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</si>
  <si>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</si>
  <si>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</si>
  <si>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</si>
  <si>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</si>
  <si>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</si>
  <si>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</si>
  <si>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</si>
  <si>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</si>
  <si>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</si>
  <si>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</si>
  <si>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</si>
  <si>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</si>
  <si>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</si>
  <si>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</si>
  <si>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</si>
  <si>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</si>
  <si>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</si>
  <si>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</si>
  <si>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</si>
  <si>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</si>
  <si>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</si>
  <si>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</si>
  <si>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</si>
  <si>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</si>
  <si>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</si>
  <si>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</si>
  <si>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</si>
  <si>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</si>
  <si>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</si>
  <si>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</si>
  <si>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</si>
  <si>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</si>
  <si>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</si>
  <si>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</si>
  <si>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</si>
  <si>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</si>
  <si>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</si>
  <si>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</si>
  <si>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</si>
  <si>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22/5/68เช้า</t>
  </si>
  <si>
    <t>ยอดจริง ออนไลน์ วันที่  22/5/68รวม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</si>
</sst>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abSelected="1" topLeftCell="A119" zoomScale="60" zoomScaleNormal="60" workbookViewId="0">
      <selection activeCell="B1" sqref="B1:L140"/>
    </sheetView>
  </sheetViews>
  <sheetFormatPr defaultRowHeight="22.5" x14ac:dyDescent="0.2"/>
  <cols>
    <col min="2" max="2" width="22.125" style="23" customWidth="1"/>
    <col min="3" max="3" width="59.125" style="23" customWidth="1"/>
    <col min="4" max="8" width="14.375" style="16" customWidth="1"/>
    <col min="9" max="10" width="14.375" style="16" hidden="1" customWidth="1"/>
    <col min="11" max="11" width="14.375" style="16" customWidth="1"/>
    <col min="12" max="12" width="17.625" style="25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>
        <v>1</v>
      </c>
      <c r="E7" s="30">
        <v>8</v>
      </c>
      <c r="F7" s="30">
        <v>4</v>
      </c>
      <c r="G7" s="30">
        <v>6</v>
      </c>
      <c r="H7" s="30"/>
      <c r="I7" s="30"/>
      <c r="J7" s="43"/>
      <c r="K7" s="43">
        <v>23</v>
      </c>
      <c r="L7" s="36">
        <f>SUM(D7:K7)</f>
        <v>42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>
        <v>2</v>
      </c>
      <c r="E25" s="30">
        <v>5</v>
      </c>
      <c r="F25" s="30">
        <v>1</v>
      </c>
      <c r="G25" s="30"/>
      <c r="H25" s="30"/>
      <c r="I25" s="30"/>
      <c r="J25" s="43"/>
      <c r="K25" s="43"/>
      <c r="L25" s="36">
        <f t="shared" si="0"/>
        <v>8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>
        <v>57</v>
      </c>
      <c r="H26" s="30">
        <v>51</v>
      </c>
      <c r="I26" s="30"/>
      <c r="J26" s="43"/>
      <c r="K26" s="43">
        <v>10</v>
      </c>
      <c r="L26" s="36">
        <f t="shared" si="0"/>
        <v>118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hidden="1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hidden="1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hidden="1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hidden="1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hidden="1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hidden="1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hidden="1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hidden="1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hidden="1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hidden="1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hidden="1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hidden="1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hidden="1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hidden="1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hidden="1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hidden="1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hidden="1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hidden="1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hidden="1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hidden="1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hidden="1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hidden="1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hidden="1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hidden="1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hidden="1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hidden="1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hidden="1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168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>
        <v>4</v>
      </c>
      <c r="E69" s="30">
        <v>3</v>
      </c>
      <c r="F69" s="30">
        <v>1</v>
      </c>
      <c r="G69" s="30"/>
      <c r="H69" s="30">
        <v>1</v>
      </c>
      <c r="I69" s="30"/>
      <c r="J69" s="43"/>
      <c r="K69" s="43">
        <v>10</v>
      </c>
      <c r="L69" s="36">
        <f t="shared" ref="L69:L76" si="1">SUM(D69:K69)</f>
        <v>19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>
        <v>4</v>
      </c>
      <c r="E71" s="30"/>
      <c r="F71" s="30"/>
      <c r="G71" s="30"/>
      <c r="H71" s="30"/>
      <c r="I71" s="30"/>
      <c r="J71" s="43"/>
      <c r="K71" s="43">
        <v>3</v>
      </c>
      <c r="L71" s="36">
        <f t="shared" si="1"/>
        <v>7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>
        <v>7</v>
      </c>
      <c r="E76" s="30"/>
      <c r="F76" s="30"/>
      <c r="G76" s="30"/>
      <c r="H76" s="30"/>
      <c r="I76" s="30"/>
      <c r="J76" s="43"/>
      <c r="K76" s="43">
        <v>2</v>
      </c>
      <c r="L76" s="36">
        <f t="shared" si="1"/>
        <v>9</v>
      </c>
    </row>
    <row r="77" spans="2:12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35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>
        <v>1</v>
      </c>
      <c r="E87" s="30"/>
      <c r="F87" s="30"/>
      <c r="G87" s="30">
        <v>24</v>
      </c>
      <c r="H87" s="30">
        <v>33</v>
      </c>
      <c r="I87" s="30"/>
      <c r="J87" s="43"/>
      <c r="K87" s="43"/>
      <c r="L87" s="36">
        <f t="shared" si="2"/>
        <v>58</v>
      </c>
    </row>
    <row r="88" spans="2:12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58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>
        <v>4</v>
      </c>
      <c r="E90" s="30"/>
      <c r="F90" s="30">
        <v>1</v>
      </c>
      <c r="G90" s="30">
        <v>14</v>
      </c>
      <c r="H90" s="30">
        <v>12</v>
      </c>
      <c r="I90" s="30"/>
      <c r="J90" s="43"/>
      <c r="K90" s="43"/>
      <c r="L90" s="36">
        <f t="shared" ref="L90:L99" si="3">SUM(D90:K90)</f>
        <v>31</v>
      </c>
    </row>
    <row r="91" spans="2:12" x14ac:dyDescent="0.2">
      <c r="B91" s="11">
        <v>1112011</v>
      </c>
      <c r="C91" s="19" t="s">
        <v>76</v>
      </c>
      <c r="D91" s="30">
        <v>1</v>
      </c>
      <c r="E91" s="30"/>
      <c r="F91" s="30">
        <v>3</v>
      </c>
      <c r="G91" s="30">
        <v>14</v>
      </c>
      <c r="H91" s="30">
        <v>12</v>
      </c>
      <c r="I91" s="30"/>
      <c r="J91" s="43"/>
      <c r="K91" s="43"/>
      <c r="L91" s="36">
        <f t="shared" si="3"/>
        <v>30</v>
      </c>
    </row>
    <row r="92" spans="2:12" x14ac:dyDescent="0.2">
      <c r="B92" s="11">
        <v>1112003</v>
      </c>
      <c r="C92" s="19" t="s">
        <v>77</v>
      </c>
      <c r="D92" s="30">
        <v>3</v>
      </c>
      <c r="E92" s="30"/>
      <c r="F92" s="30"/>
      <c r="G92" s="30">
        <v>15</v>
      </c>
      <c r="H92" s="30">
        <v>13</v>
      </c>
      <c r="I92" s="30"/>
      <c r="J92" s="43"/>
      <c r="K92" s="43"/>
      <c r="L92" s="36">
        <f t="shared" si="3"/>
        <v>31</v>
      </c>
    </row>
    <row r="93" spans="2:12" x14ac:dyDescent="0.2">
      <c r="B93" s="11">
        <v>1112005</v>
      </c>
      <c r="C93" s="19" t="s">
        <v>78</v>
      </c>
      <c r="D93" s="30">
        <v>4</v>
      </c>
      <c r="E93" s="30"/>
      <c r="F93" s="30"/>
      <c r="G93" s="30">
        <v>15</v>
      </c>
      <c r="H93" s="30">
        <v>13</v>
      </c>
      <c r="I93" s="30"/>
      <c r="J93" s="43"/>
      <c r="K93" s="43"/>
      <c r="L93" s="36">
        <f t="shared" si="3"/>
        <v>32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>
        <v>2</v>
      </c>
      <c r="E97" s="30"/>
      <c r="F97" s="30"/>
      <c r="G97" s="30">
        <v>14</v>
      </c>
      <c r="H97" s="30">
        <v>13</v>
      </c>
      <c r="I97" s="30"/>
      <c r="J97" s="43"/>
      <c r="K97" s="43"/>
      <c r="L97" s="36">
        <f t="shared" si="3"/>
        <v>29</v>
      </c>
    </row>
    <row r="98" spans="2:12" x14ac:dyDescent="0.2">
      <c r="B98" s="11">
        <v>1112013</v>
      </c>
      <c r="C98" s="19" t="s">
        <v>83</v>
      </c>
      <c r="D98" s="30">
        <v>3</v>
      </c>
      <c r="E98" s="30">
        <v>1</v>
      </c>
      <c r="F98" s="30">
        <v>1</v>
      </c>
      <c r="G98" s="30">
        <v>15</v>
      </c>
      <c r="H98" s="30">
        <v>13</v>
      </c>
      <c r="I98" s="30"/>
      <c r="J98" s="43"/>
      <c r="K98" s="43"/>
      <c r="L98" s="36">
        <f t="shared" si="3"/>
        <v>33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186</v>
      </c>
    </row>
    <row r="101" spans="2:12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hidden="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hidden="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hidden="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hidden="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hidden="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hidden="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hidden="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hidden="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hidden="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>
        <v>1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1</v>
      </c>
    </row>
    <row r="115" spans="2:12" x14ac:dyDescent="0.2">
      <c r="B115" s="11">
        <v>1113171</v>
      </c>
      <c r="C115" s="21" t="s">
        <v>88</v>
      </c>
      <c r="D115" s="30">
        <v>5</v>
      </c>
      <c r="E115" s="30"/>
      <c r="F115" s="30"/>
      <c r="G115" s="30"/>
      <c r="H115" s="30"/>
      <c r="I115" s="30"/>
      <c r="J115" s="43"/>
      <c r="K115" s="43"/>
      <c r="L115" s="36">
        <f t="shared" si="5"/>
        <v>5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5</v>
      </c>
      <c r="E123" s="30">
        <v>12</v>
      </c>
      <c r="F123" s="30">
        <v>4</v>
      </c>
      <c r="G123" s="30">
        <v>213</v>
      </c>
      <c r="H123" s="30">
        <v>211</v>
      </c>
      <c r="I123" s="30"/>
      <c r="J123" s="43"/>
      <c r="K123" s="43"/>
      <c r="L123" s="36">
        <f t="shared" si="5"/>
        <v>445</v>
      </c>
    </row>
    <row r="124" spans="2:12" x14ac:dyDescent="0.2">
      <c r="B124" s="11">
        <v>1114502</v>
      </c>
      <c r="C124" s="21" t="s">
        <v>96</v>
      </c>
      <c r="D124" s="30">
        <v>5</v>
      </c>
      <c r="E124" s="30">
        <v>3</v>
      </c>
      <c r="F124" s="30">
        <v>1</v>
      </c>
      <c r="G124" s="30">
        <v>192</v>
      </c>
      <c r="H124" s="30">
        <v>174</v>
      </c>
      <c r="I124" s="30"/>
      <c r="J124" s="43"/>
      <c r="K124" s="43"/>
      <c r="L124" s="36">
        <f t="shared" si="5"/>
        <v>375</v>
      </c>
    </row>
    <row r="125" spans="2:12" x14ac:dyDescent="0.2">
      <c r="B125" s="11">
        <v>1114503</v>
      </c>
      <c r="C125" s="21" t="s">
        <v>97</v>
      </c>
      <c r="D125" s="30">
        <v>5</v>
      </c>
      <c r="E125" s="30">
        <v>4</v>
      </c>
      <c r="F125" s="30">
        <v>1</v>
      </c>
      <c r="G125" s="30">
        <v>192</v>
      </c>
      <c r="H125" s="30">
        <v>172</v>
      </c>
      <c r="I125" s="30"/>
      <c r="J125" s="43"/>
      <c r="K125" s="43"/>
      <c r="L125" s="36">
        <f t="shared" si="5"/>
        <v>374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>
        <v>1</v>
      </c>
      <c r="F135" s="30">
        <v>9</v>
      </c>
      <c r="G135" s="30"/>
      <c r="H135" s="30"/>
      <c r="I135" s="30"/>
      <c r="J135" s="43"/>
      <c r="K135" s="43"/>
      <c r="L135" s="36">
        <f t="shared" si="5"/>
        <v>10</v>
      </c>
    </row>
    <row r="136" spans="2:12" x14ac:dyDescent="0.2">
      <c r="B136" s="22"/>
      <c r="C136" s="21" t="s">
        <v>125</v>
      </c>
      <c r="D136" s="30"/>
      <c r="E136" s="30">
        <v>6</v>
      </c>
      <c r="F136" s="30"/>
      <c r="G136" s="30"/>
      <c r="H136" s="30"/>
      <c r="I136" s="30"/>
      <c r="J136" s="43"/>
      <c r="K136" s="43"/>
      <c r="L136" s="36">
        <f t="shared" si="5"/>
        <v>6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zoomScale="50" zoomScaleNormal="50" workbookViewId="0">
      <selection activeCell="B2" sqref="B2:C3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  <col min="13" max="13" width="16.125" style="23" customWidth="1"/>
    <col min="14" max="15" width="15.375" style="23" customWidth="1"/>
    <col min="16" max="16" width="25.375" style="23" customWidth="1"/>
    <col min="17" max="17" width="14.375" style="28" customWidth="1"/>
    <col min="18" max="18" width="9.125" customWidth="1"/>
    <col min="19" max="19" width="7.375" customWidth="1"/>
    <col min="20" max="20" width="22.75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8</v>
      </c>
      <c r="F7" s="30">
        <f>'เย็น '!F7+'เช้า '!F7+บ่าย!F7</f>
        <v>4</v>
      </c>
      <c r="G7" s="30">
        <f>'เย็น '!G7+'เช้า '!G7+บ่าย!G7</f>
        <v>6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23</v>
      </c>
      <c r="L7" s="36">
        <f>SUM(D7:K7)</f>
        <v>42</v>
      </c>
      <c r="M7" s="11"/>
      <c r="N7" s="11"/>
      <c r="O7" s="11"/>
      <c r="P7" s="11"/>
      <c r="Q7" s="44">
        <f>(M7+N7+O7+P7)-L7</f>
        <v>-42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2</v>
      </c>
      <c r="E25" s="30">
        <f>'เย็น '!E25+'เช้า '!E25+บ่าย!E25</f>
        <v>5</v>
      </c>
      <c r="F25" s="30">
        <f>'เย็น '!F25+'เช้า '!F25+บ่าย!F25</f>
        <v>1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8</v>
      </c>
      <c r="M25" s="11"/>
      <c r="N25" s="11"/>
      <c r="O25" s="11"/>
      <c r="P25" s="11"/>
      <c r="Q25" s="44">
        <f t="shared" si="1"/>
        <v>-8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57</v>
      </c>
      <c r="H26" s="30">
        <f>'เย็น '!H26+'เช้า '!H26+บ่าย!H26</f>
        <v>51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10</v>
      </c>
      <c r="L26" s="36">
        <f t="shared" si="0"/>
        <v>118</v>
      </c>
      <c r="M26" s="11"/>
      <c r="N26" s="11"/>
      <c r="O26" s="11"/>
      <c r="P26" s="11"/>
      <c r="Q26" s="44">
        <f t="shared" si="1"/>
        <v>-118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4</v>
      </c>
      <c r="E69" s="30">
        <f>'เย็น '!E69+'เช้า '!E69+บ่าย!E69</f>
        <v>3</v>
      </c>
      <c r="F69" s="30">
        <f>'เย็น '!F69+'เช้า '!F69+บ่าย!F69</f>
        <v>1</v>
      </c>
      <c r="G69" s="30">
        <f>'เย็น '!G69+'เช้า '!G69+บ่าย!G69</f>
        <v>0</v>
      </c>
      <c r="H69" s="30">
        <f>'เย็น '!H69+'เช้า '!H69+บ่าย!H69</f>
        <v>1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10</v>
      </c>
      <c r="L69" s="36">
        <f t="shared" ref="L69:L76" si="4">SUM(D69:K69)</f>
        <v>19</v>
      </c>
      <c r="M69" s="11"/>
      <c r="N69" s="11"/>
      <c r="O69" s="11"/>
      <c r="P69" s="11"/>
      <c r="Q69" s="44">
        <f t="shared" ref="Q69:Q76" si="5">(M69+N69+O69+P69)-L69</f>
        <v>-19</v>
      </c>
    </row>
    <row r="70" spans="2:20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 x14ac:dyDescent="0.2">
      <c r="B71" s="11">
        <v>1111016</v>
      </c>
      <c r="C71" s="19" t="s">
        <v>58</v>
      </c>
      <c r="D71" s="30">
        <f>'เย็น '!D71+'เช้า '!D71+บ่าย!D71</f>
        <v>4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3</v>
      </c>
      <c r="L71" s="36">
        <f t="shared" si="4"/>
        <v>7</v>
      </c>
      <c r="M71" s="11"/>
      <c r="N71" s="11"/>
      <c r="O71" s="11"/>
      <c r="P71" s="11"/>
      <c r="Q71" s="44">
        <f t="shared" si="5"/>
        <v>-7</v>
      </c>
    </row>
    <row r="72" spans="2:20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x14ac:dyDescent="0.2">
      <c r="B76" s="11">
        <v>1111020</v>
      </c>
      <c r="C76" s="19" t="s">
        <v>63</v>
      </c>
      <c r="D76" s="30">
        <f>'เย็น '!D76+'เช้า '!D76+บ่าย!D76</f>
        <v>7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2</v>
      </c>
      <c r="L76" s="36">
        <f t="shared" si="4"/>
        <v>9</v>
      </c>
      <c r="M76" s="11"/>
      <c r="N76" s="11"/>
      <c r="O76" s="11"/>
      <c r="P76" s="11"/>
      <c r="Q76" s="44">
        <f t="shared" si="5"/>
        <v>-9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1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24</v>
      </c>
      <c r="H87" s="30">
        <f>'เย็น '!H87+'เช้า '!H87+บ่าย!H87</f>
        <v>33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58</v>
      </c>
      <c r="M87" s="11"/>
      <c r="N87" s="11"/>
      <c r="O87" s="11"/>
      <c r="P87" s="11"/>
      <c r="Q87" s="44">
        <f t="shared" si="8"/>
        <v>-58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4</v>
      </c>
      <c r="E90" s="30">
        <f>'เย็น '!E90+'เช้า '!E90+บ่าย!E90</f>
        <v>0</v>
      </c>
      <c r="F90" s="30">
        <f>'เย็น '!F90+'เช้า '!F90+บ่าย!F90</f>
        <v>1</v>
      </c>
      <c r="G90" s="30">
        <f>'เย็น '!G90+'เช้า '!G90+บ่าย!G90</f>
        <v>14</v>
      </c>
      <c r="H90" s="30">
        <f>'เย็น '!H90+'เช้า '!H90+บ่าย!H90</f>
        <v>12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31</v>
      </c>
      <c r="M90" s="11"/>
      <c r="N90" s="11"/>
      <c r="O90" s="11"/>
      <c r="P90" s="11"/>
      <c r="Q90" s="44">
        <f t="shared" ref="Q90:Q100" si="10">(M90+N90+O90+P90)-L90</f>
        <v>-31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1</v>
      </c>
      <c r="E91" s="30">
        <f>'เย็น '!E91+'เช้า '!E91+บ่าย!E91</f>
        <v>0</v>
      </c>
      <c r="F91" s="30">
        <f>'เย็น '!F91+'เช้า '!F91+บ่าย!F91</f>
        <v>3</v>
      </c>
      <c r="G91" s="30">
        <f>'เย็น '!G91+'เช้า '!G91+บ่าย!G91</f>
        <v>14</v>
      </c>
      <c r="H91" s="30">
        <f>'เย็น '!H91+'เช้า '!H91+บ่าย!H91</f>
        <v>12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30</v>
      </c>
      <c r="M91" s="11"/>
      <c r="N91" s="11"/>
      <c r="O91" s="11"/>
      <c r="P91" s="11"/>
      <c r="Q91" s="44">
        <f t="shared" si="10"/>
        <v>-30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3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f>'เย็น '!G92+'เช้า '!G92+บ่าย!G92</f>
        <v>15</v>
      </c>
      <c r="H92" s="30">
        <f>'เย็น '!H92+'เช้า '!H92+บ่าย!H92</f>
        <v>13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31</v>
      </c>
      <c r="M92" s="11"/>
      <c r="N92" s="11"/>
      <c r="O92" s="11"/>
      <c r="P92" s="11"/>
      <c r="Q92" s="44">
        <f t="shared" si="10"/>
        <v>-31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4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f>'เย็น '!G93+'เช้า '!G93+บ่าย!G93</f>
        <v>15</v>
      </c>
      <c r="H93" s="30">
        <f>'เย็น '!H93+'เช้า '!H93+บ่าย!H93</f>
        <v>13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32</v>
      </c>
      <c r="M93" s="11"/>
      <c r="N93" s="11"/>
      <c r="O93" s="11"/>
      <c r="P93" s="11"/>
      <c r="Q93" s="44">
        <f t="shared" si="10"/>
        <v>-32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f>'เย็น '!G97+'เช้า '!G97+บ่าย!G97</f>
        <v>14</v>
      </c>
      <c r="H97" s="30">
        <f>'เย็น '!H97+'เช้า '!H97+บ่าย!H97</f>
        <v>13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29</v>
      </c>
      <c r="M97" s="11"/>
      <c r="N97" s="11"/>
      <c r="O97" s="11"/>
      <c r="P97" s="11"/>
      <c r="Q97" s="44">
        <f t="shared" si="10"/>
        <v>-29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15</v>
      </c>
      <c r="H98" s="30">
        <f>'เย็น '!H98+'เช้า '!H98+บ่าย!H98</f>
        <v>13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33</v>
      </c>
      <c r="M98" s="11"/>
      <c r="N98" s="11"/>
      <c r="O98" s="11"/>
      <c r="P98" s="11"/>
      <c r="Q98" s="44">
        <f t="shared" si="10"/>
        <v>-33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186</v>
      </c>
      <c r="M100" s="11"/>
      <c r="N100" s="11"/>
      <c r="O100" s="11"/>
      <c r="P100" s="11"/>
      <c r="Q100" s="44">
        <f t="shared" si="10"/>
        <v>-186</v>
      </c>
    </row>
    <row r="101" spans="2:17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1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1</v>
      </c>
      <c r="M114" s="11"/>
      <c r="N114" s="11"/>
      <c r="O114" s="11"/>
      <c r="P114" s="11"/>
      <c r="Q114" s="44">
        <f t="shared" ref="Q114:Q140" si="14">(M114+N114+O114+P114)-L114</f>
        <v>-1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5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5</v>
      </c>
      <c r="M115" s="11"/>
      <c r="N115" s="11"/>
      <c r="O115" s="11"/>
      <c r="P115" s="11"/>
      <c r="Q115" s="44">
        <f t="shared" si="14"/>
        <v>-5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/>
      <c r="O121" s="11"/>
      <c r="P121" s="11"/>
      <c r="Q121" s="44">
        <f t="shared" si="14"/>
        <v>0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5</v>
      </c>
      <c r="E123" s="30">
        <f>'เย็น '!E123+'เช้า '!E123+บ่าย!E123</f>
        <v>12</v>
      </c>
      <c r="F123" s="30">
        <f>'เย็น '!F123+'เช้า '!F123+บ่าย!F123</f>
        <v>4</v>
      </c>
      <c r="G123" s="30">
        <f>'เย็น '!G123+'เช้า '!G123+บ่าย!G123</f>
        <v>213</v>
      </c>
      <c r="H123" s="30">
        <f>'เย็น '!H123+'เช้า '!H123+บ่าย!H123</f>
        <v>211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445</v>
      </c>
      <c r="M123" s="11"/>
      <c r="N123" s="11"/>
      <c r="O123" s="11"/>
      <c r="P123" s="11"/>
      <c r="Q123" s="44">
        <f t="shared" si="14"/>
        <v>-445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5</v>
      </c>
      <c r="E124" s="30">
        <f>'เย็น '!E124+'เช้า '!E124+บ่าย!E124</f>
        <v>3</v>
      </c>
      <c r="F124" s="30">
        <f>'เย็น '!F124+'เช้า '!F124+บ่าย!F124</f>
        <v>1</v>
      </c>
      <c r="G124" s="30">
        <f>'เย็น '!G124+'เช้า '!G124+บ่าย!G124</f>
        <v>192</v>
      </c>
      <c r="H124" s="30">
        <f>'เย็น '!H124+'เช้า '!H124+บ่าย!H124</f>
        <v>174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375</v>
      </c>
      <c r="M124" s="11"/>
      <c r="N124" s="11"/>
      <c r="O124" s="11"/>
      <c r="P124" s="11"/>
      <c r="Q124" s="44">
        <f t="shared" si="14"/>
        <v>-375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5</v>
      </c>
      <c r="E125" s="30">
        <f>'เย็น '!E125+'เช้า '!E125+บ่าย!E125</f>
        <v>4</v>
      </c>
      <c r="F125" s="30">
        <f>'เย็น '!F125+'เช้า '!F125+บ่าย!F125</f>
        <v>1</v>
      </c>
      <c r="G125" s="30">
        <f>'เย็น '!G125+'เช้า '!G125+บ่าย!G125</f>
        <v>192</v>
      </c>
      <c r="H125" s="30">
        <f>'เย็น '!H125+'เช้า '!H125+บ่าย!H125</f>
        <v>172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/>
      <c r="L125" s="36">
        <f t="shared" si="13"/>
        <v>374</v>
      </c>
      <c r="M125" s="11"/>
      <c r="N125" s="11"/>
      <c r="O125" s="11"/>
      <c r="P125" s="11"/>
      <c r="Q125" s="44">
        <f t="shared" si="14"/>
        <v>-374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0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0</v>
      </c>
      <c r="M126" s="11"/>
      <c r="N126" s="11"/>
      <c r="O126" s="11"/>
      <c r="P126" s="11"/>
      <c r="Q126" s="44">
        <f t="shared" si="14"/>
        <v>0</v>
      </c>
    </row>
    <row r="127" spans="2:17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1</v>
      </c>
      <c r="F135" s="30">
        <f>'เย็น '!F135+'เช้า '!F135+บ่าย!F135</f>
        <v>9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10</v>
      </c>
      <c r="M135" s="11"/>
      <c r="N135" s="11"/>
      <c r="O135" s="11"/>
      <c r="P135" s="11"/>
      <c r="Q135" s="44">
        <f t="shared" si="14"/>
        <v>-10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6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6</v>
      </c>
      <c r="M136" s="11"/>
      <c r="N136" s="11"/>
      <c r="O136" s="11"/>
      <c r="P136" s="11"/>
      <c r="Q136" s="44">
        <f t="shared" si="14"/>
        <v>-6</v>
      </c>
    </row>
    <row r="137" spans="2:17" x14ac:dyDescent="0.2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 x14ac:dyDescent="0.2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 x14ac:dyDescent="0.2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 x14ac:dyDescent="0.2">
      <c r="C141" s="35"/>
      <c r="D141" s="36">
        <f>SUM(D114:D140,D90:D99,D79:D87,D69:D76,D7:D66,D102:D111)</f>
        <v>57</v>
      </c>
      <c r="E141" s="36">
        <f t="shared" ref="E141:K141" si="15">SUM(E114:E140,E90:E99,E79:E87,E69:E76,E7:E66,E102:E111)</f>
        <v>43</v>
      </c>
      <c r="F141" s="36">
        <f t="shared" si="15"/>
        <v>26</v>
      </c>
      <c r="G141" s="36">
        <f t="shared" si="15"/>
        <v>771</v>
      </c>
      <c r="H141" s="36">
        <f t="shared" si="15"/>
        <v>718</v>
      </c>
      <c r="I141" s="36">
        <f t="shared" si="15"/>
        <v>0</v>
      </c>
      <c r="J141" s="36">
        <f t="shared" si="15"/>
        <v>0</v>
      </c>
      <c r="K141" s="36">
        <f t="shared" si="15"/>
        <v>48</v>
      </c>
      <c r="L141" s="36">
        <f>SUM(L114:L140,L90:L99,L79:L87,L69:L76,L7:L66,L102:L111)</f>
        <v>1663</v>
      </c>
      <c r="M141" s="36">
        <f>SUM(M114:M140,M90:M99,M79:M87,M69:M76,M7:M66,M102:M111)</f>
        <v>0</v>
      </c>
      <c r="N141" s="36">
        <f t="shared" ref="N141" si="16">SUM(N114:N140,N90:N99,N79:N87,N69:N76,N7:N66,N102:N111)</f>
        <v>0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-1663</v>
      </c>
    </row>
    <row r="142" spans="2:17" x14ac:dyDescent="0.2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">
      <c r="C144" s="24"/>
      <c r="D144" s="31"/>
      <c r="E144" s="61"/>
      <c r="F144" s="61"/>
      <c r="G144" s="26"/>
      <c r="L144" s="40"/>
    </row>
    <row r="145" spans="2:12" x14ac:dyDescent="0.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9.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</sheetData>
  <mergeCells count="20">
    <mergeCell ref="B146:C146"/>
    <mergeCell ref="I146:L146"/>
    <mergeCell ref="B101:Q101"/>
    <mergeCell ref="B113:Q113"/>
    <mergeCell ref="E144:F144"/>
    <mergeCell ref="B145:C145"/>
    <mergeCell ref="E145:F145"/>
    <mergeCell ref="I145:L145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2025-05-22T01:03:24Z</cp:lastPrinted>
  <dcterms:created xsi:type="dcterms:W3CDTF">2024-04-30T05:21:27Z</dcterms:created>
  <dcterms:modified xsi:type="dcterms:W3CDTF">2025-05-22T01:03:46Z</dcterms:modified>
</cp:coreProperties>
</file>