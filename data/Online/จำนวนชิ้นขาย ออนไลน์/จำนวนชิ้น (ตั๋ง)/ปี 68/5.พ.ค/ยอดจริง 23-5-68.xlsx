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B15D2E7B-A662-42D7-823F-6FB4A9538A40}" xr6:coauthVersionLast="47" xr6:coauthVersionMax="47" xr10:uidLastSave="{00000000-0000-0000-0000-000000000000}"/>
  <bookViews>
    <workbookView xWindow="1620" yWindow="255" windowWidth="23730" windowHeight="14835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7" i="5" l="1"/>
  <c r="Q28" i="5"/>
  <c r="Q29" i="5"/>
  <c r="Q30" i="5"/>
  <c r="Q31" i="5"/>
  <c r="Q32" i="5"/>
  <c r="Q33" i="5"/>
  <c r="Q34" i="5"/>
  <c r="Q35" i="5"/>
  <c r="Q36" i="5"/>
  <c r="Q37" i="5"/>
  <c r="Q38" i="5"/>
  <c r="Q39" i="5"/>
  <c r="L77" i="6"/>
  <c r="M141" i="5"/>
  <c r="N141" i="5"/>
  <c r="O141" i="5"/>
  <c r="P141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L137" i="5" s="1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4" i="5" l="1"/>
  <c r="L132" i="5"/>
  <c r="L135" i="5"/>
  <c r="Q135" i="5" s="1"/>
  <c r="L112" i="3"/>
  <c r="L136" i="5"/>
  <c r="L77" i="3"/>
  <c r="K141" i="5"/>
  <c r="L131" i="5"/>
  <c r="Q131" i="5" s="1"/>
  <c r="L88" i="3"/>
  <c r="L100" i="3"/>
  <c r="L67" i="3"/>
  <c r="Q139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I141" i="5" s="1"/>
  <c r="J99" i="5"/>
  <c r="D66" i="5"/>
  <c r="E66" i="5"/>
  <c r="F66" i="5"/>
  <c r="G66" i="5"/>
  <c r="H66" i="5"/>
  <c r="I66" i="5"/>
  <c r="J66" i="5"/>
  <c r="E141" i="5" l="1"/>
  <c r="J141" i="5"/>
  <c r="F141" i="5"/>
  <c r="H141" i="5"/>
  <c r="G141" i="5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L71" i="5"/>
  <c r="Q71" i="5" s="1"/>
  <c r="L47" i="5"/>
  <c r="Q47" i="5" s="1"/>
  <c r="L15" i="5"/>
  <c r="Q15" i="5" s="1"/>
  <c r="L8" i="5"/>
  <c r="Q8" i="5" s="1"/>
  <c r="L49" i="5"/>
  <c r="Q49" i="5" s="1"/>
  <c r="L33" i="5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L12" i="5"/>
  <c r="Q12" i="5" s="1"/>
  <c r="L110" i="5"/>
  <c r="Q110" i="5" s="1"/>
  <c r="L53" i="5"/>
  <c r="Q53" i="5" s="1"/>
  <c r="L37" i="5"/>
  <c r="L21" i="5"/>
  <c r="Q21" i="5" s="1"/>
  <c r="L85" i="5"/>
  <c r="Q85" i="5" s="1"/>
  <c r="L103" i="5"/>
  <c r="Q103" i="5" s="1"/>
  <c r="L84" i="5"/>
  <c r="Q84" i="5" s="1"/>
  <c r="L29" i="5"/>
  <c r="L105" i="5"/>
  <c r="Q105" i="5" s="1"/>
  <c r="L31" i="5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L55" i="5"/>
  <c r="Q55" i="5" s="1"/>
  <c r="L39" i="5"/>
  <c r="L64" i="5"/>
  <c r="Q64" i="5" s="1"/>
  <c r="L48" i="5"/>
  <c r="Q48" i="5" s="1"/>
  <c r="L32" i="5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L45" i="5"/>
  <c r="Q45" i="5" s="1"/>
  <c r="L22" i="5"/>
  <c r="Q22" i="5" s="1"/>
  <c r="L104" i="5"/>
  <c r="Q104" i="5" s="1"/>
  <c r="L63" i="5"/>
  <c r="Q63" i="5" s="1"/>
  <c r="L99" i="5"/>
  <c r="Q99" i="5" s="1"/>
  <c r="L35" i="5"/>
  <c r="L44" i="5"/>
  <c r="Q44" i="5" s="1"/>
  <c r="L62" i="5"/>
  <c r="Q62" i="5" s="1"/>
  <c r="L23" i="5"/>
  <c r="Q23" i="5" s="1"/>
  <c r="L66" i="5"/>
  <c r="Q66" i="5" s="1"/>
  <c r="L50" i="5"/>
  <c r="Q50" i="5" s="1"/>
  <c r="L34" i="5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<sst xmlns="http://schemas.openxmlformats.org/spreadsheetml/2006/main" count="617" uniqueCount="146">
  <si>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</si>
  <si>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</si>
  <si>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</si>
  <si>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</si>
  <si>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</si>
  <si>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</si>
  <si>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</si>
  <si>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</si>
  <si>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</si>
  <si>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</si>
  <si>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</si>
  <si>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</si>
  <si>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</si>
  <si>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</si>
  <si>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</si>
  <si>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</si>
  <si>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</si>
  <si>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</si>
  <si>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</si>
  <si>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</si>
  <si>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</si>
  <si>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</si>
  <si>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</si>
  <si>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</si>
  <si>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</si>
  <si>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</si>
  <si>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</si>
  <si>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</si>
  <si>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</si>
  <si>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</si>
  <si>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</si>
  <si>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</si>
  <si>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</si>
  <si>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</si>
  <si>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</si>
  <si>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</si>
  <si>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</si>
  <si>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</si>
  <si>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</si>
  <si>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</si>
  <si>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</si>
  <si>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</si>
  <si>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</si>
  <si>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</si>
  <si>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</si>
  <si>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</si>
  <si>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</si>
  <si>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</si>
  <si>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</si>
  <si>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</si>
  <si>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</si>
  <si>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</si>
  <si>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</si>
  <si>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</si>
  <si>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</si>
  <si>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</si>
  <si>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</si>
  <si>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</si>
  <si>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</si>
  <si>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</si>
  <si>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</si>
  <si>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</si>
  <si>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</si>
  <si>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</si>
  <si>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</si>
  <si>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</si>
  <si>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</si>
  <si>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</si>
  <si>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</si>
  <si>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</si>
  <si>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</si>
  <si>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</si>
  <si>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</si>
  <si>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</si>
  <si>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</si>
  <si>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</si>
  <si>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</si>
  <si>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</si>
  <si>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</si>
  <si>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</si>
  <si>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</si>
  <si>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</si>
  <si>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</si>
  <si>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</si>
  <si>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</si>
  <si>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</si>
  <si>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</si>
  <si>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</si>
  <si>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</si>
  <si>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</si>
  <si>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</si>
  <si>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</si>
  <si>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</si>
  <si>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</si>
  <si>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</si>
  <si>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</si>
  <si>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</si>
  <si>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</si>
  <si>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</si>
  <si>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</si>
  <si>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</si>
  <si>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</si>
  <si>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</si>
  <si>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</si>
  <si>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</si>
  <si>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</si>
  <si>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</si>
  <si>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</si>
  <si>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</si>
  <si>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</si>
  <si>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</si>
  <si>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</si>
  <si>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</si>
  <si>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</si>
  <si>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</si>
  <si>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</si>
  <si>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</si>
  <si>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</si>
  <si>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</si>
  <si>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</si>
  <si>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</si>
  <si>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</si>
  <si>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</si>
  <si>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</si>
  <si>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</si>
  <si>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</si>
  <si>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</si>
  <si>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</si>
  <si>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</si>
  <si>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</si>
  <si>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</si>
  <si>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</si>
  <si>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</si>
  <si>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</si>
  <si>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</si>
  <si>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</si>
  <si>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</si>
  <si>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</si>
  <si>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</si>
  <si>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</si>
  <si>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</si>
  <si>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</si>
  <si>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</si>
  <si>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</si>
  <si>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23/5/68เช้า</t>
  </si>
  <si>
    <t>ยอดจริง ออนไลน์ วันที่  23/5/68รวม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</si>
</sst>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topLeftCell="A118" zoomScale="60" zoomScaleNormal="60" workbookViewId="0">
      <selection activeCell="H126" sqref="H126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16</v>
      </c>
      <c r="F7" s="30">
        <v>9</v>
      </c>
      <c r="G7" s="30">
        <v>17</v>
      </c>
      <c r="H7" s="30"/>
      <c r="I7" s="30"/>
      <c r="J7" s="43"/>
      <c r="K7" s="43"/>
      <c r="L7" s="36">
        <f>SUM(D7:K7)</f>
        <v>42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8</v>
      </c>
      <c r="F25" s="30">
        <v>1</v>
      </c>
      <c r="G25" s="30">
        <v>1</v>
      </c>
      <c r="H25" s="30"/>
      <c r="I25" s="30"/>
      <c r="J25" s="43"/>
      <c r="K25" s="43"/>
      <c r="L25" s="36">
        <f t="shared" si="0"/>
        <v>10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>
        <v>58</v>
      </c>
      <c r="H26" s="30">
        <v>12</v>
      </c>
      <c r="I26" s="30"/>
      <c r="J26" s="43"/>
      <c r="K26" s="43">
        <v>30</v>
      </c>
      <c r="L26" s="36">
        <f t="shared" si="0"/>
        <v>100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hidden="1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hidden="1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hidden="1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hidden="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hidden="1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hidden="1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hidden="1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hidden="1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hidden="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hidden="1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hidden="1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hidden="1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hidden="1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hidden="1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hidden="1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hidden="1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hidden="1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hidden="1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hidden="1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hidden="1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hidden="1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hidden="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152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>
        <v>4</v>
      </c>
      <c r="F69" s="30">
        <v>3</v>
      </c>
      <c r="G69" s="30">
        <v>2</v>
      </c>
      <c r="H69" s="30">
        <v>3</v>
      </c>
      <c r="I69" s="30"/>
      <c r="J69" s="43"/>
      <c r="K69" s="43"/>
      <c r="L69" s="36">
        <f t="shared" ref="L69:L76" si="1">SUM(D69:K69)</f>
        <v>12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>
        <v>3</v>
      </c>
      <c r="F87" s="30"/>
      <c r="G87" s="30">
        <v>36</v>
      </c>
      <c r="H87" s="30"/>
      <c r="I87" s="30"/>
      <c r="J87" s="43"/>
      <c r="K87" s="43">
        <v>5</v>
      </c>
      <c r="L87" s="36">
        <f t="shared" si="2"/>
        <v>44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44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>
        <v>1</v>
      </c>
      <c r="F90" s="30"/>
      <c r="G90" s="30">
        <v>20</v>
      </c>
      <c r="H90" s="30">
        <v>3</v>
      </c>
      <c r="I90" s="30"/>
      <c r="J90" s="43"/>
      <c r="K90" s="43">
        <v>2</v>
      </c>
      <c r="L90" s="36">
        <f t="shared" ref="L90:L99" si="3">SUM(D90:K90)</f>
        <v>26</v>
      </c>
    </row>
    <row r="91" spans="2:12" x14ac:dyDescent="0.2">
      <c r="B91" s="11">
        <v>1112011</v>
      </c>
      <c r="C91" s="19" t="s">
        <v>76</v>
      </c>
      <c r="D91" s="30">
        <v>2</v>
      </c>
      <c r="E91" s="30">
        <v>1</v>
      </c>
      <c r="F91" s="30">
        <v>6</v>
      </c>
      <c r="G91" s="30">
        <v>20</v>
      </c>
      <c r="H91" s="30">
        <v>3</v>
      </c>
      <c r="I91" s="30"/>
      <c r="J91" s="43"/>
      <c r="K91" s="43">
        <v>2</v>
      </c>
      <c r="L91" s="36">
        <f t="shared" si="3"/>
        <v>34</v>
      </c>
    </row>
    <row r="92" spans="2:12" x14ac:dyDescent="0.2">
      <c r="B92" s="11">
        <v>1112003</v>
      </c>
      <c r="C92" s="19" t="s">
        <v>77</v>
      </c>
      <c r="D92" s="30"/>
      <c r="E92" s="30">
        <v>2</v>
      </c>
      <c r="F92" s="30"/>
      <c r="G92" s="30">
        <v>20</v>
      </c>
      <c r="H92" s="30">
        <v>4</v>
      </c>
      <c r="I92" s="30"/>
      <c r="J92" s="43"/>
      <c r="K92" s="43"/>
      <c r="L92" s="36">
        <f t="shared" si="3"/>
        <v>26</v>
      </c>
    </row>
    <row r="93" spans="2:12" x14ac:dyDescent="0.2">
      <c r="B93" s="11">
        <v>1112005</v>
      </c>
      <c r="C93" s="19" t="s">
        <v>78</v>
      </c>
      <c r="D93" s="30">
        <v>2</v>
      </c>
      <c r="E93" s="30">
        <v>2</v>
      </c>
      <c r="F93" s="30"/>
      <c r="G93" s="30">
        <v>21</v>
      </c>
      <c r="H93" s="30">
        <v>4</v>
      </c>
      <c r="I93" s="30"/>
      <c r="J93" s="43"/>
      <c r="K93" s="43"/>
      <c r="L93" s="36">
        <f t="shared" si="3"/>
        <v>29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>
        <v>1</v>
      </c>
      <c r="F97" s="30"/>
      <c r="G97" s="30">
        <v>20</v>
      </c>
      <c r="H97" s="30">
        <v>4</v>
      </c>
      <c r="I97" s="30"/>
      <c r="J97" s="43"/>
      <c r="K97" s="43">
        <v>2</v>
      </c>
      <c r="L97" s="36">
        <f t="shared" si="3"/>
        <v>27</v>
      </c>
    </row>
    <row r="98" spans="2:12" x14ac:dyDescent="0.2">
      <c r="B98" s="11">
        <v>1112013</v>
      </c>
      <c r="C98" s="19" t="s">
        <v>83</v>
      </c>
      <c r="D98" s="30"/>
      <c r="E98" s="30">
        <v>2</v>
      </c>
      <c r="F98" s="30"/>
      <c r="G98" s="30">
        <v>20</v>
      </c>
      <c r="H98" s="30">
        <v>4</v>
      </c>
      <c r="I98" s="30"/>
      <c r="J98" s="43"/>
      <c r="K98" s="43">
        <v>2</v>
      </c>
      <c r="L98" s="36">
        <f t="shared" si="3"/>
        <v>28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170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>
        <v>4</v>
      </c>
      <c r="H114" s="30"/>
      <c r="I114" s="30"/>
      <c r="J114" s="43"/>
      <c r="K114" s="43"/>
      <c r="L114" s="36">
        <f t="shared" ref="L114:L140" si="5">SUM(D114:K114)</f>
        <v>4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>
        <v>2</v>
      </c>
      <c r="F120" s="30"/>
      <c r="G120" s="30"/>
      <c r="H120" s="30"/>
      <c r="I120" s="30"/>
      <c r="J120" s="43"/>
      <c r="K120" s="43"/>
      <c r="L120" s="36">
        <f t="shared" si="5"/>
        <v>2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>
        <v>11</v>
      </c>
      <c r="F123" s="30">
        <v>1</v>
      </c>
      <c r="G123" s="30">
        <v>212</v>
      </c>
      <c r="H123" s="30">
        <v>53</v>
      </c>
      <c r="I123" s="30"/>
      <c r="J123" s="43"/>
      <c r="K123" s="43"/>
      <c r="L123" s="36">
        <f t="shared" si="5"/>
        <v>277</v>
      </c>
    </row>
    <row r="124" spans="2:12" x14ac:dyDescent="0.2">
      <c r="B124" s="11">
        <v>1114502</v>
      </c>
      <c r="C124" s="21" t="s">
        <v>96</v>
      </c>
      <c r="D124" s="30"/>
      <c r="E124" s="30">
        <v>4</v>
      </c>
      <c r="F124" s="30">
        <v>1</v>
      </c>
      <c r="G124" s="30">
        <v>193</v>
      </c>
      <c r="H124" s="30">
        <v>41</v>
      </c>
      <c r="I124" s="30"/>
      <c r="J124" s="43"/>
      <c r="K124" s="43"/>
      <c r="L124" s="36">
        <f t="shared" si="5"/>
        <v>239</v>
      </c>
    </row>
    <row r="125" spans="2:12" x14ac:dyDescent="0.2">
      <c r="B125" s="11">
        <v>1114503</v>
      </c>
      <c r="C125" s="21" t="s">
        <v>97</v>
      </c>
      <c r="D125" s="30"/>
      <c r="E125" s="30">
        <v>4</v>
      </c>
      <c r="F125" s="30">
        <v>1</v>
      </c>
      <c r="G125" s="30">
        <v>195</v>
      </c>
      <c r="H125" s="30">
        <v>38</v>
      </c>
      <c r="I125" s="30"/>
      <c r="J125" s="43"/>
      <c r="K125" s="43"/>
      <c r="L125" s="36">
        <f t="shared" si="5"/>
        <v>238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>
        <v>7</v>
      </c>
      <c r="F136" s="30"/>
      <c r="G136" s="30"/>
      <c r="H136" s="30"/>
      <c r="I136" s="30"/>
      <c r="J136" s="43"/>
      <c r="K136" s="43"/>
      <c r="L136" s="36">
        <f t="shared" si="5"/>
        <v>7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B1" sqref="B1:L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customWidth="1"/>
    <col min="14" max="15" width="15.375" style="23" customWidth="1"/>
    <col min="16" max="16" width="25.375" style="23" customWidth="1"/>
    <col min="17" max="17" width="14.375" style="28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16</v>
      </c>
      <c r="F7" s="30">
        <f>'เย็น '!F7+'เช้า '!F7+บ่าย!F7</f>
        <v>9</v>
      </c>
      <c r="G7" s="30">
        <f>'เย็น '!G7+'เช้า '!G7+บ่าย!G7</f>
        <v>17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42</v>
      </c>
      <c r="M7" s="11"/>
      <c r="N7" s="11"/>
      <c r="O7" s="11"/>
      <c r="P7" s="11"/>
      <c r="Q7" s="44">
        <f>(M7+N7+O7+P7)-L7</f>
        <v>-42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8</v>
      </c>
      <c r="F25" s="30">
        <f>'เย็น '!F25+'เช้า '!F25+บ่าย!F25</f>
        <v>1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/>
      <c r="O25" s="11"/>
      <c r="P25" s="11"/>
      <c r="Q25" s="44">
        <f t="shared" si="1"/>
        <v>-10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58</v>
      </c>
      <c r="H26" s="30">
        <f>'เย็น '!H26+'เช้า '!H26+บ่าย!H26</f>
        <v>12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30</v>
      </c>
      <c r="L26" s="36">
        <f t="shared" si="0"/>
        <v>100</v>
      </c>
      <c r="M26" s="11"/>
      <c r="N26" s="11"/>
      <c r="O26" s="11"/>
      <c r="P26" s="11"/>
      <c r="Q26" s="44">
        <f t="shared" si="1"/>
        <v>-100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3</v>
      </c>
      <c r="G69" s="30">
        <f>'เย็น '!G69+'เช้า '!G69+บ่าย!G69</f>
        <v>2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12</v>
      </c>
      <c r="M69" s="11"/>
      <c r="N69" s="11"/>
      <c r="O69" s="11"/>
      <c r="P69" s="11"/>
      <c r="Q69" s="44">
        <f t="shared" ref="Q69:Q76" si="5">(M69+N69+O69+P69)-L69</f>
        <v>-12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5</v>
      </c>
      <c r="L87" s="36">
        <f t="shared" si="7"/>
        <v>44</v>
      </c>
      <c r="M87" s="11"/>
      <c r="N87" s="11"/>
      <c r="O87" s="11"/>
      <c r="P87" s="11"/>
      <c r="Q87" s="44">
        <f t="shared" si="8"/>
        <v>-44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20</v>
      </c>
      <c r="H90" s="30">
        <f>'เย็น '!H90+'เช้า '!H90+บ่าย!H90</f>
        <v>3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</v>
      </c>
      <c r="L90" s="36">
        <f t="shared" ref="L90:L99" si="9">SUM(D90:K90)</f>
        <v>26</v>
      </c>
      <c r="M90" s="11"/>
      <c r="N90" s="11"/>
      <c r="O90" s="11"/>
      <c r="P90" s="11"/>
      <c r="Q90" s="44">
        <f t="shared" ref="Q90:Q100" si="10">(M90+N90+O90+P90)-L90</f>
        <v>-26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20</v>
      </c>
      <c r="H91" s="30">
        <f>'เย็น '!H91+'เช้า '!H91+บ่าย!H91</f>
        <v>3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34</v>
      </c>
      <c r="M91" s="11"/>
      <c r="N91" s="11"/>
      <c r="O91" s="11"/>
      <c r="P91" s="11"/>
      <c r="Q91" s="44">
        <f t="shared" si="10"/>
        <v>-34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20</v>
      </c>
      <c r="H92" s="30">
        <f>'เย็น '!H92+'เช้า '!H92+บ่าย!H92</f>
        <v>4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26</v>
      </c>
      <c r="M92" s="11"/>
      <c r="N92" s="11"/>
      <c r="O92" s="11"/>
      <c r="P92" s="11"/>
      <c r="Q92" s="44">
        <f t="shared" si="10"/>
        <v>-26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21</v>
      </c>
      <c r="H93" s="30">
        <f>'เย็น '!H93+'เช้า '!H93+บ่าย!H93</f>
        <v>4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29</v>
      </c>
      <c r="M93" s="11"/>
      <c r="N93" s="11"/>
      <c r="O93" s="11"/>
      <c r="P93" s="11"/>
      <c r="Q93" s="44">
        <f t="shared" si="10"/>
        <v>-29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20</v>
      </c>
      <c r="H97" s="30">
        <f>'เย็น '!H97+'เช้า '!H97+บ่าย!H97</f>
        <v>4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27</v>
      </c>
      <c r="M97" s="11"/>
      <c r="N97" s="11"/>
      <c r="O97" s="11"/>
      <c r="P97" s="11"/>
      <c r="Q97" s="44">
        <f t="shared" si="10"/>
        <v>-27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20</v>
      </c>
      <c r="H98" s="30">
        <f>'เย็น '!H98+'เช้า '!H98+บ่าย!H98</f>
        <v>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2</v>
      </c>
      <c r="L98" s="36">
        <f t="shared" si="9"/>
        <v>28</v>
      </c>
      <c r="M98" s="11"/>
      <c r="N98" s="11"/>
      <c r="O98" s="11"/>
      <c r="P98" s="11"/>
      <c r="Q98" s="44">
        <f t="shared" si="10"/>
        <v>-28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170</v>
      </c>
      <c r="M100" s="11"/>
      <c r="N100" s="11"/>
      <c r="O100" s="11"/>
      <c r="P100" s="11"/>
      <c r="Q100" s="44">
        <f t="shared" si="10"/>
        <v>-170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4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4</v>
      </c>
      <c r="M114" s="11"/>
      <c r="N114" s="11"/>
      <c r="O114" s="11"/>
      <c r="P114" s="11"/>
      <c r="Q114" s="44">
        <f t="shared" ref="Q114:Q140" si="14">(M114+N114+O114+P114)-L114</f>
        <v>-4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2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2</v>
      </c>
      <c r="M120" s="11"/>
      <c r="N120" s="11"/>
      <c r="O120" s="11"/>
      <c r="P120" s="11"/>
      <c r="Q120" s="44">
        <f t="shared" si="14"/>
        <v>-2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11</v>
      </c>
      <c r="F123" s="30">
        <f>'เย็น '!F123+'เช้า '!F123+บ่าย!F123</f>
        <v>1</v>
      </c>
      <c r="G123" s="30">
        <f>'เย็น '!G123+'เช้า '!G123+บ่าย!G123</f>
        <v>212</v>
      </c>
      <c r="H123" s="30">
        <f>'เย็น '!H123+'เช้า '!H123+บ่าย!H123</f>
        <v>53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277</v>
      </c>
      <c r="M123" s="11"/>
      <c r="N123" s="11"/>
      <c r="O123" s="11"/>
      <c r="P123" s="11"/>
      <c r="Q123" s="44">
        <f t="shared" si="14"/>
        <v>-277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4</v>
      </c>
      <c r="F124" s="30">
        <f>'เย็น '!F124+'เช้า '!F124+บ่าย!F124</f>
        <v>1</v>
      </c>
      <c r="G124" s="30">
        <f>'เย็น '!G124+'เช้า '!G124+บ่าย!G124</f>
        <v>193</v>
      </c>
      <c r="H124" s="30">
        <f>'เย็น '!H124+'เช้า '!H124+บ่าย!H124</f>
        <v>41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239</v>
      </c>
      <c r="M124" s="11"/>
      <c r="N124" s="11"/>
      <c r="O124" s="11"/>
      <c r="P124" s="11"/>
      <c r="Q124" s="44">
        <f t="shared" si="14"/>
        <v>-239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4</v>
      </c>
      <c r="F125" s="30">
        <f>'เย็น '!F125+'เช้า '!F125+บ่าย!F125</f>
        <v>1</v>
      </c>
      <c r="G125" s="30">
        <f>'เย็น '!G125+'เช้า '!G125+บ่าย!G125</f>
        <v>195</v>
      </c>
      <c r="H125" s="30">
        <f>'เย็น '!H125+'เช้า '!H125+บ่าย!H125</f>
        <v>38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/>
      <c r="L125" s="36">
        <f t="shared" si="13"/>
        <v>238</v>
      </c>
      <c r="M125" s="11"/>
      <c r="N125" s="11"/>
      <c r="O125" s="11"/>
      <c r="P125" s="11"/>
      <c r="Q125" s="44">
        <f t="shared" si="14"/>
        <v>-238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/>
      <c r="O126" s="11"/>
      <c r="P126" s="11"/>
      <c r="Q126" s="44">
        <f t="shared" si="14"/>
        <v>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7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7</v>
      </c>
      <c r="M136" s="11"/>
      <c r="N136" s="11"/>
      <c r="O136" s="11"/>
      <c r="P136" s="11"/>
      <c r="Q136" s="44">
        <f t="shared" si="14"/>
        <v>-7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4</v>
      </c>
      <c r="E141" s="36">
        <f t="shared" ref="E141:K141" si="15">SUM(E114:E140,E90:E99,E79:E87,E69:E76,E7:E66,E102:E111)</f>
        <v>68</v>
      </c>
      <c r="F141" s="36">
        <f t="shared" si="15"/>
        <v>22</v>
      </c>
      <c r="G141" s="36">
        <f t="shared" si="15"/>
        <v>839</v>
      </c>
      <c r="H141" s="36">
        <f t="shared" si="15"/>
        <v>169</v>
      </c>
      <c r="I141" s="36">
        <f t="shared" si="15"/>
        <v>0</v>
      </c>
      <c r="J141" s="36">
        <f t="shared" si="15"/>
        <v>0</v>
      </c>
      <c r="K141" s="36">
        <f t="shared" si="15"/>
        <v>53</v>
      </c>
      <c r="L141" s="36">
        <f>SUM(L114:L140,L90:L99,L79:L87,L69:L76,L7:L66,L102:L111)</f>
        <v>1155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-1145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2025-05-22T01:03:24Z</cp:lastPrinted>
  <dcterms:created xsi:type="dcterms:W3CDTF">2024-04-30T05:21:27Z</dcterms:created>
  <dcterms:modified xsi:type="dcterms:W3CDTF">2025-05-23T00:57:40Z</dcterms:modified>
</cp:coreProperties>
</file>