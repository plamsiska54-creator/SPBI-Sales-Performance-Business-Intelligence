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C38DA325-85AF-44C9-8883-F7EA7EAB2EAB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7" i="5" l="1"/>
  <c r="Q128" i="5"/>
  <c r="Q129" i="5"/>
  <c r="Q130" i="5"/>
  <c r="Q131" i="5"/>
  <c r="Q132" i="5"/>
  <c r="Q133" i="5"/>
  <c r="Q134" i="5"/>
  <c r="Q135" i="5"/>
  <c r="Q136" i="5"/>
  <c r="Q137" i="5"/>
  <c r="Q138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67" i="3" l="1"/>
  <c r="L100" i="3"/>
  <c r="Q139" i="5"/>
  <c r="L140" i="5"/>
  <c r="Q140" i="5" s="1"/>
  <c r="L130" i="5"/>
  <c r="L129" i="5"/>
  <c r="L90" i="5"/>
  <c r="L93" i="5"/>
  <c r="Q93" i="5" s="1"/>
  <c r="L95" i="5"/>
  <c r="Q95" i="5" s="1"/>
  <c r="L127" i="5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<sst xmlns="http://schemas.openxmlformats.org/spreadsheetml/2006/main" count="617" uniqueCount="146">
  <si>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</si>
  <si>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</si>
  <si>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</si>
  <si>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</si>
  <si>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</si>
  <si>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</si>
  <si>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</si>
  <si>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</si>
  <si>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</si>
  <si>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</si>
  <si>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</si>
  <si>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</si>
  <si>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</si>
  <si>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</si>
  <si>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</si>
  <si>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</si>
  <si>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</si>
  <si>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</si>
  <si>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</si>
  <si>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</si>
  <si>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</si>
  <si>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</si>
  <si>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</si>
  <si>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</si>
  <si>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</si>
  <si>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</si>
  <si>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</si>
  <si>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</si>
  <si>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</si>
  <si>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</si>
  <si>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</si>
  <si>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</si>
  <si>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</si>
  <si>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</si>
  <si>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</si>
  <si>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</si>
  <si>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</si>
  <si>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</si>
  <si>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</si>
  <si>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</si>
  <si>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</si>
  <si>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</si>
  <si>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</si>
  <si>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</si>
  <si>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</si>
  <si>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</si>
  <si>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</si>
  <si>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</si>
  <si>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</si>
  <si>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</si>
  <si>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</si>
  <si>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</si>
  <si>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</si>
  <si>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</si>
  <si>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</si>
  <si>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</si>
  <si>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</si>
  <si>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</si>
  <si>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</si>
  <si>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</si>
  <si>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</si>
  <si>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</si>
  <si>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</si>
  <si>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</si>
  <si>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</si>
  <si>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</si>
  <si>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</si>
  <si>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</si>
  <si>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</si>
  <si>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</si>
  <si>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</si>
  <si>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</si>
  <si>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</si>
  <si>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</si>
  <si>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</si>
  <si>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</si>
  <si>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</si>
  <si>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</si>
  <si>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</si>
  <si>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</si>
  <si>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</si>
  <si>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</si>
  <si>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</si>
  <si>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</si>
  <si>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</si>
  <si>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</si>
  <si>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</si>
  <si>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</si>
  <si>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</si>
  <si>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</si>
  <si>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</si>
  <si>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</si>
  <si>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</si>
  <si>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</si>
  <si>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</si>
  <si>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</si>
  <si>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</si>
  <si>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</si>
  <si>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</si>
  <si>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</si>
  <si>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</si>
  <si>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</si>
  <si>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</si>
  <si>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</si>
  <si>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</si>
  <si>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</si>
  <si>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</si>
  <si>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</si>
  <si>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</si>
  <si>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</si>
  <si>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</si>
  <si>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</si>
  <si>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</si>
  <si>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</si>
  <si>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</si>
  <si>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</si>
  <si>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</si>
  <si>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</si>
  <si>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</si>
  <si>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</si>
  <si>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</si>
  <si>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</si>
  <si>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</si>
  <si>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</si>
  <si>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</si>
  <si>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</si>
  <si>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</si>
  <si>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</si>
  <si>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</si>
  <si>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</si>
  <si>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</si>
  <si>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</si>
  <si>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</si>
  <si>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</si>
  <si>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</si>
  <si>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</si>
  <si>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</si>
  <si>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</si>
  <si>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</si>
  <si>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</si>
  <si>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</si>
  <si>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</si>
  <si>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</si>
  <si>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</si>
  <si>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วันที่25/5/68  รวม</t>
  </si>
  <si>
    <t>ยอดจริง ออนไลน์ วันที่  25/5/68เช้า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</si>
</sst>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AC55" sqref="AC5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</v>
      </c>
      <c r="E7" s="30">
        <v>22</v>
      </c>
      <c r="F7" s="30">
        <v>45</v>
      </c>
      <c r="G7" s="30">
        <v>1</v>
      </c>
      <c r="H7" s="30">
        <v>1</v>
      </c>
      <c r="I7" s="30">
        <v>1</v>
      </c>
      <c r="J7" s="43"/>
      <c r="K7" s="43">
        <v>6</v>
      </c>
      <c r="L7" s="36">
        <f>SUM(D7:K7)</f>
        <v>78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7</v>
      </c>
      <c r="F25" s="30"/>
      <c r="G25" s="30">
        <v>1</v>
      </c>
      <c r="H25" s="30"/>
      <c r="I25" s="30"/>
      <c r="J25" s="43"/>
      <c r="K25" s="43"/>
      <c r="L25" s="36">
        <f t="shared" si="0"/>
        <v>8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39</v>
      </c>
      <c r="H26" s="30">
        <v>40</v>
      </c>
      <c r="I26" s="30">
        <v>12</v>
      </c>
      <c r="J26" s="43"/>
      <c r="K26" s="43"/>
      <c r="L26" s="36">
        <f t="shared" si="0"/>
        <v>91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3</v>
      </c>
      <c r="F40" s="30"/>
      <c r="G40" s="30"/>
      <c r="H40" s="30"/>
      <c r="I40" s="30"/>
      <c r="J40" s="43"/>
      <c r="K40" s="43"/>
      <c r="L40" s="36">
        <f t="shared" si="0"/>
        <v>3</v>
      </c>
    </row>
    <row r="41" spans="2:12">
      <c r="B41" s="11">
        <v>1111058</v>
      </c>
      <c r="C41" s="15" t="s">
        <v>31</v>
      </c>
      <c r="D41" s="30"/>
      <c r="E41" s="30">
        <v>3</v>
      </c>
      <c r="F41" s="30"/>
      <c r="G41" s="30"/>
      <c r="H41" s="30"/>
      <c r="I41" s="30"/>
      <c r="J41" s="43"/>
      <c r="K41" s="43"/>
      <c r="L41" s="36">
        <f t="shared" si="0"/>
        <v>3</v>
      </c>
    </row>
    <row r="42" spans="2:12">
      <c r="B42" s="11">
        <v>1111059</v>
      </c>
      <c r="C42" s="15" t="s">
        <v>32</v>
      </c>
      <c r="D42" s="30"/>
      <c r="E42" s="30">
        <v>3</v>
      </c>
      <c r="F42" s="30"/>
      <c r="G42" s="30"/>
      <c r="H42" s="30"/>
      <c r="I42" s="30"/>
      <c r="J42" s="43"/>
      <c r="K42" s="43"/>
      <c r="L42" s="36">
        <f t="shared" si="0"/>
        <v>3</v>
      </c>
    </row>
    <row r="43" spans="2:12">
      <c r="B43" s="11">
        <v>1111060</v>
      </c>
      <c r="C43" s="15" t="s">
        <v>33</v>
      </c>
      <c r="D43" s="30"/>
      <c r="E43" s="30">
        <v>3</v>
      </c>
      <c r="F43" s="30"/>
      <c r="G43" s="30"/>
      <c r="H43" s="30"/>
      <c r="I43" s="30"/>
      <c r="J43" s="43"/>
      <c r="K43" s="43"/>
      <c r="L43" s="36">
        <f t="shared" si="0"/>
        <v>3</v>
      </c>
    </row>
    <row r="44" spans="2:12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>
        <v>2</v>
      </c>
      <c r="F47" s="30"/>
      <c r="G47" s="30"/>
      <c r="H47" s="30"/>
      <c r="I47" s="30"/>
      <c r="J47" s="43"/>
      <c r="K47" s="43"/>
      <c r="L47" s="36">
        <f t="shared" si="0"/>
        <v>2</v>
      </c>
    </row>
    <row r="48" spans="2:12">
      <c r="B48" s="11">
        <v>1111065</v>
      </c>
      <c r="C48" s="15" t="s">
        <v>38</v>
      </c>
      <c r="D48" s="30"/>
      <c r="E48" s="30">
        <v>2</v>
      </c>
      <c r="F48" s="30"/>
      <c r="G48" s="30"/>
      <c r="H48" s="30"/>
      <c r="I48" s="30"/>
      <c r="J48" s="43"/>
      <c r="K48" s="43"/>
      <c r="L48" s="36">
        <f t="shared" si="0"/>
        <v>2</v>
      </c>
    </row>
    <row r="49" spans="2:12">
      <c r="B49" s="11">
        <v>1111066</v>
      </c>
      <c r="C49" s="15" t="s">
        <v>39</v>
      </c>
      <c r="D49" s="30"/>
      <c r="E49" s="30">
        <v>2</v>
      </c>
      <c r="F49" s="30"/>
      <c r="G49" s="30"/>
      <c r="H49" s="30"/>
      <c r="I49" s="30"/>
      <c r="J49" s="43"/>
      <c r="K49" s="43"/>
      <c r="L49" s="36">
        <f t="shared" si="0"/>
        <v>2</v>
      </c>
    </row>
    <row r="50" spans="2:12">
      <c r="B50" s="11">
        <v>1111067</v>
      </c>
      <c r="C50" s="15" t="s">
        <v>40</v>
      </c>
      <c r="D50" s="30"/>
      <c r="E50" s="30">
        <v>2</v>
      </c>
      <c r="F50" s="30"/>
      <c r="G50" s="30"/>
      <c r="H50" s="30"/>
      <c r="I50" s="30"/>
      <c r="J50" s="43"/>
      <c r="K50" s="43"/>
      <c r="L50" s="36">
        <f t="shared" si="0"/>
        <v>2</v>
      </c>
    </row>
    <row r="51" spans="2:12">
      <c r="B51" s="11">
        <v>1111068</v>
      </c>
      <c r="C51" s="15" t="s">
        <v>41</v>
      </c>
      <c r="D51" s="30"/>
      <c r="E51" s="30">
        <v>2</v>
      </c>
      <c r="F51" s="30"/>
      <c r="G51" s="30"/>
      <c r="H51" s="30"/>
      <c r="I51" s="30"/>
      <c r="J51" s="43"/>
      <c r="K51" s="43"/>
      <c r="L51" s="36">
        <f t="shared" si="0"/>
        <v>2</v>
      </c>
    </row>
    <row r="52" spans="2:12">
      <c r="B52" s="11">
        <v>1111069</v>
      </c>
      <c r="C52" s="15" t="s">
        <v>42</v>
      </c>
      <c r="D52" s="30"/>
      <c r="E52" s="30">
        <v>2</v>
      </c>
      <c r="F52" s="30"/>
      <c r="G52" s="30"/>
      <c r="H52" s="30"/>
      <c r="I52" s="30"/>
      <c r="J52" s="43"/>
      <c r="K52" s="43"/>
      <c r="L52" s="36">
        <f t="shared" si="0"/>
        <v>2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207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2</v>
      </c>
      <c r="E69" s="30">
        <v>5</v>
      </c>
      <c r="F69" s="30">
        <v>2</v>
      </c>
      <c r="G69" s="30">
        <v>1</v>
      </c>
      <c r="H69" s="30">
        <v>2</v>
      </c>
      <c r="I69" s="30"/>
      <c r="J69" s="43"/>
      <c r="K69" s="43"/>
      <c r="L69" s="36">
        <f t="shared" ref="L69:L76" si="1">SUM(D69:K69)</f>
        <v>12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>
        <v>6</v>
      </c>
      <c r="E71" s="30"/>
      <c r="F71" s="30"/>
      <c r="G71" s="30"/>
      <c r="H71" s="30"/>
      <c r="I71" s="30"/>
      <c r="J71" s="43"/>
      <c r="K71" s="43"/>
      <c r="L71" s="36">
        <f t="shared" si="1"/>
        <v>6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>
        <v>5</v>
      </c>
      <c r="E76" s="30"/>
      <c r="F76" s="30"/>
      <c r="G76" s="30"/>
      <c r="H76" s="30"/>
      <c r="I76" s="30"/>
      <c r="J76" s="43"/>
      <c r="K76" s="43"/>
      <c r="L76" s="36">
        <f t="shared" si="1"/>
        <v>5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23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2</v>
      </c>
      <c r="E87" s="30"/>
      <c r="F87" s="30"/>
      <c r="G87" s="30">
        <v>36</v>
      </c>
      <c r="H87" s="30">
        <v>15</v>
      </c>
      <c r="I87" s="30">
        <v>21</v>
      </c>
      <c r="J87" s="43"/>
      <c r="K87" s="43"/>
      <c r="L87" s="36">
        <f t="shared" si="2"/>
        <v>74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74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5</v>
      </c>
      <c r="E90" s="30"/>
      <c r="F90" s="30">
        <v>3</v>
      </c>
      <c r="G90" s="30">
        <v>14</v>
      </c>
      <c r="H90" s="30">
        <v>6</v>
      </c>
      <c r="I90" s="30">
        <v>4</v>
      </c>
      <c r="J90" s="43"/>
      <c r="K90" s="43"/>
      <c r="L90" s="36">
        <f t="shared" ref="L90:L99" si="3">SUM(D90:K90)</f>
        <v>32</v>
      </c>
    </row>
    <row r="91" spans="2:12">
      <c r="B91" s="11">
        <v>1112011</v>
      </c>
      <c r="C91" s="19" t="s">
        <v>76</v>
      </c>
      <c r="D91" s="30">
        <v>4</v>
      </c>
      <c r="E91" s="30"/>
      <c r="F91" s="30">
        <v>9</v>
      </c>
      <c r="G91" s="30">
        <v>14</v>
      </c>
      <c r="H91" s="30">
        <v>6</v>
      </c>
      <c r="I91" s="30">
        <v>4</v>
      </c>
      <c r="J91" s="43"/>
      <c r="K91" s="43"/>
      <c r="L91" s="36">
        <f t="shared" si="3"/>
        <v>37</v>
      </c>
    </row>
    <row r="92" spans="2:12">
      <c r="B92" s="11">
        <v>1112003</v>
      </c>
      <c r="C92" s="19" t="s">
        <v>77</v>
      </c>
      <c r="D92" s="30">
        <v>4</v>
      </c>
      <c r="E92" s="30">
        <v>1</v>
      </c>
      <c r="F92" s="30">
        <v>1</v>
      </c>
      <c r="G92" s="30">
        <v>14</v>
      </c>
      <c r="H92" s="30">
        <v>9</v>
      </c>
      <c r="I92" s="30">
        <v>4</v>
      </c>
      <c r="J92" s="43"/>
      <c r="K92" s="43"/>
      <c r="L92" s="36">
        <f t="shared" si="3"/>
        <v>33</v>
      </c>
    </row>
    <row r="93" spans="2:12">
      <c r="B93" s="11">
        <v>1112005</v>
      </c>
      <c r="C93" s="19" t="s">
        <v>78</v>
      </c>
      <c r="D93" s="30">
        <v>5</v>
      </c>
      <c r="E93" s="30"/>
      <c r="F93" s="30">
        <v>1</v>
      </c>
      <c r="G93" s="30">
        <v>14</v>
      </c>
      <c r="H93" s="30">
        <v>6</v>
      </c>
      <c r="I93" s="30">
        <v>6</v>
      </c>
      <c r="J93" s="43"/>
      <c r="K93" s="43"/>
      <c r="L93" s="36">
        <f t="shared" si="3"/>
        <v>32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12</v>
      </c>
      <c r="E97" s="30"/>
      <c r="F97" s="30">
        <v>1</v>
      </c>
      <c r="G97" s="30">
        <v>14</v>
      </c>
      <c r="H97" s="30">
        <v>6</v>
      </c>
      <c r="I97" s="30">
        <v>4</v>
      </c>
      <c r="J97" s="43"/>
      <c r="K97" s="43"/>
      <c r="L97" s="36">
        <f t="shared" si="3"/>
        <v>37</v>
      </c>
    </row>
    <row r="98" spans="2:12">
      <c r="B98" s="11">
        <v>1112013</v>
      </c>
      <c r="C98" s="19" t="s">
        <v>83</v>
      </c>
      <c r="D98" s="30">
        <v>12</v>
      </c>
      <c r="E98" s="30"/>
      <c r="F98" s="30">
        <v>1</v>
      </c>
      <c r="G98" s="30">
        <v>14</v>
      </c>
      <c r="H98" s="30">
        <v>6</v>
      </c>
      <c r="I98" s="30">
        <v>4</v>
      </c>
      <c r="J98" s="43"/>
      <c r="K98" s="43"/>
      <c r="L98" s="36">
        <f t="shared" si="3"/>
        <v>37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208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9</v>
      </c>
      <c r="E114" s="30"/>
      <c r="F114" s="30"/>
      <c r="G114" s="30"/>
      <c r="H114" s="30"/>
      <c r="I114" s="30">
        <v>1</v>
      </c>
      <c r="J114" s="43"/>
      <c r="K114" s="43"/>
      <c r="L114" s="36">
        <f t="shared" ref="L114:L140" si="5">SUM(D114:K114)</f>
        <v>10</v>
      </c>
    </row>
    <row r="115" spans="2:12">
      <c r="B115" s="11">
        <v>1113171</v>
      </c>
      <c r="C115" s="21" t="s">
        <v>88</v>
      </c>
      <c r="D115" s="30">
        <v>3</v>
      </c>
      <c r="E115" s="30"/>
      <c r="F115" s="30"/>
      <c r="G115" s="30"/>
      <c r="H115" s="30"/>
      <c r="I115" s="30"/>
      <c r="J115" s="43"/>
      <c r="K115" s="43"/>
      <c r="L115" s="36">
        <f t="shared" si="5"/>
        <v>3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2</v>
      </c>
      <c r="E123" s="30">
        <v>10</v>
      </c>
      <c r="F123" s="30">
        <v>1</v>
      </c>
      <c r="G123" s="30">
        <v>246</v>
      </c>
      <c r="H123" s="30">
        <v>87</v>
      </c>
      <c r="I123" s="30">
        <v>37</v>
      </c>
      <c r="J123" s="43"/>
      <c r="K123" s="43"/>
      <c r="L123" s="36">
        <f t="shared" si="5"/>
        <v>383</v>
      </c>
    </row>
    <row r="124" spans="2:12">
      <c r="B124" s="11">
        <v>1114502</v>
      </c>
      <c r="C124" s="21" t="s">
        <v>96</v>
      </c>
      <c r="D124" s="30">
        <v>2</v>
      </c>
      <c r="E124" s="30">
        <v>3</v>
      </c>
      <c r="F124" s="30">
        <v>1</v>
      </c>
      <c r="G124" s="30">
        <v>231</v>
      </c>
      <c r="H124" s="30">
        <v>78</v>
      </c>
      <c r="I124" s="30">
        <v>37</v>
      </c>
      <c r="J124" s="43"/>
      <c r="K124" s="43"/>
      <c r="L124" s="36">
        <f t="shared" si="5"/>
        <v>352</v>
      </c>
    </row>
    <row r="125" spans="2:12">
      <c r="B125" s="11">
        <v>1114503</v>
      </c>
      <c r="C125" s="21" t="s">
        <v>97</v>
      </c>
      <c r="D125" s="30">
        <v>2</v>
      </c>
      <c r="E125" s="30">
        <v>3</v>
      </c>
      <c r="F125" s="30">
        <v>1</v>
      </c>
      <c r="G125" s="30">
        <v>213</v>
      </c>
      <c r="H125" s="30">
        <v>78</v>
      </c>
      <c r="I125" s="30">
        <v>37</v>
      </c>
      <c r="J125" s="43"/>
      <c r="K125" s="43"/>
      <c r="L125" s="36">
        <f t="shared" si="5"/>
        <v>334</v>
      </c>
    </row>
    <row r="126" spans="2:12">
      <c r="B126" s="11">
        <v>1124021</v>
      </c>
      <c r="C126" s="21" t="s">
        <v>98</v>
      </c>
      <c r="D126" s="30"/>
      <c r="E126" s="30">
        <v>16</v>
      </c>
      <c r="F126" s="30">
        <v>1</v>
      </c>
      <c r="G126" s="30">
        <v>1</v>
      </c>
      <c r="H126" s="30"/>
      <c r="I126" s="30"/>
      <c r="J126" s="43"/>
      <c r="K126" s="43"/>
      <c r="L126" s="36">
        <f t="shared" si="5"/>
        <v>18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5</v>
      </c>
      <c r="F136" s="30"/>
      <c r="G136" s="30"/>
      <c r="H136" s="30"/>
      <c r="I136" s="30"/>
      <c r="J136" s="43"/>
      <c r="K136" s="43"/>
      <c r="L136" s="36">
        <f t="shared" si="5"/>
        <v>5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>
        <v>8</v>
      </c>
      <c r="I137" s="30"/>
      <c r="J137" s="43"/>
      <c r="K137" s="43"/>
      <c r="L137" s="36">
        <f t="shared" si="5"/>
        <v>8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O133" sqref="O13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22</v>
      </c>
      <c r="F7" s="30">
        <f>'เย็น '!F7+'เช้า '!F7+บ่าย!F7</f>
        <v>45</v>
      </c>
      <c r="G7" s="30">
        <f>'เย็น '!G7+'เช้า '!G7+บ่าย!G7</f>
        <v>1</v>
      </c>
      <c r="H7" s="30">
        <f>'เย็น '!H7+'เช้า '!H7+บ่าย!H7</f>
        <v>1</v>
      </c>
      <c r="I7" s="30">
        <f>'เย็น '!I7+'เช้า '!I7+บ่าย!I7</f>
        <v>1</v>
      </c>
      <c r="J7" s="30">
        <f>'เย็น '!J7+'เช้า '!J7+บ่าย!J7</f>
        <v>0</v>
      </c>
      <c r="K7" s="30">
        <f>'เย็น '!K7+'เช้า '!K7+บ่าย!K7</f>
        <v>6</v>
      </c>
      <c r="L7" s="36">
        <f>SUM(D7:K7)</f>
        <v>78</v>
      </c>
      <c r="M7" s="11">
        <v>148</v>
      </c>
      <c r="N7" s="11">
        <v>72</v>
      </c>
      <c r="O7" s="11"/>
      <c r="P7" s="11">
        <v>70</v>
      </c>
      <c r="Q7" s="44">
        <f>(M7+N7+O7+P7)-L7</f>
        <v>212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7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8</v>
      </c>
      <c r="M25" s="11">
        <v>15</v>
      </c>
      <c r="N25" s="11">
        <v>28</v>
      </c>
      <c r="O25" s="11"/>
      <c r="P25" s="11">
        <v>15</v>
      </c>
      <c r="Q25" s="44">
        <f t="shared" si="1"/>
        <v>50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39</v>
      </c>
      <c r="H26" s="30">
        <f>'เย็น '!H26+'เช้า '!H26+บ่าย!H26</f>
        <v>40</v>
      </c>
      <c r="I26" s="30">
        <f>'เย็น '!I26+'เช้า '!I26+บ่าย!I26</f>
        <v>12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91</v>
      </c>
      <c r="M26" s="11">
        <v>95</v>
      </c>
      <c r="N26" s="11">
        <v>151</v>
      </c>
      <c r="O26" s="11"/>
      <c r="P26" s="11">
        <v>90</v>
      </c>
      <c r="Q26" s="44">
        <f t="shared" si="1"/>
        <v>245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3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3</v>
      </c>
      <c r="M40" s="11"/>
      <c r="N40" s="11"/>
      <c r="O40" s="11"/>
      <c r="P40" s="11"/>
      <c r="Q40" s="44">
        <f t="shared" si="1"/>
        <v>-3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3</v>
      </c>
      <c r="M41" s="11"/>
      <c r="N41" s="11"/>
      <c r="O41" s="11"/>
      <c r="P41" s="11"/>
      <c r="Q41" s="44">
        <f t="shared" si="1"/>
        <v>-3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3</v>
      </c>
      <c r="M42" s="11"/>
      <c r="N42" s="11"/>
      <c r="O42" s="11"/>
      <c r="P42" s="11"/>
      <c r="Q42" s="44">
        <f t="shared" si="1"/>
        <v>-3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3</v>
      </c>
      <c r="M43" s="11"/>
      <c r="N43" s="11"/>
      <c r="O43" s="11"/>
      <c r="P43" s="11"/>
      <c r="Q43" s="44">
        <f t="shared" si="1"/>
        <v>-3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2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2</v>
      </c>
      <c r="M47" s="11"/>
      <c r="N47" s="11"/>
      <c r="O47" s="11"/>
      <c r="P47" s="11"/>
      <c r="Q47" s="44">
        <f t="shared" si="1"/>
        <v>-2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2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2</v>
      </c>
      <c r="M48" s="11"/>
      <c r="N48" s="11"/>
      <c r="O48" s="11"/>
      <c r="P48" s="11"/>
      <c r="Q48" s="44">
        <f t="shared" si="1"/>
        <v>-2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2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2</v>
      </c>
      <c r="M49" s="11"/>
      <c r="N49" s="11"/>
      <c r="O49" s="11"/>
      <c r="P49" s="11"/>
      <c r="Q49" s="44">
        <f t="shared" si="1"/>
        <v>-2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2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2</v>
      </c>
      <c r="M50" s="11"/>
      <c r="N50" s="11"/>
      <c r="O50" s="11"/>
      <c r="P50" s="11"/>
      <c r="Q50" s="44">
        <f t="shared" si="1"/>
        <v>-2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2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2</v>
      </c>
      <c r="M51" s="11"/>
      <c r="N51" s="11"/>
      <c r="O51" s="11"/>
      <c r="P51" s="11"/>
      <c r="Q51" s="44">
        <f t="shared" si="1"/>
        <v>-2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2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2</v>
      </c>
      <c r="M52" s="11"/>
      <c r="N52" s="11"/>
      <c r="O52" s="11"/>
      <c r="P52" s="11"/>
      <c r="Q52" s="44">
        <f t="shared" si="1"/>
        <v>-2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5</v>
      </c>
      <c r="F69" s="30">
        <f>'เย็น '!F69+'เช้า '!F69+บ่าย!F69</f>
        <v>2</v>
      </c>
      <c r="G69" s="30">
        <f>'เย็น '!G69+'เช้า '!G69+บ่าย!G69</f>
        <v>1</v>
      </c>
      <c r="H69" s="30">
        <f>'เย็น '!H69+'เช้า '!H69+บ่าย!H69</f>
        <v>2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12</v>
      </c>
      <c r="M69" s="11">
        <v>15</v>
      </c>
      <c r="N69" s="11">
        <v>60</v>
      </c>
      <c r="O69" s="11"/>
      <c r="P69" s="11">
        <v>15</v>
      </c>
      <c r="Q69" s="44">
        <f t="shared" ref="Q69:Q76" si="5">(M69+N69+O69+P69)-L69</f>
        <v>78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6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6</v>
      </c>
      <c r="M71" s="11">
        <v>10</v>
      </c>
      <c r="N71" s="11">
        <v>8</v>
      </c>
      <c r="O71" s="11"/>
      <c r="P71" s="11"/>
      <c r="Q71" s="44">
        <f t="shared" si="5"/>
        <v>12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5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5</v>
      </c>
      <c r="M76" s="11">
        <v>10</v>
      </c>
      <c r="N76" s="11">
        <v>5</v>
      </c>
      <c r="O76" s="11"/>
      <c r="P76" s="11"/>
      <c r="Q76" s="44">
        <f t="shared" si="5"/>
        <v>10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2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36</v>
      </c>
      <c r="H87" s="30">
        <f>'เย็น '!H87+'เช้า '!H87+บ่าย!H87</f>
        <v>15</v>
      </c>
      <c r="I87" s="30">
        <f>'เย็น '!I87+'เช้า '!I87+บ่าย!I87</f>
        <v>21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74</v>
      </c>
      <c r="M87" s="11">
        <v>90</v>
      </c>
      <c r="N87" s="11">
        <v>289</v>
      </c>
      <c r="O87" s="11"/>
      <c r="P87" s="11">
        <v>90</v>
      </c>
      <c r="Q87" s="44">
        <f t="shared" si="8"/>
        <v>395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5</v>
      </c>
      <c r="E90" s="30">
        <f>'เย็น '!E90+'เช้า '!E90+บ่าย!E90</f>
        <v>0</v>
      </c>
      <c r="F90" s="30">
        <f>'เย็น '!F90+'เช้า '!F90+บ่าย!F90</f>
        <v>3</v>
      </c>
      <c r="G90" s="30">
        <f>'เย็น '!G90+'เช้า '!G90+บ่าย!G90</f>
        <v>14</v>
      </c>
      <c r="H90" s="30">
        <f>'เย็น '!H90+'เช้า '!H90+บ่าย!H90</f>
        <v>6</v>
      </c>
      <c r="I90" s="30">
        <f>'เย็น '!I90+'เช้า '!I90+บ่าย!I90</f>
        <v>4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32</v>
      </c>
      <c r="M90" s="11">
        <v>89</v>
      </c>
      <c r="N90" s="11">
        <v>69</v>
      </c>
      <c r="O90" s="11"/>
      <c r="P90" s="11">
        <v>50</v>
      </c>
      <c r="Q90" s="44">
        <f t="shared" ref="Q90:Q100" si="10">(M90+N90+O90+P90)-L90</f>
        <v>176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0</v>
      </c>
      <c r="F91" s="30">
        <f>'เย็น '!F91+'เช้า '!F91+บ่าย!F91</f>
        <v>9</v>
      </c>
      <c r="G91" s="30">
        <f>'เย็น '!G91+'เช้า '!G91+บ่าย!G91</f>
        <v>14</v>
      </c>
      <c r="H91" s="30">
        <f>'เย็น '!H91+'เช้า '!H91+บ่าย!H91</f>
        <v>6</v>
      </c>
      <c r="I91" s="30">
        <f>'เย็น '!I91+'เช้า '!I91+บ่าย!I91</f>
        <v>4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37</v>
      </c>
      <c r="M91" s="11">
        <v>50</v>
      </c>
      <c r="N91" s="11">
        <v>78</v>
      </c>
      <c r="O91" s="11"/>
      <c r="P91" s="11">
        <v>50</v>
      </c>
      <c r="Q91" s="44">
        <f t="shared" si="10"/>
        <v>141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4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14</v>
      </c>
      <c r="H92" s="30">
        <f>'เย็น '!H92+'เช้า '!H92+บ่าย!H92</f>
        <v>9</v>
      </c>
      <c r="I92" s="30">
        <f>'เย็น '!I92+'เช้า '!I92+บ่าย!I92</f>
        <v>4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33</v>
      </c>
      <c r="M92" s="11">
        <v>50</v>
      </c>
      <c r="N92" s="11">
        <v>95</v>
      </c>
      <c r="O92" s="11"/>
      <c r="P92" s="11">
        <v>50</v>
      </c>
      <c r="Q92" s="44">
        <f t="shared" si="10"/>
        <v>162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5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14</v>
      </c>
      <c r="H93" s="30">
        <f>'เย็น '!H93+'เช้า '!H93+บ่าย!H93</f>
        <v>6</v>
      </c>
      <c r="I93" s="30">
        <f>'เย็น '!I93+'เช้า '!I93+บ่าย!I93</f>
        <v>6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32</v>
      </c>
      <c r="M93" s="11">
        <v>84</v>
      </c>
      <c r="N93" s="11">
        <v>78</v>
      </c>
      <c r="O93" s="11"/>
      <c r="P93" s="11">
        <v>50</v>
      </c>
      <c r="Q93" s="44">
        <f t="shared" si="10"/>
        <v>180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12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14</v>
      </c>
      <c r="H97" s="30">
        <f>'เย็น '!H97+'เช้า '!H97+บ่าย!H97</f>
        <v>6</v>
      </c>
      <c r="I97" s="30">
        <f>'เย็น '!I97+'เช้า '!I97+บ่าย!I97</f>
        <v>4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37</v>
      </c>
      <c r="M97" s="11">
        <v>50</v>
      </c>
      <c r="N97" s="11">
        <v>89</v>
      </c>
      <c r="O97" s="11"/>
      <c r="P97" s="11">
        <v>50</v>
      </c>
      <c r="Q97" s="44">
        <f t="shared" si="10"/>
        <v>152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12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14</v>
      </c>
      <c r="H98" s="30">
        <f>'เย็น '!H98+'เช้า '!H98+บ่าย!H98</f>
        <v>6</v>
      </c>
      <c r="I98" s="30">
        <f>'เย็น '!I98+'เช้า '!I98+บ่าย!I98</f>
        <v>4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37</v>
      </c>
      <c r="M98" s="11">
        <v>73</v>
      </c>
      <c r="N98" s="11">
        <v>73</v>
      </c>
      <c r="O98" s="11"/>
      <c r="P98" s="11">
        <v>50</v>
      </c>
      <c r="Q98" s="44">
        <f t="shared" si="10"/>
        <v>159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208</v>
      </c>
      <c r="M100" s="11">
        <f>SUM(M90:M99)</f>
        <v>396</v>
      </c>
      <c r="N100" s="11">
        <f>SUM(N90:N99)</f>
        <v>482</v>
      </c>
      <c r="O100" s="11">
        <f>SUM(O90:O99)</f>
        <v>0</v>
      </c>
      <c r="P100" s="11">
        <f>SUM(P90:P99)</f>
        <v>300</v>
      </c>
      <c r="Q100" s="44">
        <f t="shared" si="10"/>
        <v>970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9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1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10</v>
      </c>
      <c r="M114" s="11"/>
      <c r="N114" s="11">
        <v>18</v>
      </c>
      <c r="O114" s="11"/>
      <c r="P114" s="11"/>
      <c r="Q114" s="44">
        <f t="shared" ref="Q114:Q140" si="14">(M114+N114+O114+P114)-L114</f>
        <v>8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3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3</v>
      </c>
      <c r="M115" s="11"/>
      <c r="N115" s="11">
        <v>20</v>
      </c>
      <c r="O115" s="11"/>
      <c r="P115" s="11"/>
      <c r="Q115" s="44">
        <f t="shared" si="14"/>
        <v>17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>
        <v>10</v>
      </c>
      <c r="N120" s="11">
        <v>3</v>
      </c>
      <c r="O120" s="11"/>
      <c r="P120" s="11"/>
      <c r="Q120" s="44">
        <f t="shared" si="14"/>
        <v>13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2</v>
      </c>
      <c r="E123" s="30">
        <f>'เย็น '!E123+'เช้า '!E123+บ่าย!E123</f>
        <v>10</v>
      </c>
      <c r="F123" s="30">
        <f>'เย็น '!F123+'เช้า '!F123+บ่าย!F123</f>
        <v>1</v>
      </c>
      <c r="G123" s="30">
        <f>'เย็น '!G123+'เช้า '!G123+บ่าย!G123</f>
        <v>246</v>
      </c>
      <c r="H123" s="30">
        <f>'เย็น '!H123+'เช้า '!H123+บ่าย!H123</f>
        <v>87</v>
      </c>
      <c r="I123" s="30">
        <f>'เย็น '!I123+'เช้า '!I123+บ่าย!I123</f>
        <v>37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383</v>
      </c>
      <c r="M123" s="11"/>
      <c r="N123" s="11">
        <v>1131</v>
      </c>
      <c r="O123" s="11"/>
      <c r="P123" s="11">
        <v>189</v>
      </c>
      <c r="Q123" s="44">
        <f t="shared" si="14"/>
        <v>937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2</v>
      </c>
      <c r="E124" s="30">
        <f>'เย็น '!E124+'เช้า '!E124+บ่าย!E124</f>
        <v>3</v>
      </c>
      <c r="F124" s="30">
        <f>'เย็น '!F124+'เช้า '!F124+บ่าย!F124</f>
        <v>1</v>
      </c>
      <c r="G124" s="30">
        <f>'เย็น '!G124+'เช้า '!G124+บ่าย!G124</f>
        <v>231</v>
      </c>
      <c r="H124" s="30">
        <f>'เย็น '!H124+'เช้า '!H124+บ่าย!H124</f>
        <v>78</v>
      </c>
      <c r="I124" s="30">
        <f>'เย็น '!I124+'เช้า '!I124+บ่าย!I124</f>
        <v>37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352</v>
      </c>
      <c r="M124" s="11"/>
      <c r="N124" s="11">
        <v>497</v>
      </c>
      <c r="O124" s="11"/>
      <c r="P124" s="11">
        <v>262</v>
      </c>
      <c r="Q124" s="44">
        <f t="shared" si="14"/>
        <v>407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2</v>
      </c>
      <c r="E125" s="30">
        <f>'เย็น '!E125+'เช้า '!E125+บ่าย!E125</f>
        <v>3</v>
      </c>
      <c r="F125" s="30">
        <f>'เย็น '!F125+'เช้า '!F125+บ่าย!F125</f>
        <v>1</v>
      </c>
      <c r="G125" s="30">
        <f>'เย็น '!G125+'เช้า '!G125+บ่าย!G125</f>
        <v>213</v>
      </c>
      <c r="H125" s="30">
        <f>'เย็น '!H125+'เช้า '!H125+บ่าย!H125</f>
        <v>78</v>
      </c>
      <c r="I125" s="30">
        <f>'เย็น '!I125+'เช้า '!I125+บ่าย!I125</f>
        <v>37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334</v>
      </c>
      <c r="M125" s="11"/>
      <c r="N125" s="11">
        <v>531</v>
      </c>
      <c r="O125" s="11"/>
      <c r="P125" s="11">
        <v>234</v>
      </c>
      <c r="Q125" s="44">
        <f t="shared" si="14"/>
        <v>431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16</v>
      </c>
      <c r="F126" s="30">
        <f>'เย็น '!F126+'เช้า '!F126+บ่าย!F126</f>
        <v>1</v>
      </c>
      <c r="G126" s="30">
        <f>'เย็น '!G126+'เช้า '!G126+บ่าย!G126</f>
        <v>1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18</v>
      </c>
      <c r="M126" s="11">
        <v>20</v>
      </c>
      <c r="N126" s="11"/>
      <c r="O126" s="11"/>
      <c r="P126" s="11">
        <v>15</v>
      </c>
      <c r="Q126" s="44">
        <f t="shared" si="14"/>
        <v>17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5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5</v>
      </c>
      <c r="M136" s="11"/>
      <c r="N136" s="11"/>
      <c r="O136" s="11"/>
      <c r="P136" s="11"/>
      <c r="Q136" s="44">
        <f t="shared" si="14"/>
        <v>-5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8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8</v>
      </c>
      <c r="M137" s="11"/>
      <c r="N137" s="11">
        <v>24</v>
      </c>
      <c r="O137" s="11"/>
      <c r="P137" s="11"/>
      <c r="Q137" s="44">
        <f t="shared" si="14"/>
        <v>16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77</v>
      </c>
      <c r="E141" s="36">
        <f t="shared" ref="E141:K141" si="15">SUM(E114:E140,E90:E99,E79:E87,E69:E76,E7:E66,E102:E111)</f>
        <v>102</v>
      </c>
      <c r="F141" s="36">
        <f t="shared" si="15"/>
        <v>67</v>
      </c>
      <c r="G141" s="36">
        <f t="shared" si="15"/>
        <v>853</v>
      </c>
      <c r="H141" s="36">
        <f t="shared" si="15"/>
        <v>348</v>
      </c>
      <c r="I141" s="36">
        <f t="shared" si="15"/>
        <v>172</v>
      </c>
      <c r="J141" s="36">
        <f t="shared" si="15"/>
        <v>0</v>
      </c>
      <c r="K141" s="36">
        <f t="shared" si="15"/>
        <v>6</v>
      </c>
      <c r="L141" s="36">
        <f>SUM(L114:L140,L90:L99,L79:L87,L69:L76,L7:L66,L102:L111)</f>
        <v>1625</v>
      </c>
      <c r="M141" s="36">
        <f>SUM(M114:M140,M90:M99,M79:M87,M69:M76,M7:M66,M102:M111)</f>
        <v>809</v>
      </c>
      <c r="N141" s="36">
        <f t="shared" ref="N141" si="16">SUM(N114:N140,N90:N99,N79:N87,N69:N76,N7:N66,N102:N111)</f>
        <v>3319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1280</v>
      </c>
      <c r="Q141" s="36">
        <f t="shared" ref="Q141" si="19">SUM(Q114:Q140,Q90:Q99,Q79:Q87,Q69:Q76,Q7:Q66,Q102:Q111)</f>
        <v>3783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2025-05-25T00:34:32Z</dcterms:modified>
</cp:coreProperties>
</file>