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003245F6-9A1E-4C5B-BC1A-FC7DCB3E37D9}" xr6:coauthVersionLast="47" xr6:coauthVersionMax="47" xr10:uidLastSave="{00000000-0000-0000-0000-000000000000}"/>
  <bookViews>
    <workbookView xWindow="3870" yWindow="90" windowWidth="19740" windowHeight="14640" activeTab="2" xr2:uid="{55C9AAA3-F459-48EC-A639-AACFFC6390F5}"/>
  </bookViews>
  <sheets>
    <sheet name="เช้า " sheetId="3" r:id="rId1"/>
    <sheet name="เย็น " sheetId="6" state="hidden" r:id="rId2"/>
    <sheet name="บ่าย" sheetId="4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7" i="5" l="1"/>
  <c r="K90" i="5"/>
  <c r="K93" i="5" l="1"/>
  <c r="Q139" i="5"/>
  <c r="L77" i="6"/>
  <c r="M141" i="5"/>
  <c r="N141" i="5"/>
  <c r="O141" i="5"/>
  <c r="P141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88" i="4" l="1"/>
  <c r="L112" i="4"/>
  <c r="L141" i="4"/>
  <c r="L67" i="4"/>
  <c r="L100" i="4"/>
  <c r="L77" i="3"/>
  <c r="L88" i="3"/>
  <c r="L138" i="5"/>
  <c r="Q138" i="5" s="1"/>
  <c r="L135" i="5"/>
  <c r="Q135" i="5" s="1"/>
  <c r="L131" i="5"/>
  <c r="Q131" i="5" s="1"/>
  <c r="L137" i="5"/>
  <c r="Q137" i="5" s="1"/>
  <c r="K141" i="5"/>
  <c r="L134" i="5"/>
  <c r="Q134" i="5" s="1"/>
  <c r="L132" i="5"/>
  <c r="Q132" i="5" s="1"/>
  <c r="L133" i="5"/>
  <c r="Q133" i="5" s="1"/>
  <c r="L136" i="5"/>
  <c r="Q136" i="5" s="1"/>
  <c r="L100" i="3"/>
  <c r="L67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H99" i="5"/>
  <c r="I99" i="5"/>
  <c r="J99" i="5"/>
  <c r="J141" i="5" s="1"/>
  <c r="D66" i="5"/>
  <c r="E66" i="5"/>
  <c r="F66" i="5"/>
  <c r="G66" i="5"/>
  <c r="H66" i="5"/>
  <c r="I66" i="5"/>
  <c r="J66" i="5"/>
  <c r="I141" i="5" l="1"/>
  <c r="H141" i="5"/>
  <c r="G141" i="5"/>
  <c r="E141" i="5"/>
  <c r="Q114" i="5"/>
  <c r="Q90" i="5"/>
  <c r="Q99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100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<sst xmlns="http://schemas.openxmlformats.org/spreadsheetml/2006/main" count="617" uniqueCount="146">
  <si>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</si>
  <si>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</si>
  <si>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</si>
  <si>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</si>
  <si>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</si>
  <si>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</si>
  <si>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</si>
  <si>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</si>
  <si>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</si>
  <si>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</si>
  <si>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</si>
  <si>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</si>
  <si>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</si>
  <si>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</si>
  <si>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</si>
  <si>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</si>
  <si>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</si>
  <si>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</si>
  <si>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</si>
  <si>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</si>
  <si>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</si>
  <si>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</si>
  <si>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</si>
  <si>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</si>
  <si>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</si>
  <si>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</si>
  <si>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</si>
  <si>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</si>
  <si>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</si>
  <si>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</si>
  <si>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</si>
  <si>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</si>
  <si>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</si>
  <si>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</si>
  <si>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</si>
  <si>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</si>
  <si>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</si>
  <si>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</si>
  <si>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</si>
  <si>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</si>
  <si>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</si>
  <si>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</si>
  <si>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</si>
  <si>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</si>
  <si>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</si>
  <si>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</si>
  <si>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</si>
  <si>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</si>
  <si>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</si>
  <si>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</si>
  <si>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</si>
  <si>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</si>
  <si>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</si>
  <si>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</si>
  <si>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</si>
  <si>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</si>
  <si>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</si>
  <si>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</si>
  <si>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</si>
  <si>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</si>
  <si>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</si>
  <si>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</si>
  <si>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</si>
  <si>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</si>
  <si>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</si>
  <si>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</si>
  <si>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</si>
  <si>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</si>
  <si>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</si>
  <si>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</si>
  <si>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</si>
  <si>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</si>
  <si>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</si>
  <si>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</si>
  <si>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</si>
  <si>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</si>
  <si>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</si>
  <si>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</si>
  <si>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</si>
  <si>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</si>
  <si>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</si>
  <si>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</si>
  <si>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</si>
  <si>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</si>
  <si>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</si>
  <si>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</si>
  <si>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</si>
  <si>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</si>
  <si>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</si>
  <si>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</si>
  <si>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</si>
  <si>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</si>
  <si>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</si>
  <si>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</si>
  <si>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</si>
  <si>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</si>
  <si>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</si>
  <si>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</si>
  <si>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</si>
  <si>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</si>
  <si>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</si>
  <si>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</si>
  <si>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</si>
  <si>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</si>
  <si>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</si>
  <si>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</si>
  <si>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</si>
  <si>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</si>
  <si>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</si>
  <si>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</si>
  <si>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</si>
  <si>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</si>
  <si>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</si>
  <si>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</si>
  <si>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</si>
  <si>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</si>
  <si>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</si>
  <si>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</si>
  <si>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</si>
  <si>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</si>
  <si>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</si>
  <si>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</si>
  <si>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</si>
  <si>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</si>
  <si>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</si>
  <si>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</si>
  <si>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</si>
  <si>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</si>
  <si>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</si>
  <si>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</si>
  <si>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</si>
  <si>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</si>
  <si>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</si>
  <si>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</si>
  <si>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</si>
  <si>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</si>
  <si>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</si>
  <si>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</si>
  <si>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</si>
  <si>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</si>
  <si>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</si>
  <si>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</si>
  <si>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</si>
  <si>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9/5/68รวม</t>
  </si>
  <si>
    <t>ยอดจริง ออนไลน์ วันที่  9/5/68 เช้า</t>
  </si>
  <si>
    <t>ยอดจริง ออนไลน์ วันที่ 8/5/68 -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</si>
</sst>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/>
    <xf numFmtId="187" fontId="4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87" fontId="10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50" zoomScaleNormal="50" workbookViewId="0">
      <selection activeCell="K91" sqref="K9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8</v>
      </c>
      <c r="E7" s="30">
        <v>38</v>
      </c>
      <c r="F7" s="30">
        <v>25</v>
      </c>
      <c r="G7" s="30">
        <v>1</v>
      </c>
      <c r="H7" s="30"/>
      <c r="I7" s="30"/>
      <c r="J7" s="43"/>
      <c r="K7" s="43">
        <v>3</v>
      </c>
      <c r="L7" s="36">
        <f>SUM(D7:K7)</f>
        <v>75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1</v>
      </c>
      <c r="E25" s="30">
        <v>6</v>
      </c>
      <c r="F25" s="30"/>
      <c r="G25" s="30">
        <v>1</v>
      </c>
      <c r="H25" s="30"/>
      <c r="I25" s="30"/>
      <c r="J25" s="43"/>
      <c r="K25" s="43"/>
      <c r="L25" s="36">
        <f t="shared" si="0"/>
        <v>8</v>
      </c>
    </row>
    <row r="26" spans="2:12" x14ac:dyDescent="0.2">
      <c r="B26" s="11">
        <v>1004055</v>
      </c>
      <c r="C26" s="15" t="s">
        <v>108</v>
      </c>
      <c r="D26" s="30">
        <v>4</v>
      </c>
      <c r="E26" s="30">
        <v>4</v>
      </c>
      <c r="F26" s="30"/>
      <c r="G26" s="30">
        <v>30</v>
      </c>
      <c r="H26" s="30"/>
      <c r="I26" s="30"/>
      <c r="J26" s="43"/>
      <c r="K26" s="43"/>
      <c r="L26" s="36">
        <f t="shared" si="0"/>
        <v>38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4">
        <f>SUM(L7:L66)</f>
        <v>121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6</v>
      </c>
      <c r="E69" s="30">
        <v>1</v>
      </c>
      <c r="F69" s="30">
        <v>2</v>
      </c>
      <c r="G69" s="30">
        <v>2</v>
      </c>
      <c r="H69" s="30"/>
      <c r="I69" s="30"/>
      <c r="J69" s="43"/>
      <c r="K69" s="43"/>
      <c r="L69" s="36">
        <f t="shared" ref="L69:L76" si="1">SUM(D69:K69)</f>
        <v>11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4">
        <f>SUM(L69:L76)</f>
        <v>11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5</v>
      </c>
      <c r="E87" s="30"/>
      <c r="F87" s="30"/>
      <c r="G87" s="30">
        <v>12</v>
      </c>
      <c r="H87" s="30"/>
      <c r="I87" s="30"/>
      <c r="J87" s="43"/>
      <c r="K87" s="43">
        <v>5</v>
      </c>
      <c r="L87" s="36">
        <f t="shared" si="2"/>
        <v>22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4">
        <f>SUM(L79:L87)</f>
        <v>22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2</v>
      </c>
      <c r="E90" s="30"/>
      <c r="F90" s="30">
        <v>1</v>
      </c>
      <c r="G90" s="30">
        <v>16</v>
      </c>
      <c r="H90" s="30"/>
      <c r="I90" s="30"/>
      <c r="J90" s="43"/>
      <c r="K90" s="43">
        <v>12</v>
      </c>
      <c r="L90" s="36">
        <f t="shared" ref="L90:L99" si="3">SUM(D90:K90)</f>
        <v>31</v>
      </c>
    </row>
    <row r="91" spans="2:12" x14ac:dyDescent="0.2">
      <c r="B91" s="11">
        <v>1112011</v>
      </c>
      <c r="C91" s="19" t="s">
        <v>76</v>
      </c>
      <c r="D91" s="30">
        <v>2</v>
      </c>
      <c r="E91" s="30"/>
      <c r="F91" s="30">
        <v>3</v>
      </c>
      <c r="G91" s="30">
        <v>16</v>
      </c>
      <c r="H91" s="30"/>
      <c r="I91" s="30"/>
      <c r="J91" s="43"/>
      <c r="K91" s="43">
        <v>2</v>
      </c>
      <c r="L91" s="36">
        <f t="shared" si="3"/>
        <v>23</v>
      </c>
    </row>
    <row r="92" spans="2:12" x14ac:dyDescent="0.2">
      <c r="B92" s="11">
        <v>1112003</v>
      </c>
      <c r="C92" s="19" t="s">
        <v>77</v>
      </c>
      <c r="D92" s="30">
        <v>2</v>
      </c>
      <c r="E92" s="30"/>
      <c r="F92" s="30">
        <v>1</v>
      </c>
      <c r="G92" s="30">
        <v>18</v>
      </c>
      <c r="H92" s="30"/>
      <c r="I92" s="30"/>
      <c r="J92" s="43"/>
      <c r="K92" s="43"/>
      <c r="L92" s="36">
        <f t="shared" si="3"/>
        <v>21</v>
      </c>
    </row>
    <row r="93" spans="2:12" x14ac:dyDescent="0.2">
      <c r="B93" s="11">
        <v>1112005</v>
      </c>
      <c r="C93" s="19" t="s">
        <v>78</v>
      </c>
      <c r="D93" s="30">
        <v>2</v>
      </c>
      <c r="E93" s="30"/>
      <c r="F93" s="30"/>
      <c r="G93" s="30">
        <v>17</v>
      </c>
      <c r="H93" s="30"/>
      <c r="I93" s="30"/>
      <c r="J93" s="43"/>
      <c r="K93" s="43">
        <v>10</v>
      </c>
      <c r="L93" s="36">
        <f t="shared" si="3"/>
        <v>29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2</v>
      </c>
      <c r="E97" s="30"/>
      <c r="F97" s="30"/>
      <c r="G97" s="30">
        <v>16</v>
      </c>
      <c r="H97" s="30"/>
      <c r="I97" s="30"/>
      <c r="J97" s="43"/>
      <c r="K97" s="43">
        <v>2</v>
      </c>
      <c r="L97" s="36">
        <f t="shared" si="3"/>
        <v>20</v>
      </c>
    </row>
    <row r="98" spans="2:12" x14ac:dyDescent="0.2">
      <c r="B98" s="11">
        <v>1112013</v>
      </c>
      <c r="C98" s="19" t="s">
        <v>83</v>
      </c>
      <c r="D98" s="30">
        <v>1</v>
      </c>
      <c r="E98" s="30"/>
      <c r="F98" s="30"/>
      <c r="G98" s="30">
        <v>16</v>
      </c>
      <c r="H98" s="30"/>
      <c r="I98" s="30"/>
      <c r="J98" s="43"/>
      <c r="K98" s="43">
        <v>2</v>
      </c>
      <c r="L98" s="36">
        <f t="shared" si="3"/>
        <v>19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143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4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>
        <v>14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15</v>
      </c>
    </row>
    <row r="115" spans="2:12" x14ac:dyDescent="0.2">
      <c r="B115" s="11">
        <v>1113171</v>
      </c>
      <c r="C115" s="21" t="s">
        <v>88</v>
      </c>
      <c r="D115" s="30">
        <v>6</v>
      </c>
      <c r="E115" s="30"/>
      <c r="F115" s="30"/>
      <c r="G115" s="30">
        <v>5</v>
      </c>
      <c r="H115" s="30"/>
      <c r="I115" s="30"/>
      <c r="J115" s="43"/>
      <c r="K115" s="43"/>
      <c r="L115" s="36">
        <f t="shared" si="5"/>
        <v>11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5</v>
      </c>
      <c r="L121" s="36">
        <f t="shared" si="5"/>
        <v>5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4</v>
      </c>
      <c r="E123" s="30">
        <v>2</v>
      </c>
      <c r="F123" s="30"/>
      <c r="G123" s="30">
        <v>177</v>
      </c>
      <c r="H123" s="30"/>
      <c r="I123" s="30"/>
      <c r="J123" s="43"/>
      <c r="K123" s="43"/>
      <c r="L123" s="36">
        <f t="shared" si="5"/>
        <v>183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>
        <v>178</v>
      </c>
      <c r="H124" s="30"/>
      <c r="I124" s="30"/>
      <c r="J124" s="43"/>
      <c r="K124" s="43"/>
      <c r="L124" s="36">
        <f t="shared" si="5"/>
        <v>178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>
        <v>173</v>
      </c>
      <c r="H125" s="30"/>
      <c r="I125" s="30"/>
      <c r="J125" s="43"/>
      <c r="K125" s="43"/>
      <c r="L125" s="36">
        <f t="shared" si="5"/>
        <v>173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>
        <v>4</v>
      </c>
      <c r="H137" s="30"/>
      <c r="I137" s="30"/>
      <c r="J137" s="43"/>
      <c r="K137" s="43">
        <v>10</v>
      </c>
      <c r="L137" s="36">
        <f t="shared" si="5"/>
        <v>14</v>
      </c>
    </row>
    <row r="138" spans="2:12" x14ac:dyDescent="0.2">
      <c r="B138" s="48">
        <v>1004046</v>
      </c>
      <c r="C138" s="47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48"/>
      <c r="C139" s="47" t="s">
        <v>137</v>
      </c>
      <c r="D139" s="46"/>
      <c r="E139" s="46"/>
      <c r="F139" s="46"/>
      <c r="G139" s="46"/>
      <c r="H139" s="46"/>
      <c r="I139" s="46"/>
      <c r="J139" s="46"/>
      <c r="K139" s="46"/>
      <c r="L139" s="36">
        <f t="shared" si="5"/>
        <v>0</v>
      </c>
    </row>
    <row r="140" spans="2:12" x14ac:dyDescent="0.2">
      <c r="B140" s="48"/>
      <c r="C140" s="47" t="s">
        <v>138</v>
      </c>
      <c r="D140" s="49"/>
      <c r="E140" s="49"/>
      <c r="F140" s="49"/>
      <c r="G140" s="50"/>
      <c r="H140" s="9"/>
      <c r="I140" s="9"/>
      <c r="J140" s="9"/>
      <c r="K140" s="9"/>
      <c r="L140" s="36">
        <f t="shared" si="5"/>
        <v>0</v>
      </c>
    </row>
    <row r="141" spans="2:12" x14ac:dyDescent="0.2">
      <c r="B141" s="51"/>
      <c r="C141" s="52"/>
      <c r="D141" s="31"/>
      <c r="E141" s="31"/>
      <c r="F141" s="31"/>
      <c r="G141" s="26"/>
      <c r="L141" s="53"/>
    </row>
    <row r="142" spans="2:12" x14ac:dyDescent="0.2">
      <c r="B142" s="51"/>
      <c r="C142" s="52"/>
      <c r="D142" s="31"/>
      <c r="E142" s="31"/>
      <c r="F142" s="31"/>
      <c r="G142" s="26"/>
      <c r="L142" s="53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4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4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4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4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48">
        <v>1004046</v>
      </c>
      <c r="C138" s="47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48"/>
      <c r="C139" s="47" t="s">
        <v>137</v>
      </c>
      <c r="D139" s="46"/>
      <c r="E139" s="46"/>
      <c r="F139" s="46"/>
      <c r="G139" s="46"/>
      <c r="H139" s="46"/>
      <c r="I139" s="46"/>
      <c r="J139" s="46"/>
      <c r="K139" s="46"/>
      <c r="L139" s="36">
        <f t="shared" si="5"/>
        <v>0</v>
      </c>
    </row>
    <row r="140" spans="2:12" x14ac:dyDescent="0.2">
      <c r="B140" s="48"/>
      <c r="C140" s="47" t="s">
        <v>138</v>
      </c>
      <c r="D140" s="49"/>
      <c r="E140" s="49"/>
      <c r="F140" s="49"/>
      <c r="G140" s="50"/>
      <c r="H140" s="9"/>
      <c r="I140" s="9"/>
      <c r="J140" s="9"/>
      <c r="K140" s="9"/>
      <c r="L140" s="36">
        <f t="shared" si="5"/>
        <v>0</v>
      </c>
    </row>
    <row r="141" spans="2:12" x14ac:dyDescent="0.2">
      <c r="B141" s="51"/>
      <c r="C141" s="52"/>
      <c r="D141" s="31"/>
      <c r="E141" s="31"/>
      <c r="F141" s="31"/>
      <c r="G141" s="26"/>
      <c r="L141" s="53"/>
    </row>
    <row r="142" spans="2:12" x14ac:dyDescent="0.2">
      <c r="B142" s="51"/>
      <c r="C142" s="52"/>
      <c r="D142" s="31"/>
      <c r="E142" s="31"/>
      <c r="F142" s="31"/>
      <c r="G142" s="26"/>
      <c r="L142" s="53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abSelected="1" topLeftCell="A118" zoomScale="60" zoomScaleNormal="60" workbookViewId="0">
      <selection activeCell="B1" sqref="B1:L14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135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>
        <v>8</v>
      </c>
      <c r="F7" s="30"/>
      <c r="G7" s="30"/>
      <c r="H7" s="30"/>
      <c r="I7" s="30"/>
      <c r="J7" s="43"/>
      <c r="K7" s="43"/>
      <c r="L7" s="36">
        <f>SUM(D7:K7)</f>
        <v>8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>
        <v>3</v>
      </c>
      <c r="F26" s="30"/>
      <c r="G26" s="30">
        <v>37</v>
      </c>
      <c r="H26" s="30">
        <v>6</v>
      </c>
      <c r="I26" s="30">
        <v>3</v>
      </c>
      <c r="J26" s="43"/>
      <c r="K26" s="43"/>
      <c r="L26" s="36">
        <f t="shared" si="0"/>
        <v>49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hidden="1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hidden="1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hidden="1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hidden="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hidden="1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hidden="1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hidden="1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hidden="1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hidden="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hidden="1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hidden="1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hidden="1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hidden="1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hidden="1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hidden="1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hidden="1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hidden="1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hidden="1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hidden="1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hidden="1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hidden="1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hidden="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4">
        <f>SUM(L7:L66)</f>
        <v>57</v>
      </c>
    </row>
    <row r="68" spans="2:12" ht="19.5" hidden="1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hidden="1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hidden="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hidden="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hidden="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hidden="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hidden="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hidden="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hidden="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4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hidden="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hidden="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hidden="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hidden="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hidden="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hidden="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hidden="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>
        <v>3</v>
      </c>
      <c r="F87" s="30"/>
      <c r="G87" s="30">
        <v>25</v>
      </c>
      <c r="H87" s="30"/>
      <c r="I87" s="30">
        <v>6</v>
      </c>
      <c r="J87" s="43"/>
      <c r="K87" s="43"/>
      <c r="L87" s="36">
        <f t="shared" si="2"/>
        <v>34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4">
        <f>SUM(L79:L87)</f>
        <v>34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>
        <v>18</v>
      </c>
      <c r="H90" s="30">
        <v>3</v>
      </c>
      <c r="I90" s="30">
        <v>3</v>
      </c>
      <c r="J90" s="43"/>
      <c r="K90" s="43"/>
      <c r="L90" s="36">
        <f t="shared" ref="L90:L99" si="3">SUM(D90:K90)</f>
        <v>24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>
        <v>18</v>
      </c>
      <c r="H91" s="30">
        <v>3</v>
      </c>
      <c r="I91" s="30">
        <v>3</v>
      </c>
      <c r="J91" s="43"/>
      <c r="K91" s="43"/>
      <c r="L91" s="36">
        <f t="shared" si="3"/>
        <v>24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>
        <v>19</v>
      </c>
      <c r="H92" s="30">
        <v>3</v>
      </c>
      <c r="I92" s="30">
        <v>3</v>
      </c>
      <c r="J92" s="43"/>
      <c r="K92" s="43"/>
      <c r="L92" s="36">
        <f t="shared" si="3"/>
        <v>25</v>
      </c>
    </row>
    <row r="93" spans="2:12" x14ac:dyDescent="0.2">
      <c r="B93" s="11">
        <v>1112005</v>
      </c>
      <c r="C93" s="19" t="s">
        <v>78</v>
      </c>
      <c r="D93" s="30"/>
      <c r="E93" s="30">
        <v>1</v>
      </c>
      <c r="F93" s="30"/>
      <c r="G93" s="30">
        <v>19</v>
      </c>
      <c r="H93" s="30">
        <v>3</v>
      </c>
      <c r="I93" s="30">
        <v>3</v>
      </c>
      <c r="J93" s="43"/>
      <c r="K93" s="43"/>
      <c r="L93" s="36">
        <f t="shared" si="3"/>
        <v>26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>
        <v>19</v>
      </c>
      <c r="H97" s="30">
        <v>3</v>
      </c>
      <c r="I97" s="30">
        <v>3</v>
      </c>
      <c r="J97" s="43"/>
      <c r="K97" s="43"/>
      <c r="L97" s="36">
        <f t="shared" si="3"/>
        <v>25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>
        <v>19</v>
      </c>
      <c r="H98" s="30">
        <v>3</v>
      </c>
      <c r="I98" s="30">
        <v>3</v>
      </c>
      <c r="J98" s="43"/>
      <c r="K98" s="43"/>
      <c r="L98" s="36">
        <f t="shared" si="3"/>
        <v>25</v>
      </c>
    </row>
    <row r="99" spans="2:12" hidden="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149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4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>
        <v>245</v>
      </c>
      <c r="H123" s="30">
        <v>6</v>
      </c>
      <c r="I123" s="30">
        <v>39</v>
      </c>
      <c r="J123" s="43"/>
      <c r="K123" s="43"/>
      <c r="L123" s="36">
        <f t="shared" si="5"/>
        <v>290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>
        <v>212</v>
      </c>
      <c r="H124" s="30">
        <v>6</v>
      </c>
      <c r="I124" s="30">
        <v>36</v>
      </c>
      <c r="J124" s="43"/>
      <c r="K124" s="43"/>
      <c r="L124" s="36">
        <f t="shared" si="5"/>
        <v>254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>
        <v>209</v>
      </c>
      <c r="H125" s="30">
        <v>6</v>
      </c>
      <c r="I125" s="30">
        <v>36</v>
      </c>
      <c r="J125" s="43"/>
      <c r="K125" s="43"/>
      <c r="L125" s="36">
        <f t="shared" si="5"/>
        <v>251</v>
      </c>
    </row>
    <row r="126" spans="2:12" x14ac:dyDescent="0.2">
      <c r="B126" s="11">
        <v>1124021</v>
      </c>
      <c r="C126" s="21" t="s">
        <v>98</v>
      </c>
      <c r="D126" s="30"/>
      <c r="E126" s="30">
        <v>24</v>
      </c>
      <c r="F126" s="30"/>
      <c r="G126" s="30"/>
      <c r="H126" s="30"/>
      <c r="I126" s="30"/>
      <c r="J126" s="43"/>
      <c r="K126" s="43"/>
      <c r="L126" s="36">
        <f t="shared" si="5"/>
        <v>24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141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48">
        <v>1004046</v>
      </c>
      <c r="C138" s="47" t="s">
        <v>142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48"/>
      <c r="C139" s="47" t="s">
        <v>137</v>
      </c>
      <c r="D139" s="46"/>
      <c r="E139" s="46"/>
      <c r="F139" s="46"/>
      <c r="G139" s="46"/>
      <c r="H139" s="46"/>
      <c r="I139" s="46"/>
      <c r="J139" s="46"/>
      <c r="K139" s="46"/>
      <c r="L139" s="36">
        <f t="shared" si="5"/>
        <v>0</v>
      </c>
    </row>
    <row r="140" spans="2:12" x14ac:dyDescent="0.2">
      <c r="B140" s="48"/>
      <c r="C140" s="47" t="s">
        <v>138</v>
      </c>
      <c r="D140" s="49"/>
      <c r="E140" s="49"/>
      <c r="F140" s="49"/>
      <c r="G140" s="50"/>
      <c r="H140" s="9"/>
      <c r="I140" s="9"/>
      <c r="J140" s="9"/>
      <c r="K140" s="9"/>
      <c r="L140" s="36">
        <f t="shared" si="5"/>
        <v>0</v>
      </c>
    </row>
    <row r="141" spans="2:12" x14ac:dyDescent="0.2">
      <c r="B141" s="51"/>
      <c r="C141" s="52"/>
      <c r="D141" s="31"/>
      <c r="E141" s="31"/>
      <c r="F141" s="31"/>
      <c r="G141" s="26"/>
      <c r="L141" s="39">
        <f>SUM(L114:L140,L102:L111,L90:L99,L79:L87,L69:L76,L7:L66)</f>
        <v>1059</v>
      </c>
    </row>
    <row r="142" spans="2:12" x14ac:dyDescent="0.2">
      <c r="B142" s="51"/>
      <c r="C142" s="52"/>
      <c r="D142" s="31"/>
      <c r="E142" s="31"/>
      <c r="F142" s="31"/>
      <c r="G142" s="26"/>
      <c r="L142" s="53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M69" sqref="M1:R1048576"/>
    </sheetView>
  </sheetViews>
  <sheetFormatPr defaultRowHeight="22.5" x14ac:dyDescent="0.3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23.125" style="55" customWidth="1"/>
    <col min="20" max="20" width="23.125" style="45" customWidth="1"/>
    <col min="21" max="23" width="9" customWidth="1"/>
  </cols>
  <sheetData>
    <row r="1" spans="2:20" x14ac:dyDescent="0.3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20" x14ac:dyDescent="0.3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139</v>
      </c>
      <c r="P2" s="67" t="s">
        <v>140</v>
      </c>
      <c r="Q2" s="70" t="s">
        <v>1</v>
      </c>
    </row>
    <row r="3" spans="2:20" x14ac:dyDescent="0.3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  <c r="T3" s="73"/>
    </row>
    <row r="4" spans="2:20" x14ac:dyDescent="0.3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135</v>
      </c>
      <c r="L4" s="10" t="s">
        <v>10</v>
      </c>
      <c r="M4" s="69"/>
      <c r="N4" s="69"/>
      <c r="O4" s="69"/>
      <c r="P4" s="69"/>
      <c r="Q4" s="72"/>
      <c r="T4" s="73"/>
    </row>
    <row r="5" spans="2:20" x14ac:dyDescent="0.3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  <c r="T5" s="73"/>
    </row>
    <row r="6" spans="2:20" x14ac:dyDescent="0.3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  <c r="T6" s="73"/>
    </row>
    <row r="7" spans="2:20" x14ac:dyDescent="0.3">
      <c r="B7" s="11">
        <v>1111002</v>
      </c>
      <c r="C7" s="15" t="s">
        <v>107</v>
      </c>
      <c r="D7" s="30">
        <f>'เย็น '!D7+'เช้า '!D7+บ่าย!D7</f>
        <v>8</v>
      </c>
      <c r="E7" s="30">
        <f>'เย็น '!E7+'เช้า '!E7+บ่าย!E7</f>
        <v>46</v>
      </c>
      <c r="F7" s="30">
        <f>'เย็น '!F7+'เช้า '!F7+บ่าย!F7</f>
        <v>25</v>
      </c>
      <c r="G7" s="30">
        <f>'เย็น '!G7+'เช้า '!G7+บ่าย!G7</f>
        <v>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</v>
      </c>
      <c r="L7" s="36">
        <f>SUM(D7:K7)</f>
        <v>83</v>
      </c>
      <c r="M7" s="11">
        <v>140</v>
      </c>
      <c r="N7" s="11"/>
      <c r="O7" s="11"/>
      <c r="P7" s="11"/>
      <c r="Q7" s="44">
        <f>(M7+N7+O7+P7)-L7</f>
        <v>57</v>
      </c>
      <c r="T7" s="73"/>
    </row>
    <row r="8" spans="2:20" hidden="1" x14ac:dyDescent="0.3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  <c r="T8" s="73"/>
    </row>
    <row r="9" spans="2:20" hidden="1" x14ac:dyDescent="0.3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  <c r="T9" s="73"/>
    </row>
    <row r="10" spans="2:20" hidden="1" x14ac:dyDescent="0.3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  <c r="T10" s="73"/>
    </row>
    <row r="11" spans="2:20" hidden="1" x14ac:dyDescent="0.3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  <c r="T11" s="73"/>
    </row>
    <row r="12" spans="2:20" hidden="1" x14ac:dyDescent="0.3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  <c r="T12" s="73"/>
    </row>
    <row r="13" spans="2:20" hidden="1" x14ac:dyDescent="0.3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  <c r="T13" s="73"/>
    </row>
    <row r="14" spans="2:20" hidden="1" x14ac:dyDescent="0.3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  <c r="T14" s="73"/>
    </row>
    <row r="15" spans="2:20" hidden="1" x14ac:dyDescent="0.3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  <c r="T15" s="73"/>
    </row>
    <row r="16" spans="2:20" hidden="1" x14ac:dyDescent="0.3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  <c r="T16" s="73"/>
    </row>
    <row r="17" spans="2:20" hidden="1" x14ac:dyDescent="0.3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  <c r="T17" s="73"/>
    </row>
    <row r="18" spans="2:20" hidden="1" x14ac:dyDescent="0.3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  <c r="T18" s="73"/>
    </row>
    <row r="19" spans="2:20" hidden="1" x14ac:dyDescent="0.3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  <c r="T19" s="73"/>
    </row>
    <row r="20" spans="2:20" hidden="1" x14ac:dyDescent="0.3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  <c r="T20" s="73"/>
    </row>
    <row r="21" spans="2:20" hidden="1" x14ac:dyDescent="0.3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  <c r="T21" s="73"/>
    </row>
    <row r="22" spans="2:20" hidden="1" x14ac:dyDescent="0.3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  <c r="T22" s="73"/>
    </row>
    <row r="23" spans="2:20" hidden="1" x14ac:dyDescent="0.3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  <c r="T23" s="73"/>
    </row>
    <row r="24" spans="2:20" hidden="1" x14ac:dyDescent="0.3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  <c r="T24" s="73"/>
    </row>
    <row r="25" spans="2:20" x14ac:dyDescent="0.3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6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>
        <v>30</v>
      </c>
      <c r="N25" s="11">
        <v>23</v>
      </c>
      <c r="O25" s="11"/>
      <c r="P25" s="11"/>
      <c r="Q25" s="44">
        <f t="shared" si="1"/>
        <v>45</v>
      </c>
      <c r="T25" s="73"/>
    </row>
    <row r="26" spans="2:20" x14ac:dyDescent="0.3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7</v>
      </c>
      <c r="F26" s="30">
        <f>'เย็น '!F26+'เช้า '!F26+บ่าย!F26</f>
        <v>0</v>
      </c>
      <c r="G26" s="30">
        <f>'เย็น '!G26+'เช้า '!G26+บ่าย!G26</f>
        <v>67</v>
      </c>
      <c r="H26" s="30">
        <f>'เย็น '!H26+'เช้า '!H26+บ่าย!H26</f>
        <v>6</v>
      </c>
      <c r="I26" s="30">
        <f>'เย็น '!I26+'เช้า '!I26+บ่าย!I26</f>
        <v>3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87</v>
      </c>
      <c r="M26" s="11">
        <v>180</v>
      </c>
      <c r="N26" s="11">
        <v>8</v>
      </c>
      <c r="O26" s="11"/>
      <c r="P26" s="11"/>
      <c r="Q26" s="44">
        <f t="shared" si="1"/>
        <v>101</v>
      </c>
      <c r="T26" s="73"/>
    </row>
    <row r="27" spans="2:20" hidden="1" x14ac:dyDescent="0.3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  <c r="T27" s="73"/>
    </row>
    <row r="28" spans="2:20" hidden="1" x14ac:dyDescent="0.3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  <c r="T28" s="73"/>
    </row>
    <row r="29" spans="2:20" hidden="1" x14ac:dyDescent="0.3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  <c r="T29" s="73"/>
    </row>
    <row r="30" spans="2:20" hidden="1" x14ac:dyDescent="0.3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  <c r="T30" s="73"/>
    </row>
    <row r="31" spans="2:20" hidden="1" x14ac:dyDescent="0.3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  <c r="T31" s="73"/>
    </row>
    <row r="32" spans="2:20" hidden="1" x14ac:dyDescent="0.3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  <c r="T32" s="73"/>
    </row>
    <row r="33" spans="2:20" hidden="1" x14ac:dyDescent="0.3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  <c r="T33" s="73"/>
    </row>
    <row r="34" spans="2:20" hidden="1" x14ac:dyDescent="0.3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  <c r="T34" s="73"/>
    </row>
    <row r="35" spans="2:20" hidden="1" x14ac:dyDescent="0.3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  <c r="T35" s="73"/>
    </row>
    <row r="36" spans="2:20" hidden="1" x14ac:dyDescent="0.3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  <c r="T36" s="73"/>
    </row>
    <row r="37" spans="2:20" hidden="1" x14ac:dyDescent="0.3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  <c r="T37" s="73"/>
    </row>
    <row r="38" spans="2:20" hidden="1" x14ac:dyDescent="0.3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  <c r="T38" s="73"/>
    </row>
    <row r="39" spans="2:20" hidden="1" x14ac:dyDescent="0.3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  <c r="T39" s="73"/>
    </row>
    <row r="40" spans="2:20" x14ac:dyDescent="0.3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  <c r="T40" s="73"/>
    </row>
    <row r="41" spans="2:20" x14ac:dyDescent="0.3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  <c r="T41" s="73"/>
    </row>
    <row r="42" spans="2:20" x14ac:dyDescent="0.3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  <c r="T42" s="73"/>
    </row>
    <row r="43" spans="2:20" x14ac:dyDescent="0.3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  <c r="T43" s="73"/>
    </row>
    <row r="44" spans="2:20" x14ac:dyDescent="0.3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  <c r="T44" s="73"/>
    </row>
    <row r="45" spans="2:20" x14ac:dyDescent="0.3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  <c r="T45" s="73"/>
    </row>
    <row r="46" spans="2:20" x14ac:dyDescent="0.3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  <c r="T46" s="73"/>
    </row>
    <row r="47" spans="2:20" x14ac:dyDescent="0.3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  <c r="T47" s="73"/>
    </row>
    <row r="48" spans="2:20" x14ac:dyDescent="0.3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  <c r="T48" s="73"/>
    </row>
    <row r="49" spans="2:20" x14ac:dyDescent="0.3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  <c r="T49" s="73"/>
    </row>
    <row r="50" spans="2:20" hidden="1" x14ac:dyDescent="0.3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  <c r="T50" s="73"/>
    </row>
    <row r="51" spans="2:20" hidden="1" x14ac:dyDescent="0.3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  <c r="T51" s="73"/>
    </row>
    <row r="52" spans="2:20" hidden="1" x14ac:dyDescent="0.3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56"/>
      <c r="T52" s="73"/>
    </row>
    <row r="53" spans="2:20" hidden="1" x14ac:dyDescent="0.3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  <c r="T53" s="73"/>
    </row>
    <row r="54" spans="2:20" hidden="1" x14ac:dyDescent="0.3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  <c r="T54" s="73"/>
    </row>
    <row r="55" spans="2:20" hidden="1" x14ac:dyDescent="0.3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  <c r="T55" s="73"/>
    </row>
    <row r="56" spans="2:20" hidden="1" x14ac:dyDescent="0.3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  <c r="T56" s="73"/>
    </row>
    <row r="57" spans="2:20" hidden="1" x14ac:dyDescent="0.3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  <c r="T57" s="73"/>
    </row>
    <row r="58" spans="2:20" hidden="1" x14ac:dyDescent="0.3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  <c r="T58" s="73"/>
    </row>
    <row r="59" spans="2:20" hidden="1" x14ac:dyDescent="0.3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  <c r="T59" s="73"/>
    </row>
    <row r="60" spans="2:20" hidden="1" x14ac:dyDescent="0.3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  <c r="T60" s="73"/>
    </row>
    <row r="61" spans="2:20" hidden="1" x14ac:dyDescent="0.3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  <c r="T61" s="73"/>
    </row>
    <row r="62" spans="2:20" hidden="1" x14ac:dyDescent="0.3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  <c r="T62" s="73"/>
    </row>
    <row r="63" spans="2:20" hidden="1" x14ac:dyDescent="0.3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  <c r="T63" s="73"/>
    </row>
    <row r="64" spans="2:20" hidden="1" x14ac:dyDescent="0.3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  <c r="T64" s="73"/>
    </row>
    <row r="65" spans="2:20" hidden="1" x14ac:dyDescent="0.3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56"/>
      <c r="T65" s="73"/>
    </row>
    <row r="66" spans="2:20" hidden="1" x14ac:dyDescent="0.3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  <c r="T66" s="73"/>
    </row>
    <row r="67" spans="2:20" hidden="1" x14ac:dyDescent="0.3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  <c r="T67" s="73"/>
    </row>
    <row r="68" spans="2:20" x14ac:dyDescent="0.3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  <c r="T68" s="73"/>
    </row>
    <row r="69" spans="2:20" x14ac:dyDescent="0.3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1</v>
      </c>
      <c r="F69" s="30">
        <f>'เย็น '!F69+'เช้า '!F69+บ่าย!F69</f>
        <v>2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>
        <v>30</v>
      </c>
      <c r="N69" s="11"/>
      <c r="O69" s="11"/>
      <c r="P69" s="11"/>
      <c r="Q69" s="44">
        <f t="shared" ref="Q69:Q76" si="5">(M69+N69+O69+P69)-L69</f>
        <v>19</v>
      </c>
      <c r="T69" s="73"/>
    </row>
    <row r="70" spans="2:20" hidden="1" x14ac:dyDescent="0.3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  <c r="T70" s="73"/>
    </row>
    <row r="71" spans="2:20" hidden="1" x14ac:dyDescent="0.3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  <c r="T71" s="73"/>
    </row>
    <row r="72" spans="2:20" hidden="1" x14ac:dyDescent="0.3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  <c r="T72" s="73"/>
    </row>
    <row r="73" spans="2:20" hidden="1" x14ac:dyDescent="0.3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  <c r="T73" s="73"/>
    </row>
    <row r="74" spans="2:20" hidden="1" x14ac:dyDescent="0.3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  <c r="T74" s="73"/>
    </row>
    <row r="75" spans="2:20" hidden="1" x14ac:dyDescent="0.3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  <c r="T75" s="73"/>
    </row>
    <row r="76" spans="2:20" hidden="1" x14ac:dyDescent="0.3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  <c r="T76" s="73"/>
    </row>
    <row r="77" spans="2:20" hidden="1" x14ac:dyDescent="0.3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  <c r="T77" s="73"/>
    </row>
    <row r="78" spans="2:20" x14ac:dyDescent="0.3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  <c r="T78" s="73"/>
    </row>
    <row r="79" spans="2:20" hidden="1" x14ac:dyDescent="0.3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  <c r="T79" s="73"/>
    </row>
    <row r="80" spans="2:20" hidden="1" x14ac:dyDescent="0.3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  <c r="T80" s="73"/>
    </row>
    <row r="81" spans="2:20" hidden="1" x14ac:dyDescent="0.3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  <c r="T81" s="73"/>
    </row>
    <row r="82" spans="2:20" hidden="1" x14ac:dyDescent="0.3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  <c r="T82" s="73"/>
    </row>
    <row r="83" spans="2:20" hidden="1" x14ac:dyDescent="0.3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  <c r="T83" s="73"/>
    </row>
    <row r="84" spans="2:20" hidden="1" x14ac:dyDescent="0.3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  <c r="T84" s="73"/>
    </row>
    <row r="85" spans="2:20" hidden="1" x14ac:dyDescent="0.3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  <c r="T85" s="73"/>
    </row>
    <row r="86" spans="2:20" hidden="1" x14ac:dyDescent="0.3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  <c r="T86" s="73"/>
    </row>
    <row r="87" spans="2:20" x14ac:dyDescent="0.3">
      <c r="B87" s="11">
        <v>1111008</v>
      </c>
      <c r="C87" s="19" t="s">
        <v>73</v>
      </c>
      <c r="D87" s="30">
        <f>'เย็น '!D87+'เช้า '!D87+บ่าย!D87</f>
        <v>5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37</v>
      </c>
      <c r="H87" s="30">
        <f>'เย็น '!H87+'เช้า '!H87+บ่าย!H87</f>
        <v>0</v>
      </c>
      <c r="I87" s="30">
        <f>'เย็น '!I87+'เช้า '!I87+บ่าย!I87</f>
        <v>6</v>
      </c>
      <c r="J87" s="30">
        <f>'เย็น '!J87+'เช้า '!J87+บ่าย!J87</f>
        <v>0</v>
      </c>
      <c r="K87" s="30">
        <f>'เย็น '!K87+'เช้า '!K87+บ่าย!K87</f>
        <v>5</v>
      </c>
      <c r="L87" s="36">
        <f t="shared" si="7"/>
        <v>56</v>
      </c>
      <c r="M87" s="11">
        <v>185</v>
      </c>
      <c r="N87" s="11">
        <v>11</v>
      </c>
      <c r="O87" s="11"/>
      <c r="P87" s="11"/>
      <c r="Q87" s="44">
        <f t="shared" si="8"/>
        <v>140</v>
      </c>
      <c r="T87" s="73"/>
    </row>
    <row r="88" spans="2:20" hidden="1" x14ac:dyDescent="0.3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  <c r="T88" s="73"/>
    </row>
    <row r="89" spans="2:20" x14ac:dyDescent="0.3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  <c r="T89" s="73"/>
    </row>
    <row r="90" spans="2:20" x14ac:dyDescent="0.3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34</v>
      </c>
      <c r="H90" s="30">
        <f>'เย็น '!H90+'เช้า '!H90+บ่าย!H90</f>
        <v>3</v>
      </c>
      <c r="I90" s="30">
        <f>'เย็น '!I90+'เช้า '!I90+บ่าย!I90</f>
        <v>3</v>
      </c>
      <c r="J90" s="30">
        <f>'เย็น '!J90+'เช้า '!J90+บ่าย!J90</f>
        <v>0</v>
      </c>
      <c r="K90" s="30">
        <f>'เย็น '!K90+'เช้า '!K90+บ่าย!K90</f>
        <v>12</v>
      </c>
      <c r="L90" s="36">
        <f t="shared" ref="L90:L99" si="9">SUM(D90:K90)</f>
        <v>55</v>
      </c>
      <c r="M90" s="11">
        <v>102</v>
      </c>
      <c r="N90" s="11">
        <v>18</v>
      </c>
      <c r="O90" s="11"/>
      <c r="P90" s="11"/>
      <c r="Q90" s="44">
        <f t="shared" ref="Q90:Q100" si="10">(M90+N90+O90+P90)-L90</f>
        <v>65</v>
      </c>
      <c r="T90" s="73"/>
    </row>
    <row r="91" spans="2:20" x14ac:dyDescent="0.3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34</v>
      </c>
      <c r="H91" s="30">
        <f>'เย็น '!H91+'เช้า '!H91+บ่าย!H91</f>
        <v>3</v>
      </c>
      <c r="I91" s="30">
        <f>'เย็น '!I91+'เช้า '!I91+บ่าย!I91</f>
        <v>3</v>
      </c>
      <c r="J91" s="30">
        <f>'เย็น '!J91+'เช้า '!J91+บ่าย!J91</f>
        <v>0</v>
      </c>
      <c r="K91" s="30">
        <f>'เย็น '!K91+'เช้า '!K91+บ่าย!K91</f>
        <v>2</v>
      </c>
      <c r="L91" s="36">
        <f t="shared" si="9"/>
        <v>47</v>
      </c>
      <c r="M91" s="11">
        <v>102</v>
      </c>
      <c r="N91" s="11">
        <v>30</v>
      </c>
      <c r="O91" s="11"/>
      <c r="P91" s="11"/>
      <c r="Q91" s="44">
        <f t="shared" si="10"/>
        <v>85</v>
      </c>
      <c r="T91" s="73"/>
    </row>
    <row r="92" spans="2:20" x14ac:dyDescent="0.3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37</v>
      </c>
      <c r="H92" s="30">
        <f>'เย็น '!H92+'เช้า '!H92+บ่าย!H92</f>
        <v>3</v>
      </c>
      <c r="I92" s="30">
        <f>'เย็น '!I92+'เช้า '!I92+บ่าย!I92</f>
        <v>3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46</v>
      </c>
      <c r="M92" s="11">
        <v>100</v>
      </c>
      <c r="N92" s="11">
        <v>26</v>
      </c>
      <c r="O92" s="11"/>
      <c r="P92" s="11"/>
      <c r="Q92" s="44">
        <f t="shared" si="10"/>
        <v>80</v>
      </c>
      <c r="T92" s="73"/>
    </row>
    <row r="93" spans="2:20" x14ac:dyDescent="0.3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36</v>
      </c>
      <c r="H93" s="30">
        <f>'เย็น '!H93+'เช้า '!H93+บ่าย!H93</f>
        <v>3</v>
      </c>
      <c r="I93" s="30">
        <f>'เย็น '!I93+'เช้า '!I93+บ่าย!I93</f>
        <v>3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55</v>
      </c>
      <c r="M93" s="11">
        <v>100</v>
      </c>
      <c r="N93" s="11">
        <v>28</v>
      </c>
      <c r="O93" s="11"/>
      <c r="P93" s="11"/>
      <c r="Q93" s="44">
        <f t="shared" si="10"/>
        <v>73</v>
      </c>
      <c r="T93" s="73"/>
    </row>
    <row r="94" spans="2:20" x14ac:dyDescent="0.3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  <c r="T94" s="73"/>
    </row>
    <row r="95" spans="2:20" x14ac:dyDescent="0.3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  <c r="T95" s="73"/>
    </row>
    <row r="96" spans="2:20" x14ac:dyDescent="0.3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  <c r="T96" s="73"/>
    </row>
    <row r="97" spans="2:20" x14ac:dyDescent="0.3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35</v>
      </c>
      <c r="H97" s="30">
        <f>'เย็น '!H97+'เช้า '!H97+บ่าย!H97</f>
        <v>3</v>
      </c>
      <c r="I97" s="30">
        <f>'เย็น '!I97+'เช้า '!I97+บ่าย!I97</f>
        <v>3</v>
      </c>
      <c r="J97" s="30">
        <f>'เย็น '!J97+'เช้า '!J97+บ่าย!J97</f>
        <v>0</v>
      </c>
      <c r="K97" s="30">
        <f>'เย็น '!K97+'เช้า '!K97+บ่าย!K97</f>
        <v>2</v>
      </c>
      <c r="L97" s="36">
        <f t="shared" si="9"/>
        <v>45</v>
      </c>
      <c r="M97" s="11">
        <v>102</v>
      </c>
      <c r="N97" s="11">
        <v>6</v>
      </c>
      <c r="O97" s="11"/>
      <c r="P97" s="11"/>
      <c r="Q97" s="44">
        <f t="shared" si="10"/>
        <v>63</v>
      </c>
      <c r="T97" s="73"/>
    </row>
    <row r="98" spans="2:20" x14ac:dyDescent="0.3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35</v>
      </c>
      <c r="H98" s="30">
        <f>'เย็น '!H98+'เช้า '!H98+บ่าย!H98</f>
        <v>3</v>
      </c>
      <c r="I98" s="30">
        <f>'เย็น '!I98+'เช้า '!I98+บ่าย!I98</f>
        <v>3</v>
      </c>
      <c r="J98" s="30">
        <f>'เย็น '!J98+'เช้า '!J98+บ่าย!J98</f>
        <v>0</v>
      </c>
      <c r="K98" s="30">
        <f>'เย็น '!K98+'เช้า '!K98+บ่าย!K98</f>
        <v>2</v>
      </c>
      <c r="L98" s="36">
        <f t="shared" si="9"/>
        <v>44</v>
      </c>
      <c r="M98" s="11">
        <v>102</v>
      </c>
      <c r="N98" s="11">
        <v>26</v>
      </c>
      <c r="O98" s="11"/>
      <c r="P98" s="11"/>
      <c r="Q98" s="44">
        <f t="shared" si="10"/>
        <v>84</v>
      </c>
      <c r="T98" s="73"/>
    </row>
    <row r="99" spans="2:20" x14ac:dyDescent="0.3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450</v>
      </c>
      <c r="T99" s="73"/>
    </row>
    <row r="100" spans="2:20" hidden="1" x14ac:dyDescent="0.3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292</v>
      </c>
      <c r="M100" s="11"/>
      <c r="N100" s="11"/>
      <c r="O100" s="11"/>
      <c r="P100" s="11"/>
      <c r="Q100" s="44">
        <f t="shared" si="10"/>
        <v>-292</v>
      </c>
      <c r="T100" s="73"/>
    </row>
    <row r="101" spans="2:20" hidden="1" x14ac:dyDescent="0.3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  <c r="T101" s="73"/>
    </row>
    <row r="102" spans="2:20" hidden="1" x14ac:dyDescent="0.3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  <c r="T102" s="73"/>
    </row>
    <row r="103" spans="2:20" hidden="1" x14ac:dyDescent="0.3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  <c r="T103" s="73"/>
    </row>
    <row r="104" spans="2:20" hidden="1" x14ac:dyDescent="0.3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  <c r="T104" s="73"/>
    </row>
    <row r="105" spans="2:20" hidden="1" x14ac:dyDescent="0.3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  <c r="T105" s="73"/>
    </row>
    <row r="106" spans="2:20" hidden="1" x14ac:dyDescent="0.3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  <c r="T106" s="73"/>
    </row>
    <row r="107" spans="2:20" hidden="1" x14ac:dyDescent="0.3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  <c r="T107" s="73"/>
    </row>
    <row r="108" spans="2:20" hidden="1" x14ac:dyDescent="0.3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  <c r="T108" s="73"/>
    </row>
    <row r="109" spans="2:20" hidden="1" x14ac:dyDescent="0.3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  <c r="T109" s="73"/>
    </row>
    <row r="110" spans="2:20" hidden="1" x14ac:dyDescent="0.3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  <c r="T110" s="73"/>
    </row>
    <row r="111" spans="2:20" hidden="1" x14ac:dyDescent="0.3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  <c r="T111" s="73"/>
    </row>
    <row r="112" spans="2:20" hidden="1" x14ac:dyDescent="0.3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  <c r="T112" s="73"/>
    </row>
    <row r="113" spans="2:20" x14ac:dyDescent="0.3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  <c r="T113" s="73"/>
    </row>
    <row r="114" spans="2:20" x14ac:dyDescent="0.3">
      <c r="B114" s="11">
        <v>1113170</v>
      </c>
      <c r="C114" s="21" t="s">
        <v>87</v>
      </c>
      <c r="D114" s="30">
        <f>'เย็น '!D114+'เช้า '!D114+บ่าย!D114</f>
        <v>14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15</v>
      </c>
      <c r="M114" s="11">
        <v>5</v>
      </c>
      <c r="N114" s="11">
        <v>1</v>
      </c>
      <c r="O114" s="11"/>
      <c r="P114" s="11"/>
      <c r="Q114" s="44">
        <f t="shared" ref="Q114:Q140" si="14">(M114+N114+O114+P114)-L114</f>
        <v>-9</v>
      </c>
      <c r="T114" s="73"/>
    </row>
    <row r="115" spans="2:20" x14ac:dyDescent="0.3">
      <c r="B115" s="11">
        <v>1113171</v>
      </c>
      <c r="C115" s="21" t="s">
        <v>88</v>
      </c>
      <c r="D115" s="30">
        <f>'เย็น '!D115+'เช้า '!D115+บ่าย!D115</f>
        <v>6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5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11</v>
      </c>
      <c r="M115" s="11"/>
      <c r="N115" s="11">
        <v>1</v>
      </c>
      <c r="O115" s="11"/>
      <c r="P115" s="11"/>
      <c r="Q115" s="44">
        <f t="shared" si="14"/>
        <v>-10</v>
      </c>
      <c r="T115" s="73"/>
    </row>
    <row r="116" spans="2:20" x14ac:dyDescent="0.3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  <c r="T116" s="73"/>
    </row>
    <row r="117" spans="2:20" x14ac:dyDescent="0.3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  <c r="T117" s="73"/>
    </row>
    <row r="118" spans="2:20" x14ac:dyDescent="0.3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  <c r="T118" s="73"/>
    </row>
    <row r="119" spans="2:20" x14ac:dyDescent="0.3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  <c r="T119" s="73"/>
    </row>
    <row r="120" spans="2:20" x14ac:dyDescent="0.3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  <c r="T120" s="73"/>
    </row>
    <row r="121" spans="2:20" x14ac:dyDescent="0.3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5</v>
      </c>
      <c r="L121" s="36">
        <f t="shared" si="13"/>
        <v>5</v>
      </c>
      <c r="M121" s="11">
        <v>5</v>
      </c>
      <c r="N121" s="11"/>
      <c r="O121" s="11"/>
      <c r="P121" s="11"/>
      <c r="Q121" s="44">
        <f t="shared" si="14"/>
        <v>0</v>
      </c>
      <c r="T121" s="73"/>
    </row>
    <row r="122" spans="2:20" x14ac:dyDescent="0.3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  <c r="T122" s="73"/>
    </row>
    <row r="123" spans="2:20" x14ac:dyDescent="0.3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2</v>
      </c>
      <c r="F123" s="30">
        <f>'เย็น '!F123+'เช้า '!F123+บ่าย!F123</f>
        <v>0</v>
      </c>
      <c r="G123" s="30">
        <f>'เย็น '!G123+'เช้า '!G123+บ่าย!G123</f>
        <v>422</v>
      </c>
      <c r="H123" s="30">
        <f>'เย็น '!H123+'เช้า '!H123+บ่าย!H123</f>
        <v>6</v>
      </c>
      <c r="I123" s="30">
        <f>'เย็น '!I123+'เช้า '!I123+บ่าย!I123</f>
        <v>39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473</v>
      </c>
      <c r="M123" s="11">
        <v>818</v>
      </c>
      <c r="N123" s="11">
        <v>196</v>
      </c>
      <c r="O123" s="11"/>
      <c r="P123" s="11"/>
      <c r="Q123" s="44">
        <f t="shared" si="14"/>
        <v>541</v>
      </c>
      <c r="S123" s="56"/>
      <c r="T123" s="73"/>
    </row>
    <row r="124" spans="2:20" x14ac:dyDescent="0.3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390</v>
      </c>
      <c r="H124" s="30">
        <f>'เย็น '!H124+'เช้า '!H124+บ่าย!H124</f>
        <v>6</v>
      </c>
      <c r="I124" s="30">
        <f>'เย็น '!I124+'เช้า '!I124+บ่าย!I124</f>
        <v>36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432</v>
      </c>
      <c r="M124" s="11">
        <v>492</v>
      </c>
      <c r="N124" s="11">
        <v>187</v>
      </c>
      <c r="O124" s="11"/>
      <c r="P124" s="11"/>
      <c r="Q124" s="44">
        <f t="shared" si="14"/>
        <v>247</v>
      </c>
      <c r="S124" s="56"/>
      <c r="T124" s="73"/>
    </row>
    <row r="125" spans="2:20" x14ac:dyDescent="0.3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/>
      <c r="G125" s="30">
        <f>'เย็น '!G125+'เช้า '!G125+บ่าย!G125</f>
        <v>382</v>
      </c>
      <c r="H125" s="30">
        <f>'เย็น '!H125+'เช้า '!H125+บ่าย!H125</f>
        <v>6</v>
      </c>
      <c r="I125" s="30">
        <f>'เย็น '!I125+'เช้า '!I125+บ่าย!I125</f>
        <v>36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424</v>
      </c>
      <c r="M125" s="11">
        <v>417</v>
      </c>
      <c r="N125" s="11">
        <v>276</v>
      </c>
      <c r="O125" s="11"/>
      <c r="P125" s="11"/>
      <c r="Q125" s="44">
        <f t="shared" si="14"/>
        <v>269</v>
      </c>
      <c r="S125" s="56"/>
      <c r="T125" s="73"/>
    </row>
    <row r="126" spans="2:20" x14ac:dyDescent="0.3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24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24</v>
      </c>
      <c r="M126" s="11">
        <v>30</v>
      </c>
      <c r="N126" s="11">
        <v>7</v>
      </c>
      <c r="O126" s="11"/>
      <c r="P126" s="11"/>
      <c r="Q126" s="44">
        <f t="shared" si="14"/>
        <v>13</v>
      </c>
      <c r="T126" s="73"/>
    </row>
    <row r="127" spans="2:20" x14ac:dyDescent="0.3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  <c r="T127" s="73"/>
    </row>
    <row r="128" spans="2:20" x14ac:dyDescent="0.3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  <c r="T128" s="73"/>
    </row>
    <row r="129" spans="2:20" x14ac:dyDescent="0.3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  <c r="T129" s="73"/>
    </row>
    <row r="130" spans="2:20" x14ac:dyDescent="0.3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  <c r="T130" s="73"/>
    </row>
    <row r="131" spans="2:20" x14ac:dyDescent="0.3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  <c r="T131" s="73"/>
    </row>
    <row r="132" spans="2:20" x14ac:dyDescent="0.3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  <c r="T132" s="73"/>
    </row>
    <row r="133" spans="2:20" x14ac:dyDescent="0.3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  <c r="T133" s="73"/>
    </row>
    <row r="134" spans="2:20" x14ac:dyDescent="0.3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  <c r="T134" s="73"/>
    </row>
    <row r="135" spans="2:20" x14ac:dyDescent="0.3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  <c r="T135" s="73"/>
    </row>
    <row r="136" spans="2:20" x14ac:dyDescent="0.3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  <c r="T136" s="73"/>
    </row>
    <row r="137" spans="2:20" x14ac:dyDescent="0.3">
      <c r="B137" s="22">
        <v>20052721</v>
      </c>
      <c r="C137" s="21" t="s">
        <v>141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4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10</v>
      </c>
      <c r="L137" s="36">
        <f t="shared" si="13"/>
        <v>14</v>
      </c>
      <c r="M137" s="11"/>
      <c r="N137" s="11">
        <v>10</v>
      </c>
      <c r="O137" s="11"/>
      <c r="P137" s="11"/>
      <c r="Q137" s="44">
        <f t="shared" si="14"/>
        <v>-4</v>
      </c>
      <c r="T137" s="73"/>
    </row>
    <row r="138" spans="2:20" x14ac:dyDescent="0.3">
      <c r="B138" s="48">
        <v>1004046</v>
      </c>
      <c r="C138" s="47" t="s">
        <v>142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  <c r="T138" s="73"/>
    </row>
    <row r="139" spans="2:20" x14ac:dyDescent="0.3">
      <c r="B139" s="48"/>
      <c r="C139" s="47" t="s">
        <v>137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  <c r="T139" s="73"/>
    </row>
    <row r="140" spans="2:20" x14ac:dyDescent="0.3">
      <c r="B140" s="48"/>
      <c r="C140" s="47" t="s">
        <v>138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  <c r="T140" s="73"/>
    </row>
    <row r="141" spans="2:20" ht="40.5" customHeight="1" x14ac:dyDescent="0.3">
      <c r="C141" s="35"/>
      <c r="D141" s="36">
        <f>SUM(D114:D140,D90:D99,D79:D87,D69:D76,D7:D66,D102:D111)</f>
        <v>59</v>
      </c>
      <c r="E141" s="36">
        <f t="shared" ref="E141:K141" si="15">SUM(E114:E140,E90:E99,E79:E87,E69:E76,E7:E66,E102:E111)</f>
        <v>90</v>
      </c>
      <c r="F141" s="36">
        <f t="shared" si="15"/>
        <v>32</v>
      </c>
      <c r="G141" s="36">
        <f t="shared" si="15"/>
        <v>1523</v>
      </c>
      <c r="H141" s="36">
        <f t="shared" si="15"/>
        <v>42</v>
      </c>
      <c r="I141" s="36">
        <f t="shared" si="15"/>
        <v>138</v>
      </c>
      <c r="J141" s="36">
        <f t="shared" si="15"/>
        <v>0</v>
      </c>
      <c r="K141" s="36">
        <f t="shared" si="15"/>
        <v>51</v>
      </c>
      <c r="L141" s="36">
        <f>SUM(L114:L140,L90:L99,L79:L87,L69:L76,L7:L66,L102:L111)</f>
        <v>1935</v>
      </c>
      <c r="M141" s="36">
        <f>SUM(M114:M140,M90:M99,M79:M87,M69:M76,M7:M66,M102:M111)</f>
        <v>2940</v>
      </c>
      <c r="N141" s="36">
        <f t="shared" ref="N141" si="16">SUM(N114:N140,N90:N99,N79:N87,N69:N76,N7:N66,N102:N111)</f>
        <v>854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2309</v>
      </c>
      <c r="T141" s="73"/>
    </row>
    <row r="142" spans="2:20" x14ac:dyDescent="0.3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20" x14ac:dyDescent="0.3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20" x14ac:dyDescent="0.3">
      <c r="C144" s="24"/>
      <c r="D144" s="31"/>
      <c r="E144" s="61"/>
      <c r="F144" s="61"/>
      <c r="G144" s="26"/>
      <c r="L144" s="40"/>
    </row>
    <row r="145" spans="2:12" x14ac:dyDescent="0.3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3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3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x14ac:dyDescent="0.3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x14ac:dyDescent="0.3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x14ac:dyDescent="0.3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3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x14ac:dyDescent="0.3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3">
      <c r="D153" s="31"/>
      <c r="E153" s="31"/>
      <c r="F153" s="31"/>
      <c r="G153" s="31"/>
      <c r="H153" s="31"/>
    </row>
    <row r="154" spans="2:12" x14ac:dyDescent="0.3">
      <c r="D154" s="31"/>
      <c r="E154" s="31"/>
      <c r="F154" s="31"/>
      <c r="G154" s="31"/>
      <c r="H154" s="31"/>
    </row>
    <row r="155" spans="2:12" x14ac:dyDescent="0.3">
      <c r="D155" s="31"/>
      <c r="E155" s="31"/>
      <c r="F155" s="31"/>
      <c r="G155" s="31"/>
      <c r="H155" s="31"/>
    </row>
    <row r="156" spans="2:12" x14ac:dyDescent="0.3">
      <c r="D156" s="31"/>
      <c r="E156" s="31"/>
      <c r="F156" s="31"/>
      <c r="G156" s="31"/>
      <c r="H156" s="31"/>
    </row>
    <row r="157" spans="2:12" x14ac:dyDescent="0.3">
      <c r="D157" s="31"/>
      <c r="E157" s="31"/>
      <c r="F157" s="31"/>
      <c r="G157" s="31"/>
      <c r="H157" s="31"/>
    </row>
    <row r="158" spans="2:12" x14ac:dyDescent="0.3">
      <c r="D158" s="31"/>
      <c r="E158" s="31"/>
      <c r="F158" s="31"/>
      <c r="G158" s="31"/>
      <c r="H158" s="31"/>
    </row>
    <row r="159" spans="2:12" x14ac:dyDescent="0.3">
      <c r="D159" s="31"/>
      <c r="E159" s="31"/>
      <c r="F159" s="31"/>
      <c r="G159" s="31"/>
      <c r="H159" s="31"/>
    </row>
    <row r="160" spans="2:12" x14ac:dyDescent="0.3">
      <c r="D160" s="31"/>
      <c r="E160" s="31"/>
      <c r="F160" s="31"/>
      <c r="G160" s="31"/>
      <c r="H160" s="31"/>
    </row>
    <row r="161" spans="4:8" x14ac:dyDescent="0.3">
      <c r="D161" s="31"/>
      <c r="E161" s="31"/>
      <c r="F161" s="31"/>
      <c r="G161" s="31"/>
      <c r="H161" s="31"/>
    </row>
    <row r="162" spans="4:8" x14ac:dyDescent="0.3">
      <c r="D162" s="31"/>
      <c r="E162" s="31"/>
      <c r="F162" s="31"/>
      <c r="G162" s="31"/>
      <c r="H162" s="31"/>
    </row>
    <row r="163" spans="4:8" x14ac:dyDescent="0.3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2025-05-09T06:02:34Z</cp:lastPrinted>
  <dcterms:created xsi:type="dcterms:W3CDTF">2024-04-30T05:21:27Z</dcterms:created>
  <dcterms:modified xsi:type="dcterms:W3CDTF">2025-05-09T06:02:37Z</dcterms:modified>
</cp:coreProperties>
</file>