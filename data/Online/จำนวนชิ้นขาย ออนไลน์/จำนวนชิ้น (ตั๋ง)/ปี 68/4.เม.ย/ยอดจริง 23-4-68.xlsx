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7EF81421-148F-4869-B247-856690F846D2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6" i="5" l="1"/>
  <c r="Q137" i="5"/>
  <c r="Q138" i="5"/>
  <c r="Q139" i="5"/>
  <c r="L77" i="6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K141" i="5" l="1"/>
  <c r="L136" i="5"/>
  <c r="L67" i="3"/>
  <c r="L100" i="3"/>
  <c r="Q135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<sst xmlns="http://schemas.openxmlformats.org/spreadsheetml/2006/main" count="617" uniqueCount="146">
  <si>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</si>
  <si>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</si>
  <si>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</si>
  <si>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</si>
  <si>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</si>
  <si>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</si>
  <si>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</si>
  <si>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</si>
  <si>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</si>
  <si>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</si>
  <si>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</si>
  <si>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</si>
  <si>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</si>
  <si>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</si>
  <si>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</si>
  <si>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</si>
  <si>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</si>
  <si>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</si>
  <si>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</si>
  <si>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</si>
  <si>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</si>
  <si>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</si>
  <si>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</si>
  <si>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</si>
  <si>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</si>
  <si>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</si>
  <si>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</si>
  <si>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</si>
  <si>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</si>
  <si>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</si>
  <si>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</si>
  <si>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</si>
  <si>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</si>
  <si>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</si>
  <si>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</si>
  <si>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</si>
  <si>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</si>
  <si>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</si>
  <si>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</si>
  <si>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</si>
  <si>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</si>
  <si>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</si>
  <si>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</si>
  <si>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</si>
  <si>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</si>
  <si>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</si>
  <si>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</si>
  <si>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</si>
  <si>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</si>
  <si>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</si>
  <si>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</si>
  <si>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</si>
  <si>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</si>
  <si>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</si>
  <si>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</si>
  <si>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</si>
  <si>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</si>
  <si>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</si>
  <si>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</si>
  <si>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</si>
  <si>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</si>
  <si>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</si>
  <si>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</si>
  <si>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</si>
  <si>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</si>
  <si>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</si>
  <si>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</si>
  <si>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</si>
  <si>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</si>
  <si>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</si>
  <si>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</si>
  <si>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</si>
  <si>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</si>
  <si>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</si>
  <si>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</si>
  <si>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</si>
  <si>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</si>
  <si>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</si>
  <si>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</si>
  <si>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</si>
  <si>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</si>
  <si>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</si>
  <si>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</si>
  <si>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</si>
  <si>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</si>
  <si>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</si>
  <si>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</si>
  <si>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</si>
  <si>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</si>
  <si>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</si>
  <si>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</si>
  <si>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</si>
  <si>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</si>
  <si>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</si>
  <si>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</si>
  <si>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</si>
  <si>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</si>
  <si>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</si>
  <si>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</si>
  <si>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</si>
  <si>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</si>
  <si>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</si>
  <si>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</si>
  <si>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</si>
  <si>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</si>
  <si>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</si>
  <si>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</si>
  <si>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</si>
  <si>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</si>
  <si>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</si>
  <si>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</si>
  <si>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</si>
  <si>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</si>
  <si>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</si>
  <si>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</si>
  <si>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</si>
  <si>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</si>
  <si>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</si>
  <si>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</si>
  <si>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</si>
  <si>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</si>
  <si>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</si>
  <si>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</si>
  <si>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</si>
  <si>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</si>
  <si>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</si>
  <si>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</si>
  <si>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</si>
  <si>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</si>
  <si>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</si>
  <si>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</si>
  <si>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</si>
  <si>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</si>
  <si>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</si>
  <si>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</si>
  <si>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</si>
  <si>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</si>
  <si>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</si>
  <si>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</si>
  <si>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</si>
  <si>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</si>
  <si>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</si>
  <si>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</si>
  <si>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</si>
  <si>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วันที่23/4/68  รวม</t>
  </si>
  <si>
    <t>ยอดจริง ออนไลน์ วันที่  23/4/68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</si>
</sst>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15" zoomScale="60" zoomScaleNormal="60" workbookViewId="0">
      <selection activeCell="U133" sqref="U133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7</v>
      </c>
      <c r="E7" s="30">
        <v>25</v>
      </c>
      <c r="F7" s="30">
        <v>24</v>
      </c>
      <c r="G7" s="30">
        <v>2</v>
      </c>
      <c r="H7" s="30"/>
      <c r="I7" s="30">
        <v>2</v>
      </c>
      <c r="J7" s="43"/>
      <c r="K7" s="43">
        <v>16</v>
      </c>
      <c r="L7" s="36">
        <f>SUM(D7:K7)</f>
        <v>76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4</v>
      </c>
      <c r="F25" s="30">
        <v>4</v>
      </c>
      <c r="G25" s="30">
        <v>2</v>
      </c>
      <c r="H25" s="30"/>
      <c r="I25" s="30"/>
      <c r="J25" s="43"/>
      <c r="K25" s="43"/>
      <c r="L25" s="36">
        <f t="shared" si="0"/>
        <v>10</v>
      </c>
    </row>
    <row r="26" spans="2:12">
      <c r="B26" s="11">
        <v>1004055</v>
      </c>
      <c r="C26" s="15" t="s">
        <v>108</v>
      </c>
      <c r="D26" s="30">
        <v>13</v>
      </c>
      <c r="E26" s="30">
        <v>4</v>
      </c>
      <c r="F26" s="30"/>
      <c r="G26" s="30">
        <v>33</v>
      </c>
      <c r="H26" s="30">
        <v>30</v>
      </c>
      <c r="I26" s="30">
        <v>15</v>
      </c>
      <c r="J26" s="43"/>
      <c r="K26" s="43">
        <v>17</v>
      </c>
      <c r="L26" s="36">
        <f t="shared" si="0"/>
        <v>112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198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8</v>
      </c>
      <c r="E69" s="30">
        <v>10</v>
      </c>
      <c r="F69" s="30">
        <v>5</v>
      </c>
      <c r="G69" s="30">
        <v>2</v>
      </c>
      <c r="H69" s="30"/>
      <c r="I69" s="30">
        <v>2</v>
      </c>
      <c r="J69" s="43"/>
      <c r="K69" s="43">
        <v>4</v>
      </c>
      <c r="L69" s="36">
        <f t="shared" ref="L69:L76" si="1">SUM(D69:K69)</f>
        <v>31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31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>
        <v>2</v>
      </c>
      <c r="L80" s="36">
        <f t="shared" si="2"/>
        <v>2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9</v>
      </c>
      <c r="E87" s="30">
        <v>6</v>
      </c>
      <c r="F87" s="30"/>
      <c r="G87" s="30">
        <v>21</v>
      </c>
      <c r="H87" s="30">
        <v>12</v>
      </c>
      <c r="I87" s="30">
        <v>42</v>
      </c>
      <c r="J87" s="43"/>
      <c r="K87" s="43">
        <v>4</v>
      </c>
      <c r="L87" s="36">
        <f t="shared" si="2"/>
        <v>94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96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1</v>
      </c>
      <c r="E90" s="30">
        <v>2</v>
      </c>
      <c r="F90" s="30">
        <v>2</v>
      </c>
      <c r="G90" s="30">
        <v>10</v>
      </c>
      <c r="H90" s="30">
        <v>8</v>
      </c>
      <c r="I90" s="30">
        <v>15</v>
      </c>
      <c r="J90" s="43"/>
      <c r="K90" s="43">
        <v>5</v>
      </c>
      <c r="L90" s="36">
        <f t="shared" ref="L90:L99" si="3">SUM(D90:K90)</f>
        <v>43</v>
      </c>
    </row>
    <row r="91" spans="2:12">
      <c r="B91" s="11">
        <v>1112011</v>
      </c>
      <c r="C91" s="19" t="s">
        <v>76</v>
      </c>
      <c r="D91" s="30"/>
      <c r="E91" s="30">
        <v>2</v>
      </c>
      <c r="F91" s="30">
        <v>2</v>
      </c>
      <c r="G91" s="30">
        <v>10</v>
      </c>
      <c r="H91" s="30">
        <v>8</v>
      </c>
      <c r="I91" s="30">
        <v>17</v>
      </c>
      <c r="J91" s="43"/>
      <c r="K91" s="43">
        <v>3</v>
      </c>
      <c r="L91" s="36">
        <f t="shared" si="3"/>
        <v>42</v>
      </c>
    </row>
    <row r="92" spans="2:12">
      <c r="B92" s="11">
        <v>1112003</v>
      </c>
      <c r="C92" s="19" t="s">
        <v>77</v>
      </c>
      <c r="D92" s="30"/>
      <c r="E92" s="30">
        <v>2</v>
      </c>
      <c r="F92" s="30"/>
      <c r="G92" s="30">
        <v>10</v>
      </c>
      <c r="H92" s="30">
        <v>8</v>
      </c>
      <c r="I92" s="30">
        <v>17</v>
      </c>
      <c r="J92" s="43"/>
      <c r="K92" s="43"/>
      <c r="L92" s="36">
        <f t="shared" si="3"/>
        <v>37</v>
      </c>
    </row>
    <row r="93" spans="2:12">
      <c r="B93" s="11">
        <v>1112005</v>
      </c>
      <c r="C93" s="19" t="s">
        <v>78</v>
      </c>
      <c r="D93" s="30">
        <v>1</v>
      </c>
      <c r="E93" s="30">
        <v>2</v>
      </c>
      <c r="F93" s="30">
        <v>1</v>
      </c>
      <c r="G93" s="30">
        <v>10</v>
      </c>
      <c r="H93" s="30">
        <v>8</v>
      </c>
      <c r="I93" s="30">
        <v>19</v>
      </c>
      <c r="J93" s="43"/>
      <c r="K93" s="43"/>
      <c r="L93" s="36">
        <f t="shared" si="3"/>
        <v>41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>
        <v>3</v>
      </c>
      <c r="F97" s="30">
        <v>1</v>
      </c>
      <c r="G97" s="30">
        <v>10</v>
      </c>
      <c r="H97" s="30">
        <v>8</v>
      </c>
      <c r="I97" s="30">
        <v>19</v>
      </c>
      <c r="J97" s="43"/>
      <c r="K97" s="43"/>
      <c r="L97" s="36">
        <f t="shared" si="3"/>
        <v>41</v>
      </c>
    </row>
    <row r="98" spans="2:12">
      <c r="B98" s="11">
        <v>1112013</v>
      </c>
      <c r="C98" s="19" t="s">
        <v>83</v>
      </c>
      <c r="D98" s="30">
        <v>1</v>
      </c>
      <c r="E98" s="30">
        <v>3</v>
      </c>
      <c r="F98" s="30">
        <v>1</v>
      </c>
      <c r="G98" s="30">
        <v>10</v>
      </c>
      <c r="H98" s="30">
        <v>8</v>
      </c>
      <c r="I98" s="30">
        <v>17</v>
      </c>
      <c r="J98" s="43"/>
      <c r="K98" s="43">
        <v>5</v>
      </c>
      <c r="L98" s="36">
        <f t="shared" si="3"/>
        <v>45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249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>
        <v>4</v>
      </c>
      <c r="E114" s="30"/>
      <c r="F114" s="30"/>
      <c r="G114" s="30"/>
      <c r="H114" s="30">
        <v>1</v>
      </c>
      <c r="I114" s="30">
        <v>1</v>
      </c>
      <c r="J114" s="43"/>
      <c r="K114" s="43"/>
      <c r="L114" s="36">
        <f t="shared" ref="L114:L140" si="5">SUM(D114:K114)</f>
        <v>6</v>
      </c>
    </row>
    <row r="115" spans="2:12">
      <c r="B115" s="11">
        <v>1113171</v>
      </c>
      <c r="C115" s="21" t="s">
        <v>88</v>
      </c>
      <c r="D115" s="30">
        <v>4</v>
      </c>
      <c r="E115" s="30"/>
      <c r="F115" s="30"/>
      <c r="G115" s="30"/>
      <c r="H115" s="30"/>
      <c r="I115" s="30">
        <v>1</v>
      </c>
      <c r="J115" s="43"/>
      <c r="K115" s="43"/>
      <c r="L115" s="36">
        <f t="shared" si="5"/>
        <v>5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>
        <v>5</v>
      </c>
      <c r="F120" s="30"/>
      <c r="G120" s="30">
        <v>1</v>
      </c>
      <c r="H120" s="30"/>
      <c r="I120" s="30"/>
      <c r="J120" s="43"/>
      <c r="K120" s="43">
        <v>5</v>
      </c>
      <c r="L120" s="36">
        <f t="shared" si="5"/>
        <v>11</v>
      </c>
    </row>
    <row r="121" spans="2:12">
      <c r="B121" s="11">
        <v>1200001</v>
      </c>
      <c r="C121" s="21" t="s">
        <v>93</v>
      </c>
      <c r="D121" s="30"/>
      <c r="E121" s="30">
        <v>4</v>
      </c>
      <c r="F121" s="30"/>
      <c r="G121" s="30"/>
      <c r="H121" s="30"/>
      <c r="I121" s="30"/>
      <c r="J121" s="43"/>
      <c r="K121" s="43"/>
      <c r="L121" s="36">
        <f t="shared" si="5"/>
        <v>4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15</v>
      </c>
      <c r="E123" s="30">
        <v>17</v>
      </c>
      <c r="F123" s="30">
        <v>19</v>
      </c>
      <c r="G123" s="30">
        <v>256</v>
      </c>
      <c r="H123" s="30">
        <v>226</v>
      </c>
      <c r="I123" s="30">
        <v>240</v>
      </c>
      <c r="J123" s="43"/>
      <c r="K123" s="43"/>
      <c r="L123" s="36">
        <f t="shared" si="5"/>
        <v>773</v>
      </c>
    </row>
    <row r="124" spans="2:12">
      <c r="B124" s="11">
        <v>1114502</v>
      </c>
      <c r="C124" s="21" t="s">
        <v>96</v>
      </c>
      <c r="D124" s="30">
        <v>2</v>
      </c>
      <c r="E124" s="30">
        <v>3</v>
      </c>
      <c r="F124" s="30">
        <v>2</v>
      </c>
      <c r="G124" s="30">
        <v>196</v>
      </c>
      <c r="H124" s="30">
        <v>202</v>
      </c>
      <c r="I124" s="30">
        <v>210</v>
      </c>
      <c r="J124" s="43"/>
      <c r="K124" s="43"/>
      <c r="L124" s="36">
        <f t="shared" si="5"/>
        <v>615</v>
      </c>
    </row>
    <row r="125" spans="2:12">
      <c r="B125" s="11">
        <v>1114503</v>
      </c>
      <c r="C125" s="21" t="s">
        <v>97</v>
      </c>
      <c r="D125" s="30">
        <v>1</v>
      </c>
      <c r="E125" s="30">
        <v>3</v>
      </c>
      <c r="F125" s="30">
        <v>2</v>
      </c>
      <c r="G125" s="30">
        <v>196</v>
      </c>
      <c r="H125" s="30">
        <v>203</v>
      </c>
      <c r="I125" s="30">
        <v>211</v>
      </c>
      <c r="J125" s="43"/>
      <c r="K125" s="43"/>
      <c r="L125" s="36">
        <f t="shared" si="5"/>
        <v>616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>
        <v>2</v>
      </c>
      <c r="F136" s="30"/>
      <c r="G136" s="30"/>
      <c r="H136" s="30"/>
      <c r="I136" s="30"/>
      <c r="J136" s="43"/>
      <c r="K136" s="43"/>
      <c r="L136" s="36">
        <f t="shared" si="5"/>
        <v>2</v>
      </c>
    </row>
    <row r="137" spans="2:12">
      <c r="B137" s="22">
        <v>20052721</v>
      </c>
      <c r="C137" s="21" t="s">
        <v>142</v>
      </c>
      <c r="D137" s="30">
        <v>8</v>
      </c>
      <c r="E137" s="30"/>
      <c r="F137" s="30"/>
      <c r="G137" s="30"/>
      <c r="H137" s="30">
        <v>4</v>
      </c>
      <c r="I137" s="30"/>
      <c r="J137" s="43"/>
      <c r="K137" s="43">
        <v>5</v>
      </c>
      <c r="L137" s="36">
        <f t="shared" si="5"/>
        <v>17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Z125" sqref="Z12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7</v>
      </c>
      <c r="E7" s="30">
        <f>'เย็น '!E7+'เช้า '!E7+บ่าย!E7</f>
        <v>25</v>
      </c>
      <c r="F7" s="30">
        <f>'เย็น '!F7+'เช้า '!F7+บ่าย!F7</f>
        <v>24</v>
      </c>
      <c r="G7" s="30">
        <f>'เย็น '!G7+'เช้า '!G7+บ่าย!G7</f>
        <v>2</v>
      </c>
      <c r="H7" s="30">
        <f>'เย็น '!H7+'เช้า '!H7+บ่าย!H7</f>
        <v>0</v>
      </c>
      <c r="I7" s="30">
        <f>'เย็น '!I7+'เช้า '!I7+บ่าย!I7</f>
        <v>2</v>
      </c>
      <c r="J7" s="30">
        <f>'เย็น '!J7+'เช้า '!J7+บ่าย!J7</f>
        <v>0</v>
      </c>
      <c r="K7" s="30">
        <f>'เย็น '!K7+'เช้า '!K7+บ่าย!K7</f>
        <v>16</v>
      </c>
      <c r="L7" s="36">
        <f>SUM(D7:K7)</f>
        <v>76</v>
      </c>
      <c r="M7" s="11">
        <v>66</v>
      </c>
      <c r="N7" s="11">
        <v>41</v>
      </c>
      <c r="O7" s="11"/>
      <c r="P7" s="11">
        <v>74</v>
      </c>
      <c r="Q7" s="44">
        <f>(M7+N7+O7+P7)-L7</f>
        <v>105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4</v>
      </c>
      <c r="F25" s="30">
        <f>'เย็น '!F25+'เช้า '!F25+บ่าย!F25</f>
        <v>4</v>
      </c>
      <c r="G25" s="30">
        <f>'เย็น '!G25+'เช้า '!G25+บ่าย!G25</f>
        <v>2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10</v>
      </c>
      <c r="M25" s="11"/>
      <c r="N25" s="11">
        <v>1</v>
      </c>
      <c r="O25" s="11">
        <v>10</v>
      </c>
      <c r="P25" s="11"/>
      <c r="Q25" s="44">
        <f t="shared" si="1"/>
        <v>1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13</v>
      </c>
      <c r="E26" s="30">
        <f>'เย็น '!E26+'เช้า '!E26+บ่าย!E26</f>
        <v>4</v>
      </c>
      <c r="F26" s="30">
        <f>'เย็น '!F26+'เช้า '!F26+บ่าย!F26</f>
        <v>0</v>
      </c>
      <c r="G26" s="30">
        <f>'เย็น '!G26+'เช้า '!G26+บ่าย!G26</f>
        <v>33</v>
      </c>
      <c r="H26" s="30">
        <f>'เย็น '!H26+'เช้า '!H26+บ่าย!H26</f>
        <v>30</v>
      </c>
      <c r="I26" s="30">
        <f>'เย็น '!I26+'เช้า '!I26+บ่าย!I26</f>
        <v>15</v>
      </c>
      <c r="J26" s="30">
        <f>'เย็น '!J26+'เช้า '!J26+บ่าย!J26</f>
        <v>0</v>
      </c>
      <c r="K26" s="30">
        <f>'เย็น '!K26+'เช้า '!K26+บ่าย!K26</f>
        <v>17</v>
      </c>
      <c r="L26" s="36">
        <f t="shared" si="0"/>
        <v>112</v>
      </c>
      <c r="M26" s="11">
        <v>137</v>
      </c>
      <c r="N26" s="11">
        <v>33</v>
      </c>
      <c r="O26" s="11"/>
      <c r="P26" s="11">
        <v>125</v>
      </c>
      <c r="Q26" s="44">
        <f t="shared" si="1"/>
        <v>183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8</v>
      </c>
      <c r="E69" s="30">
        <f>'เย็น '!E69+'เช้า '!E69+บ่าย!E69</f>
        <v>10</v>
      </c>
      <c r="F69" s="30">
        <f>'เย็น '!F69+'เช้า '!F69+บ่าย!F69</f>
        <v>5</v>
      </c>
      <c r="G69" s="30">
        <f>'เย็น '!G69+'เช้า '!G69+บ่าย!G69</f>
        <v>2</v>
      </c>
      <c r="H69" s="30">
        <f>'เย็น '!H69+'เช้า '!H69+บ่าย!H69</f>
        <v>0</v>
      </c>
      <c r="I69" s="30">
        <f>'เย็น '!I69+'เช้า '!I69+บ่าย!I69</f>
        <v>2</v>
      </c>
      <c r="J69" s="30">
        <f>'เย็น '!J69+'เช้า '!J69+บ่าย!J69</f>
        <v>0</v>
      </c>
      <c r="K69" s="30">
        <f>'เย็น '!K69+'เช้า '!K69+บ่าย!K69</f>
        <v>4</v>
      </c>
      <c r="L69" s="36">
        <f t="shared" ref="L69:L76" si="4">SUM(D69:K69)</f>
        <v>31</v>
      </c>
      <c r="M69" s="11">
        <v>19</v>
      </c>
      <c r="N69" s="11">
        <v>15</v>
      </c>
      <c r="O69" s="11"/>
      <c r="P69" s="11">
        <v>25</v>
      </c>
      <c r="Q69" s="44">
        <f t="shared" ref="Q69:Q76" si="5">(M69+N69+O69+P69)-L69</f>
        <v>28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2</v>
      </c>
      <c r="L80" s="36">
        <f t="shared" si="7"/>
        <v>2</v>
      </c>
      <c r="M80" s="11">
        <v>2</v>
      </c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9</v>
      </c>
      <c r="E87" s="30">
        <f>'เย็น '!E87+'เช้า '!E87+บ่าย!E87</f>
        <v>6</v>
      </c>
      <c r="F87" s="30">
        <f>'เย็น '!F87+'เช้า '!F87+บ่าย!F87</f>
        <v>0</v>
      </c>
      <c r="G87" s="30">
        <f>'เย็น '!G87+'เช้า '!G87+บ่าย!G87</f>
        <v>21</v>
      </c>
      <c r="H87" s="30">
        <f>'เย็น '!H87+'เช้า '!H87+บ่าย!H87</f>
        <v>12</v>
      </c>
      <c r="I87" s="30">
        <f>'เย็น '!I87+'เช้า '!I87+บ่าย!I87</f>
        <v>42</v>
      </c>
      <c r="J87" s="30">
        <f>'เย็น '!J87+'เช้า '!J87+บ่าย!J87</f>
        <v>0</v>
      </c>
      <c r="K87" s="30">
        <f>'เย็น '!K87+'เช้า '!K87+บ่าย!K87</f>
        <v>4</v>
      </c>
      <c r="L87" s="36">
        <f t="shared" si="7"/>
        <v>94</v>
      </c>
      <c r="M87" s="11">
        <v>124</v>
      </c>
      <c r="N87" s="11">
        <v>14</v>
      </c>
      <c r="O87" s="11"/>
      <c r="P87" s="11">
        <v>120</v>
      </c>
      <c r="Q87" s="44">
        <f t="shared" si="8"/>
        <v>164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1</v>
      </c>
      <c r="E90" s="30">
        <f>'เย็น '!E90+'เช้า '!E90+บ่าย!E90</f>
        <v>2</v>
      </c>
      <c r="F90" s="30">
        <f>'เย็น '!F90+'เช้า '!F90+บ่าย!F90</f>
        <v>2</v>
      </c>
      <c r="G90" s="30">
        <f>'เย็น '!G90+'เช้า '!G90+บ่าย!G90</f>
        <v>10</v>
      </c>
      <c r="H90" s="30">
        <f>'เย็น '!H90+'เช้า '!H90+บ่าย!H90</f>
        <v>8</v>
      </c>
      <c r="I90" s="30">
        <f>'เย็น '!I90+'เช้า '!I90+บ่าย!I90</f>
        <v>15</v>
      </c>
      <c r="J90" s="30">
        <f>'เย็น '!J90+'เช้า '!J90+บ่าย!J90</f>
        <v>0</v>
      </c>
      <c r="K90" s="30">
        <f>'เย็น '!K90+'เช้า '!K90+บ่าย!K90</f>
        <v>5</v>
      </c>
      <c r="L90" s="36">
        <f t="shared" ref="L90:L99" si="9">SUM(D90:K90)</f>
        <v>43</v>
      </c>
      <c r="M90" s="11">
        <v>55</v>
      </c>
      <c r="N90" s="11">
        <v>10</v>
      </c>
      <c r="O90" s="11"/>
      <c r="P90" s="11">
        <v>50</v>
      </c>
      <c r="Q90" s="44">
        <f t="shared" ref="Q90:Q100" si="10">(M90+N90+O90+P90)-L90</f>
        <v>72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2</v>
      </c>
      <c r="F91" s="30">
        <f>'เย็น '!F91+'เช้า '!F91+บ่าย!F91</f>
        <v>2</v>
      </c>
      <c r="G91" s="30">
        <f>'เย็น '!G91+'เช้า '!G91+บ่าย!G91</f>
        <v>10</v>
      </c>
      <c r="H91" s="30">
        <f>'เย็น '!H91+'เช้า '!H91+บ่าย!H91</f>
        <v>8</v>
      </c>
      <c r="I91" s="30">
        <f>'เย็น '!I91+'เช้า '!I91+บ่าย!I91</f>
        <v>17</v>
      </c>
      <c r="J91" s="30">
        <f>'เย็น '!J91+'เช้า '!J91+บ่าย!J91</f>
        <v>0</v>
      </c>
      <c r="K91" s="30">
        <f>'เย็น '!K91+'เช้า '!K91+บ่าย!K91</f>
        <v>3</v>
      </c>
      <c r="L91" s="36">
        <f t="shared" si="9"/>
        <v>42</v>
      </c>
      <c r="M91" s="11">
        <v>53</v>
      </c>
      <c r="N91" s="11">
        <v>4</v>
      </c>
      <c r="O91" s="11"/>
      <c r="P91" s="11">
        <v>50</v>
      </c>
      <c r="Q91" s="44">
        <f t="shared" si="10"/>
        <v>65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2</v>
      </c>
      <c r="F92" s="30">
        <f>'เย็น '!F92+'เช้า '!F92+บ่าย!F92</f>
        <v>0</v>
      </c>
      <c r="G92" s="30">
        <f>'เย็น '!G92+'เช้า '!G92+บ่าย!G92</f>
        <v>10</v>
      </c>
      <c r="H92" s="30">
        <f>'เย็น '!H92+'เช้า '!H92+บ่าย!H92</f>
        <v>8</v>
      </c>
      <c r="I92" s="30">
        <f>'เย็น '!I92+'เช้า '!I92+บ่าย!I92</f>
        <v>17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37</v>
      </c>
      <c r="M92" s="11">
        <v>50</v>
      </c>
      <c r="N92" s="11">
        <v>9</v>
      </c>
      <c r="O92" s="11"/>
      <c r="P92" s="11">
        <v>50</v>
      </c>
      <c r="Q92" s="44">
        <f t="shared" si="10"/>
        <v>72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1</v>
      </c>
      <c r="E93" s="30">
        <f>'เย็น '!E93+'เช้า '!E93+บ่าย!E93</f>
        <v>2</v>
      </c>
      <c r="F93" s="30">
        <f>'เย็น '!F93+'เช้า '!F93+บ่าย!F93</f>
        <v>1</v>
      </c>
      <c r="G93" s="30">
        <f>'เย็น '!G93+'เช้า '!G93+บ่าย!G93</f>
        <v>10</v>
      </c>
      <c r="H93" s="30">
        <f>'เย็น '!H93+'เช้า '!H93+บ่าย!H93</f>
        <v>8</v>
      </c>
      <c r="I93" s="30">
        <f>'เย็น '!I93+'เช้า '!I93+บ่าย!I93</f>
        <v>19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41</v>
      </c>
      <c r="M93" s="11">
        <v>50</v>
      </c>
      <c r="N93" s="11">
        <v>35</v>
      </c>
      <c r="O93" s="11"/>
      <c r="P93" s="11">
        <v>50</v>
      </c>
      <c r="Q93" s="44">
        <f t="shared" si="10"/>
        <v>94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3</v>
      </c>
      <c r="F97" s="30">
        <f>'เย็น '!F97+'เช้า '!F97+บ่าย!F97</f>
        <v>1</v>
      </c>
      <c r="G97" s="30">
        <f>'เย็น '!G97+'เช้า '!G97+บ่าย!G97</f>
        <v>10</v>
      </c>
      <c r="H97" s="30">
        <f>'เย็น '!H97+'เช้า '!H97+บ่าย!H97</f>
        <v>8</v>
      </c>
      <c r="I97" s="30">
        <f>'เย็น '!I97+'เช้า '!I97+บ่าย!I97</f>
        <v>19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41</v>
      </c>
      <c r="M97" s="11">
        <v>50</v>
      </c>
      <c r="N97" s="11">
        <v>41</v>
      </c>
      <c r="O97" s="11"/>
      <c r="P97" s="11">
        <v>50</v>
      </c>
      <c r="Q97" s="44">
        <f t="shared" si="10"/>
        <v>100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1</v>
      </c>
      <c r="E98" s="30">
        <f>'เย็น '!E98+'เช้า '!E98+บ่าย!E98</f>
        <v>3</v>
      </c>
      <c r="F98" s="30">
        <f>'เย็น '!F98+'เช้า '!F98+บ่าย!F98</f>
        <v>1</v>
      </c>
      <c r="G98" s="30">
        <f>'เย็น '!G98+'เช้า '!G98+บ่าย!G98</f>
        <v>10</v>
      </c>
      <c r="H98" s="30">
        <f>'เย็น '!H98+'เช้า '!H98+บ่าย!H98</f>
        <v>8</v>
      </c>
      <c r="I98" s="30">
        <f>'เย็น '!I98+'เช้า '!I98+บ่าย!I98</f>
        <v>17</v>
      </c>
      <c r="J98" s="30">
        <f>'เย็น '!J98+'เช้า '!J98+บ่าย!J98</f>
        <v>0</v>
      </c>
      <c r="K98" s="30">
        <f>'เย็น '!K98+'เช้า '!K98+บ่าย!K98</f>
        <v>5</v>
      </c>
      <c r="L98" s="36">
        <f t="shared" si="9"/>
        <v>45</v>
      </c>
      <c r="M98" s="11">
        <v>55</v>
      </c>
      <c r="N98" s="11">
        <v>30</v>
      </c>
      <c r="O98" s="11"/>
      <c r="P98" s="11">
        <v>50</v>
      </c>
      <c r="Q98" s="44">
        <f t="shared" si="10"/>
        <v>90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249</v>
      </c>
      <c r="M100" s="11">
        <f>SUM(M90:M99)</f>
        <v>313</v>
      </c>
      <c r="N100" s="11">
        <f>SUM(N90:N99)</f>
        <v>129</v>
      </c>
      <c r="O100" s="11">
        <f>SUM(O90:O99)</f>
        <v>0</v>
      </c>
      <c r="P100" s="11">
        <f>SUM(P90:P99)</f>
        <v>300</v>
      </c>
      <c r="Q100" s="44">
        <f t="shared" si="10"/>
        <v>493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>
        <v>1</v>
      </c>
      <c r="O105" s="11"/>
      <c r="P105" s="11"/>
      <c r="Q105" s="44">
        <f t="shared" si="12"/>
        <v>1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1</v>
      </c>
      <c r="O112" s="11">
        <f>SUM(O102:O111)</f>
        <v>0</v>
      </c>
      <c r="P112" s="11">
        <f>SUM(P102:P111)</f>
        <v>0</v>
      </c>
      <c r="Q112" s="44">
        <f t="shared" si="12"/>
        <v>1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4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1</v>
      </c>
      <c r="I114" s="30">
        <f>'เย็น '!I114+'เช้า '!I114+บ่าย!I114</f>
        <v>1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6</v>
      </c>
      <c r="M114" s="11"/>
      <c r="N114" s="11">
        <v>39</v>
      </c>
      <c r="O114" s="11"/>
      <c r="P114" s="11"/>
      <c r="Q114" s="44">
        <f t="shared" ref="Q114:Q140" si="14">(M114+N114+O114+P114)-L114</f>
        <v>33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4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1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5</v>
      </c>
      <c r="M115" s="11"/>
      <c r="N115" s="11">
        <v>34</v>
      </c>
      <c r="O115" s="11"/>
      <c r="P115" s="11"/>
      <c r="Q115" s="44">
        <f t="shared" si="14"/>
        <v>29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5</v>
      </c>
      <c r="F120" s="30">
        <f>'เย็น '!F120+'เช้า '!F120+บ่าย!F120</f>
        <v>0</v>
      </c>
      <c r="G120" s="30">
        <f>'เย็น '!G120+'เช้า '!G120+บ่าย!G120</f>
        <v>1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5</v>
      </c>
      <c r="L120" s="36">
        <f t="shared" si="13"/>
        <v>11</v>
      </c>
      <c r="M120" s="11">
        <v>5</v>
      </c>
      <c r="N120" s="11">
        <v>14</v>
      </c>
      <c r="O120" s="11"/>
      <c r="P120" s="11"/>
      <c r="Q120" s="44">
        <f t="shared" si="14"/>
        <v>8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4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4</v>
      </c>
      <c r="M121" s="11"/>
      <c r="N121" s="11">
        <v>24</v>
      </c>
      <c r="O121" s="11"/>
      <c r="P121" s="11"/>
      <c r="Q121" s="44">
        <f t="shared" si="14"/>
        <v>20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15</v>
      </c>
      <c r="E123" s="30">
        <f>'เย็น '!E123+'เช้า '!E123+บ่าย!E123</f>
        <v>17</v>
      </c>
      <c r="F123" s="30">
        <f>'เย็น '!F123+'เช้า '!F123+บ่าย!F123</f>
        <v>19</v>
      </c>
      <c r="G123" s="30">
        <f>'เย็น '!G123+'เช้า '!G123+บ่าย!G123</f>
        <v>256</v>
      </c>
      <c r="H123" s="30">
        <f>'เย็น '!H123+'เช้า '!H123+บ่าย!H123</f>
        <v>226</v>
      </c>
      <c r="I123" s="30">
        <f>'เย็น '!I123+'เช้า '!I123+บ่าย!I123</f>
        <v>240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773</v>
      </c>
      <c r="M123" s="11">
        <v>194</v>
      </c>
      <c r="N123" s="11">
        <v>312</v>
      </c>
      <c r="O123" s="11">
        <v>270</v>
      </c>
      <c r="P123" s="11">
        <v>400</v>
      </c>
      <c r="Q123" s="44">
        <f t="shared" si="14"/>
        <v>403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2</v>
      </c>
      <c r="E124" s="30">
        <f>'เย็น '!E124+'เช้า '!E124+บ่าย!E124</f>
        <v>3</v>
      </c>
      <c r="F124" s="30">
        <f>'เย็น '!F124+'เช้า '!F124+บ่าย!F124</f>
        <v>2</v>
      </c>
      <c r="G124" s="30">
        <f>'เย็น '!G124+'เช้า '!G124+บ่าย!G124</f>
        <v>196</v>
      </c>
      <c r="H124" s="30">
        <f>'เย็น '!H124+'เช้า '!H124+บ่าย!H124</f>
        <v>202</v>
      </c>
      <c r="I124" s="30">
        <f>'เย็น '!I124+'เช้า '!I124+บ่าย!I124</f>
        <v>210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615</v>
      </c>
      <c r="M124" s="11">
        <v>50</v>
      </c>
      <c r="N124" s="11">
        <v>659</v>
      </c>
      <c r="O124" s="11"/>
      <c r="P124" s="11">
        <v>350</v>
      </c>
      <c r="Q124" s="44">
        <f t="shared" si="14"/>
        <v>444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1</v>
      </c>
      <c r="E125" s="30">
        <f>'เย็น '!E125+'เช้า '!E125+บ่าย!E125</f>
        <v>3</v>
      </c>
      <c r="F125" s="30">
        <f>'เย็น '!F125+'เช้า '!F125+บ่าย!F125</f>
        <v>2</v>
      </c>
      <c r="G125" s="30">
        <f>'เย็น '!G125+'เช้า '!G125+บ่าย!G125</f>
        <v>196</v>
      </c>
      <c r="H125" s="30">
        <f>'เย็น '!H125+'เช้า '!H125+บ่าย!H125</f>
        <v>203</v>
      </c>
      <c r="I125" s="30">
        <f>'เย็น '!I125+'เช้า '!I125+บ่าย!I125</f>
        <v>211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616</v>
      </c>
      <c r="M125" s="11">
        <v>115</v>
      </c>
      <c r="N125" s="11">
        <v>453</v>
      </c>
      <c r="O125" s="11">
        <v>50</v>
      </c>
      <c r="P125" s="11">
        <v>350</v>
      </c>
      <c r="Q125" s="44">
        <f t="shared" si="14"/>
        <v>352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0</v>
      </c>
      <c r="F126" s="30">
        <f>'เย็น '!F126+'เช้า '!F126+บ่าย!F126</f>
        <v>0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0</v>
      </c>
      <c r="M126" s="11">
        <v>15</v>
      </c>
      <c r="N126" s="11">
        <v>12</v>
      </c>
      <c r="O126" s="11"/>
      <c r="P126" s="11">
        <v>20</v>
      </c>
      <c r="Q126" s="44">
        <f t="shared" si="14"/>
        <v>47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2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2</v>
      </c>
      <c r="M136" s="11"/>
      <c r="N136" s="11"/>
      <c r="O136" s="11"/>
      <c r="P136" s="11"/>
      <c r="Q136" s="44">
        <f t="shared" si="14"/>
        <v>-2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8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4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5</v>
      </c>
      <c r="L137" s="36">
        <f t="shared" si="13"/>
        <v>17</v>
      </c>
      <c r="M137" s="11">
        <v>5</v>
      </c>
      <c r="N137" s="11">
        <v>8</v>
      </c>
      <c r="O137" s="11">
        <v>5</v>
      </c>
      <c r="P137" s="11"/>
      <c r="Q137" s="44">
        <f t="shared" si="14"/>
        <v>1</v>
      </c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74</v>
      </c>
      <c r="E141" s="36">
        <f t="shared" ref="E141:K141" si="15">SUM(E114:E140,E90:E99,E79:E87,E69:E76,E7:E66,E102:E111)</f>
        <v>97</v>
      </c>
      <c r="F141" s="36">
        <f t="shared" si="15"/>
        <v>63</v>
      </c>
      <c r="G141" s="36">
        <f t="shared" si="15"/>
        <v>769</v>
      </c>
      <c r="H141" s="36">
        <f t="shared" si="15"/>
        <v>726</v>
      </c>
      <c r="I141" s="36">
        <f t="shared" si="15"/>
        <v>828</v>
      </c>
      <c r="J141" s="36">
        <f t="shared" si="15"/>
        <v>0</v>
      </c>
      <c r="K141" s="36">
        <f t="shared" si="15"/>
        <v>66</v>
      </c>
      <c r="L141" s="36">
        <f>SUM(L114:L140,L90:L99,L79:L87,L69:L76,L7:L66,L102:L111)</f>
        <v>2623</v>
      </c>
      <c r="M141" s="36">
        <f>SUM(M114:M140,M90:M99,M79:M87,M69:M76,M7:M66,M102:M111)</f>
        <v>1045</v>
      </c>
      <c r="N141" s="36">
        <f t="shared" ref="N141" si="16">SUM(N114:N140,N90:N99,N79:N87,N69:N76,N7:N66,N102:N111)</f>
        <v>1789</v>
      </c>
      <c r="O141" s="36">
        <f t="shared" ref="O141" si="17">SUM(O114:O140,O90:O99,O79:O87,O69:O76,O7:O66,O102:O111)</f>
        <v>335</v>
      </c>
      <c r="P141" s="36">
        <f t="shared" ref="P141" si="18">SUM(P114:P140,P90:P99,P79:P87,P69:P76,P7:P66,P102:P111)</f>
        <v>1764</v>
      </c>
      <c r="Q141" s="36">
        <f t="shared" ref="Q141" si="19">SUM(Q114:Q140,Q90:Q99,Q79:Q87,Q69:Q76,Q7:Q66,Q102:Q111)</f>
        <v>2310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2025-04-23T00:55:30Z</cp:lastPrinted>
  <dcterms:created xsi:type="dcterms:W3CDTF">2024-04-30T05:21:27Z</dcterms:created>
  <dcterms:modified xsi:type="dcterms:W3CDTF">2025-04-23T01:09:51Z</dcterms:modified>
</cp:coreProperties>
</file>