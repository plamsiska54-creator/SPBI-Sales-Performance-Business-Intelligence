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4.เม.ย\"/>
    </mc:Choice>
  </mc:AlternateContent>
  <xr:revisionPtr revIDLastSave="0" documentId="13_ncr:1_{FBF28387-1A97-474B-BFF8-05DA278CCF41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R77" i="5" s="1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Q100" i="5"/>
  <c r="P100" i="5"/>
  <c r="O100" i="5"/>
  <c r="N100" i="5"/>
  <c r="Q112" i="5"/>
  <c r="P112" i="5"/>
  <c r="O112" i="5"/>
  <c r="N112" i="5"/>
  <c r="N141" i="5"/>
  <c r="O141" i="5"/>
  <c r="P141" i="5"/>
  <c r="Q141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77" i="6" s="1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39" i="5" l="1"/>
  <c r="R135" i="5"/>
  <c r="L100" i="6"/>
  <c r="L67" i="6"/>
  <c r="L88" i="6"/>
  <c r="R134" i="5"/>
  <c r="R132" i="5"/>
  <c r="L112" i="4"/>
  <c r="L67" i="4"/>
  <c r="R136" i="5"/>
  <c r="R133" i="5"/>
  <c r="R138" i="5"/>
  <c r="L77" i="4"/>
  <c r="L88" i="4"/>
  <c r="R131" i="5"/>
  <c r="R137" i="5"/>
  <c r="L112" i="6"/>
  <c r="L88" i="3"/>
  <c r="L77" i="3"/>
  <c r="L141" i="5"/>
  <c r="L112" i="3"/>
  <c r="L67" i="3"/>
  <c r="L100" i="3"/>
  <c r="R140" i="5"/>
  <c r="R130" i="5"/>
  <c r="R129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G141" i="5" l="1"/>
  <c r="K141" i="5"/>
  <c r="F141" i="5"/>
  <c r="I141" i="5"/>
  <c r="E141" i="5"/>
  <c r="H141" i="5"/>
  <c r="R114" i="5"/>
  <c r="R90" i="5"/>
  <c r="D141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R100" i="5" l="1"/>
  <c r="R102" i="5"/>
  <c r="R141" i="5" s="1"/>
  <c r="R112" i="5"/>
  <c r="M141" i="5"/>
  <c r="R88" i="5"/>
  <c r="R67" i="5"/>
</calcChain>
</file>

<file path=xl/sharedStrings.xml><?xml version="1.0" encoding="utf-8"?>
<sst xmlns="http://schemas.openxmlformats.org/spreadsheetml/2006/main" count="618" uniqueCount="147">
  <si>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</si>
  <si>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</si>
  <si>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</si>
  <si>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</si>
  <si>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</si>
  <si>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</si>
  <si>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</si>
  <si>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</si>
  <si>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</si>
  <si>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</si>
  <si>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</si>
  <si>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</si>
  <si>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</si>
  <si>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</si>
  <si>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</si>
  <si>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</si>
  <si>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</si>
  <si>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</si>
  <si>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</si>
  <si>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</si>
  <si>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</si>
  <si>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</si>
  <si>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</si>
  <si>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</si>
  <si>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</si>
  <si>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</si>
  <si>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</si>
  <si>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</si>
  <si>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</si>
  <si>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</si>
  <si>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</si>
  <si>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</si>
  <si>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</si>
  <si>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</si>
  <si>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</si>
  <si>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</si>
  <si>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</si>
  <si>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</si>
  <si>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</si>
  <si>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</si>
  <si>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</si>
  <si>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</si>
  <si>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</si>
  <si>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</si>
  <si>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</si>
  <si>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</si>
  <si>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</si>
  <si>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</si>
  <si>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</si>
  <si>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</si>
  <si>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</si>
  <si>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</si>
  <si>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</si>
  <si>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</si>
  <si>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</si>
  <si>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</si>
  <si>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</si>
  <si>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</si>
  <si>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</si>
  <si>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</si>
  <si>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</si>
  <si>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</si>
  <si>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</si>
  <si>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</si>
  <si>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</si>
  <si>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</si>
  <si>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</si>
  <si>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</si>
  <si>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</si>
  <si>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</si>
  <si>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</si>
  <si>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</si>
  <si>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</si>
  <si>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</si>
  <si>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</si>
  <si>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</si>
  <si>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</si>
  <si>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</si>
  <si>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</si>
  <si>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</si>
  <si>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</si>
  <si>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</si>
  <si>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</si>
  <si>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</si>
  <si>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</si>
  <si>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</si>
  <si>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</si>
  <si>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</si>
  <si>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</si>
  <si>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</si>
  <si>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</si>
  <si>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</si>
  <si>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</si>
  <si>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</si>
  <si>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</si>
  <si>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</si>
  <si>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</si>
  <si>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</si>
  <si>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</si>
  <si>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</si>
  <si>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</si>
  <si>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</si>
  <si>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</si>
  <si>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</si>
  <si>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</si>
  <si>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</si>
  <si>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</si>
  <si>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</si>
  <si>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</si>
  <si>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</si>
  <si>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</si>
  <si>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</si>
  <si>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</si>
  <si>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</si>
  <si>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</si>
  <si>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</si>
  <si>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</si>
  <si>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</si>
  <si>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</si>
  <si>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</si>
  <si>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</si>
  <si>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</si>
  <si>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</si>
  <si>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</si>
  <si>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</si>
  <si>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</si>
  <si>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</si>
  <si>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</si>
  <si>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</si>
  <si>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</si>
  <si>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</si>
  <si>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</si>
  <si>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</si>
  <si>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</si>
  <si>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</si>
  <si>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</si>
  <si>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</si>
  <si>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</si>
  <si>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</si>
  <si>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</si>
  <si>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</si>
  <si>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</si>
  <si>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</si>
  <si>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</si>
  <si>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17-4-68 เช้า</t>
  </si>
  <si>
    <t>ยอดจริง ออนไลน์ วันที่17-4-68 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</si>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</sst>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5" zoomScale="60" zoomScaleNormal="60" workbookViewId="0">
      <selection activeCell="H127" sqref="H127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16</v>
      </c>
      <c r="E7" s="30">
        <v>12</v>
      </c>
      <c r="F7" s="30">
        <v>15</v>
      </c>
      <c r="G7" s="30">
        <v>7</v>
      </c>
      <c r="H7" s="30">
        <v>10</v>
      </c>
      <c r="I7" s="30"/>
      <c r="J7" s="43"/>
      <c r="K7" s="43">
        <v>5</v>
      </c>
      <c r="L7" s="36">
        <f>SUM(D7:K7)</f>
        <v>65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7</v>
      </c>
      <c r="F25" s="30">
        <v>3</v>
      </c>
      <c r="G25" s="30">
        <v>1</v>
      </c>
      <c r="H25" s="30">
        <v>1</v>
      </c>
      <c r="I25" s="30"/>
      <c r="J25" s="43"/>
      <c r="K25" s="43"/>
      <c r="L25" s="36">
        <f t="shared" si="0"/>
        <v>12</v>
      </c>
    </row>
    <row r="26" spans="2:12" x14ac:dyDescent="0.25">
      <c r="B26" s="11">
        <v>1004055</v>
      </c>
      <c r="C26" s="15" t="s">
        <v>108</v>
      </c>
      <c r="D26" s="30">
        <v>24</v>
      </c>
      <c r="E26" s="30">
        <v>1</v>
      </c>
      <c r="F26" s="30"/>
      <c r="G26" s="30">
        <v>160</v>
      </c>
      <c r="H26" s="30">
        <v>78</v>
      </c>
      <c r="I26" s="30"/>
      <c r="J26" s="43"/>
      <c r="K26" s="43"/>
      <c r="L26" s="36">
        <f t="shared" si="0"/>
        <v>263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>
        <v>2</v>
      </c>
      <c r="G40" s="30"/>
      <c r="H40" s="30"/>
      <c r="I40" s="30"/>
      <c r="J40" s="43"/>
      <c r="K40" s="43"/>
      <c r="L40" s="36">
        <f t="shared" si="0"/>
        <v>2</v>
      </c>
    </row>
    <row r="41" spans="2:12" x14ac:dyDescent="0.25">
      <c r="B41" s="11">
        <v>1111058</v>
      </c>
      <c r="C41" s="15" t="s">
        <v>31</v>
      </c>
      <c r="D41" s="30"/>
      <c r="E41" s="30"/>
      <c r="F41" s="30">
        <v>2</v>
      </c>
      <c r="G41" s="30"/>
      <c r="H41" s="30"/>
      <c r="I41" s="30"/>
      <c r="J41" s="43"/>
      <c r="K41" s="43"/>
      <c r="L41" s="36">
        <f t="shared" si="0"/>
        <v>2</v>
      </c>
    </row>
    <row r="42" spans="2:12" x14ac:dyDescent="0.25">
      <c r="B42" s="11">
        <v>1111059</v>
      </c>
      <c r="C42" s="15" t="s">
        <v>32</v>
      </c>
      <c r="D42" s="30"/>
      <c r="E42" s="30"/>
      <c r="F42" s="30">
        <v>2</v>
      </c>
      <c r="G42" s="30"/>
      <c r="H42" s="30"/>
      <c r="I42" s="30"/>
      <c r="J42" s="43"/>
      <c r="K42" s="43"/>
      <c r="L42" s="36">
        <f t="shared" si="0"/>
        <v>2</v>
      </c>
    </row>
    <row r="43" spans="2:12" x14ac:dyDescent="0.25">
      <c r="B43" s="11">
        <v>1111060</v>
      </c>
      <c r="C43" s="15" t="s">
        <v>33</v>
      </c>
      <c r="D43" s="30"/>
      <c r="E43" s="30"/>
      <c r="F43" s="30">
        <v>2</v>
      </c>
      <c r="G43" s="30"/>
      <c r="H43" s="30"/>
      <c r="I43" s="30"/>
      <c r="J43" s="43"/>
      <c r="K43" s="43"/>
      <c r="L43" s="36">
        <f t="shared" si="0"/>
        <v>2</v>
      </c>
    </row>
    <row r="44" spans="2:12" x14ac:dyDescent="0.25">
      <c r="B44" s="11">
        <v>1111061</v>
      </c>
      <c r="C44" s="15" t="s">
        <v>34</v>
      </c>
      <c r="D44" s="30"/>
      <c r="E44" s="30"/>
      <c r="F44" s="30">
        <v>2</v>
      </c>
      <c r="G44" s="30"/>
      <c r="H44" s="30"/>
      <c r="I44" s="30"/>
      <c r="J44" s="43"/>
      <c r="K44" s="43"/>
      <c r="L44" s="36">
        <f t="shared" si="0"/>
        <v>2</v>
      </c>
    </row>
    <row r="45" spans="2:12" x14ac:dyDescent="0.25">
      <c r="B45" s="11">
        <v>1111062</v>
      </c>
      <c r="C45" s="15" t="s">
        <v>35</v>
      </c>
      <c r="D45" s="30"/>
      <c r="E45" s="30"/>
      <c r="F45" s="30">
        <v>2</v>
      </c>
      <c r="G45" s="30"/>
      <c r="H45" s="30"/>
      <c r="I45" s="30"/>
      <c r="J45" s="43"/>
      <c r="K45" s="43"/>
      <c r="L45" s="36">
        <f t="shared" si="0"/>
        <v>2</v>
      </c>
    </row>
    <row r="46" spans="2:12" x14ac:dyDescent="0.25">
      <c r="B46" s="11">
        <v>1111063</v>
      </c>
      <c r="C46" s="15" t="s">
        <v>36</v>
      </c>
      <c r="D46" s="30"/>
      <c r="E46" s="30"/>
      <c r="F46" s="30">
        <v>2</v>
      </c>
      <c r="G46" s="30"/>
      <c r="H46" s="30"/>
      <c r="I46" s="30"/>
      <c r="J46" s="43"/>
      <c r="K46" s="43"/>
      <c r="L46" s="36">
        <f t="shared" si="0"/>
        <v>2</v>
      </c>
    </row>
    <row r="47" spans="2:12" x14ac:dyDescent="0.25">
      <c r="B47" s="11">
        <v>1111064</v>
      </c>
      <c r="C47" s="15" t="s">
        <v>37</v>
      </c>
      <c r="D47" s="30"/>
      <c r="E47" s="30"/>
      <c r="F47" s="30">
        <v>2</v>
      </c>
      <c r="G47" s="30"/>
      <c r="H47" s="30"/>
      <c r="I47" s="30"/>
      <c r="J47" s="43"/>
      <c r="K47" s="43"/>
      <c r="L47" s="36">
        <f t="shared" si="0"/>
        <v>2</v>
      </c>
    </row>
    <row r="48" spans="2:12" x14ac:dyDescent="0.25">
      <c r="B48" s="11">
        <v>1111065</v>
      </c>
      <c r="C48" s="15" t="s">
        <v>38</v>
      </c>
      <c r="D48" s="30"/>
      <c r="E48" s="30"/>
      <c r="F48" s="30">
        <v>2</v>
      </c>
      <c r="G48" s="30"/>
      <c r="H48" s="30"/>
      <c r="I48" s="30"/>
      <c r="J48" s="43"/>
      <c r="K48" s="43"/>
      <c r="L48" s="36">
        <f t="shared" si="0"/>
        <v>2</v>
      </c>
    </row>
    <row r="49" spans="2:12" x14ac:dyDescent="0.25">
      <c r="B49" s="11">
        <v>1111066</v>
      </c>
      <c r="C49" s="15" t="s">
        <v>39</v>
      </c>
      <c r="D49" s="30"/>
      <c r="E49" s="30"/>
      <c r="F49" s="30">
        <v>2</v>
      </c>
      <c r="G49" s="30"/>
      <c r="H49" s="30"/>
      <c r="I49" s="30"/>
      <c r="J49" s="43"/>
      <c r="K49" s="43"/>
      <c r="L49" s="36">
        <f t="shared" si="0"/>
        <v>2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360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>
        <v>11</v>
      </c>
      <c r="E69" s="30">
        <v>8</v>
      </c>
      <c r="F69" s="30">
        <v>2</v>
      </c>
      <c r="G69" s="30">
        <v>2</v>
      </c>
      <c r="H69" s="30"/>
      <c r="I69" s="30"/>
      <c r="J69" s="43"/>
      <c r="K69" s="43"/>
      <c r="L69" s="36">
        <f t="shared" ref="L69:L76" si="1">SUM(D69:K69)</f>
        <v>23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23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28</v>
      </c>
      <c r="E87" s="30">
        <v>7</v>
      </c>
      <c r="F87" s="30"/>
      <c r="G87" s="30">
        <v>117</v>
      </c>
      <c r="H87" s="30">
        <v>27</v>
      </c>
      <c r="I87" s="30"/>
      <c r="J87" s="43"/>
      <c r="K87" s="43"/>
      <c r="L87" s="36">
        <f t="shared" si="2"/>
        <v>179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179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3</v>
      </c>
      <c r="E90" s="30">
        <v>2</v>
      </c>
      <c r="F90" s="30"/>
      <c r="G90" s="30">
        <v>38</v>
      </c>
      <c r="H90" s="30">
        <v>13</v>
      </c>
      <c r="I90" s="30"/>
      <c r="J90" s="43"/>
      <c r="K90" s="43"/>
      <c r="L90" s="36">
        <f t="shared" ref="L90:L99" si="3">SUM(D90:K90)</f>
        <v>56</v>
      </c>
    </row>
    <row r="91" spans="2:12" x14ac:dyDescent="0.25">
      <c r="B91" s="11">
        <v>1112011</v>
      </c>
      <c r="C91" s="19" t="s">
        <v>76</v>
      </c>
      <c r="D91" s="30">
        <v>6</v>
      </c>
      <c r="E91" s="30">
        <v>2</v>
      </c>
      <c r="F91" s="30">
        <v>6</v>
      </c>
      <c r="G91" s="30">
        <v>38</v>
      </c>
      <c r="H91" s="30">
        <v>13</v>
      </c>
      <c r="I91" s="30"/>
      <c r="J91" s="43"/>
      <c r="K91" s="43"/>
      <c r="L91" s="36">
        <f t="shared" si="3"/>
        <v>65</v>
      </c>
    </row>
    <row r="92" spans="2:12" x14ac:dyDescent="0.25">
      <c r="B92" s="11">
        <v>1112003</v>
      </c>
      <c r="C92" s="19" t="s">
        <v>77</v>
      </c>
      <c r="D92" s="30">
        <v>3</v>
      </c>
      <c r="E92" s="30">
        <v>2</v>
      </c>
      <c r="F92" s="30"/>
      <c r="G92" s="30">
        <v>38</v>
      </c>
      <c r="H92" s="30">
        <v>13</v>
      </c>
      <c r="I92" s="30"/>
      <c r="J92" s="43"/>
      <c r="K92" s="43"/>
      <c r="L92" s="36">
        <f t="shared" si="3"/>
        <v>56</v>
      </c>
    </row>
    <row r="93" spans="2:12" x14ac:dyDescent="0.25">
      <c r="B93" s="11">
        <v>1112005</v>
      </c>
      <c r="C93" s="19" t="s">
        <v>78</v>
      </c>
      <c r="D93" s="30">
        <v>5</v>
      </c>
      <c r="E93" s="30">
        <v>2</v>
      </c>
      <c r="F93" s="30"/>
      <c r="G93" s="30">
        <v>37</v>
      </c>
      <c r="H93" s="30">
        <v>12</v>
      </c>
      <c r="I93" s="30"/>
      <c r="J93" s="43"/>
      <c r="K93" s="43"/>
      <c r="L93" s="36">
        <f t="shared" si="3"/>
        <v>56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2</v>
      </c>
      <c r="E97" s="30"/>
      <c r="F97" s="30"/>
      <c r="G97" s="30">
        <v>38</v>
      </c>
      <c r="H97" s="30">
        <v>12</v>
      </c>
      <c r="I97" s="30"/>
      <c r="J97" s="43"/>
      <c r="K97" s="43"/>
      <c r="L97" s="36">
        <f t="shared" si="3"/>
        <v>52</v>
      </c>
    </row>
    <row r="98" spans="2:12" x14ac:dyDescent="0.25">
      <c r="B98" s="11">
        <v>1112013</v>
      </c>
      <c r="C98" s="19" t="s">
        <v>83</v>
      </c>
      <c r="D98" s="30">
        <v>5</v>
      </c>
      <c r="E98" s="30">
        <v>2</v>
      </c>
      <c r="F98" s="30"/>
      <c r="G98" s="30">
        <v>38</v>
      </c>
      <c r="H98" s="30">
        <v>12</v>
      </c>
      <c r="I98" s="30"/>
      <c r="J98" s="43"/>
      <c r="K98" s="43"/>
      <c r="L98" s="36">
        <f t="shared" si="3"/>
        <v>57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342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>
        <v>1</v>
      </c>
      <c r="F120" s="30"/>
      <c r="G120" s="30"/>
      <c r="H120" s="30">
        <v>1</v>
      </c>
      <c r="I120" s="30"/>
      <c r="J120" s="43"/>
      <c r="K120" s="43"/>
      <c r="L120" s="36">
        <f t="shared" si="5"/>
        <v>2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22</v>
      </c>
      <c r="E123" s="30">
        <v>12</v>
      </c>
      <c r="F123" s="30">
        <v>1</v>
      </c>
      <c r="G123" s="30">
        <v>187</v>
      </c>
      <c r="H123" s="30">
        <v>221</v>
      </c>
      <c r="I123" s="30"/>
      <c r="J123" s="43"/>
      <c r="K123" s="43"/>
      <c r="L123" s="36">
        <f t="shared" si="5"/>
        <v>443</v>
      </c>
    </row>
    <row r="124" spans="2:12" x14ac:dyDescent="0.25">
      <c r="B124" s="11">
        <v>1114502</v>
      </c>
      <c r="C124" s="21" t="s">
        <v>96</v>
      </c>
      <c r="D124" s="30">
        <v>6</v>
      </c>
      <c r="E124" s="30">
        <v>3</v>
      </c>
      <c r="F124" s="30">
        <v>1</v>
      </c>
      <c r="G124" s="30">
        <v>134</v>
      </c>
      <c r="H124" s="30">
        <v>175</v>
      </c>
      <c r="I124" s="30"/>
      <c r="J124" s="43"/>
      <c r="K124" s="43"/>
      <c r="L124" s="36">
        <f t="shared" si="5"/>
        <v>319</v>
      </c>
    </row>
    <row r="125" spans="2:12" x14ac:dyDescent="0.25">
      <c r="B125" s="11">
        <v>1114503</v>
      </c>
      <c r="C125" s="21" t="s">
        <v>97</v>
      </c>
      <c r="D125" s="30"/>
      <c r="E125" s="30">
        <v>3</v>
      </c>
      <c r="F125" s="30">
        <v>1</v>
      </c>
      <c r="G125" s="30">
        <v>133</v>
      </c>
      <c r="H125" s="30">
        <v>172</v>
      </c>
      <c r="I125" s="30"/>
      <c r="J125" s="43"/>
      <c r="K125" s="43"/>
      <c r="L125" s="36">
        <f t="shared" si="5"/>
        <v>309</v>
      </c>
    </row>
    <row r="126" spans="2:12" x14ac:dyDescent="0.25">
      <c r="B126" s="11">
        <v>1124021</v>
      </c>
      <c r="C126" s="21" t="s">
        <v>98</v>
      </c>
      <c r="D126" s="30"/>
      <c r="E126" s="30">
        <v>3</v>
      </c>
      <c r="F126" s="30"/>
      <c r="G126" s="30"/>
      <c r="H126" s="30">
        <v>1</v>
      </c>
      <c r="I126" s="30"/>
      <c r="J126" s="43"/>
      <c r="K126" s="43"/>
      <c r="L126" s="36">
        <f t="shared" si="5"/>
        <v>4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>
        <v>1</v>
      </c>
      <c r="G135" s="30"/>
      <c r="H135" s="30"/>
      <c r="I135" s="30"/>
      <c r="J135" s="43"/>
      <c r="K135" s="43"/>
      <c r="L135" s="36">
        <f t="shared" si="5"/>
        <v>1</v>
      </c>
    </row>
    <row r="136" spans="2:12" x14ac:dyDescent="0.25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 x14ac:dyDescent="0.25">
      <c r="B137" s="22">
        <v>20052721</v>
      </c>
      <c r="C137" s="21" t="s">
        <v>142</v>
      </c>
      <c r="D137" s="30">
        <v>12</v>
      </c>
      <c r="E137" s="30"/>
      <c r="F137" s="30"/>
      <c r="G137" s="30"/>
      <c r="H137" s="30"/>
      <c r="I137" s="30"/>
      <c r="J137" s="43"/>
      <c r="K137" s="43"/>
      <c r="L137" s="36">
        <f t="shared" si="5"/>
        <v>12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95" zoomScale="60" zoomScaleNormal="60" workbookViewId="0">
      <selection activeCell="K102" sqref="K102:K11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zoomScale="60" zoomScaleNormal="60" workbookViewId="0">
      <selection activeCell="H102" sqref="H10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topLeftCell="A107" zoomScale="50" zoomScaleNormal="50" workbookViewId="0">
      <selection activeCell="Q137" sqref="Q137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3" t="s">
        <v>145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2:18" x14ac:dyDescent="0.25">
      <c r="B2" s="74"/>
      <c r="C2" s="75"/>
      <c r="D2" s="1"/>
      <c r="E2" s="76"/>
      <c r="F2" s="76"/>
      <c r="G2" s="2"/>
      <c r="H2" s="2"/>
      <c r="I2" s="2"/>
      <c r="J2" s="2"/>
      <c r="K2" s="2"/>
      <c r="L2" s="2"/>
      <c r="M2" s="3" t="s">
        <v>0</v>
      </c>
      <c r="N2" s="70" t="s">
        <v>127</v>
      </c>
      <c r="O2" s="70" t="s">
        <v>130</v>
      </c>
      <c r="P2" s="70" t="s">
        <v>140</v>
      </c>
      <c r="Q2" s="70" t="s">
        <v>141</v>
      </c>
      <c r="R2" s="78" t="s">
        <v>1</v>
      </c>
    </row>
    <row r="3" spans="2:18" x14ac:dyDescent="0.25">
      <c r="B3" s="74"/>
      <c r="C3" s="75"/>
      <c r="D3" s="4"/>
      <c r="E3" s="77"/>
      <c r="F3" s="77"/>
      <c r="G3" s="5"/>
      <c r="H3" s="5"/>
      <c r="I3" s="5"/>
      <c r="J3" s="66"/>
      <c r="K3" s="41"/>
      <c r="L3" s="41"/>
      <c r="M3" s="6" t="s">
        <v>2</v>
      </c>
      <c r="N3" s="71"/>
      <c r="O3" s="71"/>
      <c r="P3" s="71"/>
      <c r="Q3" s="71"/>
      <c r="R3" s="79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146</v>
      </c>
      <c r="K4" s="42" t="s">
        <v>133</v>
      </c>
      <c r="L4" s="42" t="s">
        <v>136</v>
      </c>
      <c r="M4" s="10" t="s">
        <v>10</v>
      </c>
      <c r="N4" s="72"/>
      <c r="O4" s="72"/>
      <c r="P4" s="72"/>
      <c r="Q4" s="72"/>
      <c r="R4" s="80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9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16</v>
      </c>
      <c r="E7" s="30">
        <f>'เย็น '!E7+'เช้า '!E7+บ่าย!E7</f>
        <v>12</v>
      </c>
      <c r="F7" s="30">
        <f>'เย็น '!F7+'เช้า '!F7+บ่าย!F7</f>
        <v>15</v>
      </c>
      <c r="G7" s="30">
        <f>'เย็น '!G7+'เช้า '!G7+บ่าย!G7</f>
        <v>7</v>
      </c>
      <c r="H7" s="30">
        <f>'เย็น '!H7+'เช้า '!H7+บ่าย!H7</f>
        <v>10</v>
      </c>
      <c r="I7" s="30">
        <f>'เย็น '!I7+'เช้า '!I7+บ่าย!I7</f>
        <v>0</v>
      </c>
      <c r="J7" s="30">
        <f>+G7+H7+I7</f>
        <v>17</v>
      </c>
      <c r="K7" s="30">
        <f>'เย็น '!J7+'เช้า '!J7+บ่าย!J7</f>
        <v>0</v>
      </c>
      <c r="L7" s="30">
        <f>'เย็น '!K7+'เช้า '!K7+บ่าย!K7</f>
        <v>5</v>
      </c>
      <c r="M7" s="36">
        <f>+D7+E7+F7+J7+K7+L7</f>
        <v>65</v>
      </c>
      <c r="N7" s="11"/>
      <c r="O7" s="11"/>
      <c r="P7" s="11"/>
      <c r="Q7" s="11"/>
      <c r="R7" s="44">
        <f>(N7+O7+P7+Q7)-M7</f>
        <v>-65</v>
      </c>
    </row>
    <row r="8" spans="2:18" ht="22.2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7</v>
      </c>
      <c r="F25" s="30">
        <f>'เย็น '!F25+'เช้า '!F25+บ่าย!F25</f>
        <v>3</v>
      </c>
      <c r="G25" s="30">
        <f>'เย็น '!G25+'เช้า '!G25+บ่าย!G25</f>
        <v>1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 t="shared" si="0"/>
        <v>2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12</v>
      </c>
      <c r="N25" s="11"/>
      <c r="O25" s="11"/>
      <c r="P25" s="11"/>
      <c r="Q25" s="11"/>
      <c r="R25" s="44">
        <f t="shared" si="2"/>
        <v>-12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24</v>
      </c>
      <c r="E26" s="30">
        <f>'เย็น '!E26+'เช้า '!E26+บ่าย!E26</f>
        <v>1</v>
      </c>
      <c r="F26" s="30">
        <f>'เย็น '!F26+'เช้า '!F26+บ่าย!F26</f>
        <v>0</v>
      </c>
      <c r="G26" s="30">
        <f>'เย็น '!G26+'เช้า '!G26+บ่าย!G26</f>
        <v>160</v>
      </c>
      <c r="H26" s="30">
        <f>'เย็น '!H26+'เช้า '!H26+บ่าย!H26</f>
        <v>78</v>
      </c>
      <c r="I26" s="30">
        <f>'เย็น '!I26+'เช้า '!I26+บ่าย!I26</f>
        <v>0</v>
      </c>
      <c r="J26" s="30">
        <f t="shared" si="0"/>
        <v>238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263</v>
      </c>
      <c r="N26" s="11"/>
      <c r="O26" s="11"/>
      <c r="P26" s="11"/>
      <c r="Q26" s="11"/>
      <c r="R26" s="44">
        <f t="shared" si="2"/>
        <v>-263</v>
      </c>
    </row>
    <row r="27" spans="2:18" ht="22.2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2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2</v>
      </c>
      <c r="N40" s="11"/>
      <c r="O40" s="11"/>
      <c r="P40" s="11"/>
      <c r="Q40" s="11"/>
      <c r="R40" s="44">
        <f t="shared" si="2"/>
        <v>-2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2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2</v>
      </c>
      <c r="N41" s="11"/>
      <c r="O41" s="11"/>
      <c r="P41" s="11"/>
      <c r="Q41" s="11"/>
      <c r="R41" s="44">
        <f t="shared" si="2"/>
        <v>-2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2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2</v>
      </c>
      <c r="N42" s="11"/>
      <c r="O42" s="11"/>
      <c r="P42" s="11"/>
      <c r="Q42" s="11"/>
      <c r="R42" s="44">
        <f t="shared" si="2"/>
        <v>-2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2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2</v>
      </c>
      <c r="N43" s="11"/>
      <c r="O43" s="11"/>
      <c r="P43" s="11"/>
      <c r="Q43" s="11"/>
      <c r="R43" s="44">
        <f t="shared" si="2"/>
        <v>-2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2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2</v>
      </c>
      <c r="N44" s="11"/>
      <c r="O44" s="11"/>
      <c r="P44" s="11"/>
      <c r="Q44" s="11"/>
      <c r="R44" s="44">
        <f t="shared" si="2"/>
        <v>-2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2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2</v>
      </c>
      <c r="N45" s="11"/>
      <c r="O45" s="11"/>
      <c r="P45" s="11"/>
      <c r="Q45" s="11"/>
      <c r="R45" s="44">
        <f t="shared" si="2"/>
        <v>-2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2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2</v>
      </c>
      <c r="N46" s="11"/>
      <c r="O46" s="11"/>
      <c r="P46" s="11"/>
      <c r="Q46" s="11"/>
      <c r="R46" s="44">
        <f t="shared" si="2"/>
        <v>-2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2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2</v>
      </c>
      <c r="N47" s="11"/>
      <c r="O47" s="11"/>
      <c r="P47" s="11"/>
      <c r="Q47" s="11"/>
      <c r="R47" s="44">
        <f t="shared" si="2"/>
        <v>-2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2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2</v>
      </c>
      <c r="N48" s="11"/>
      <c r="O48" s="11"/>
      <c r="P48" s="11"/>
      <c r="Q48" s="11"/>
      <c r="R48" s="44">
        <f t="shared" si="2"/>
        <v>-2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2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2</v>
      </c>
      <c r="N49" s="11"/>
      <c r="O49" s="11"/>
      <c r="P49" s="11"/>
      <c r="Q49" s="11"/>
      <c r="R49" s="44">
        <f t="shared" si="2"/>
        <v>-2</v>
      </c>
    </row>
    <row r="50" spans="2:21" ht="22.2" customHeight="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ht="22.2" customHeight="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ht="22.2" customHeight="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ht="22.2" customHeight="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ht="22.2" customHeight="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ht="22.2" customHeight="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ht="22.2" customHeight="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ht="22.2" customHeight="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ht="22.2" customHeight="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ht="22.2" customHeight="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ht="22.2" customHeight="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ht="22.2" customHeight="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ht="22.2" customHeight="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ht="22.2" customHeight="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ht="22.2" customHeight="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7" t="s">
        <v>55</v>
      </c>
      <c r="C68" s="68"/>
      <c r="D68" s="68"/>
      <c r="E68" s="68"/>
      <c r="F68" s="68"/>
      <c r="G68" s="68"/>
      <c r="H68" s="68"/>
      <c r="I68" s="68"/>
      <c r="J68" s="30">
        <f t="shared" si="0"/>
        <v>0</v>
      </c>
      <c r="K68" s="68"/>
      <c r="L68" s="68"/>
      <c r="M68" s="36">
        <f t="shared" si="1"/>
        <v>0</v>
      </c>
      <c r="N68" s="68"/>
      <c r="O68" s="68"/>
      <c r="P68" s="68"/>
      <c r="Q68" s="68"/>
      <c r="R68" s="69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11</v>
      </c>
      <c r="E69" s="30">
        <f>'เย็น '!E69+'เช้า '!E69+บ่าย!E69</f>
        <v>8</v>
      </c>
      <c r="F69" s="30">
        <f>'เย็น '!F69+'เช้า '!F69+บ่าย!F69</f>
        <v>2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2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23</v>
      </c>
      <c r="N69" s="11"/>
      <c r="O69" s="11"/>
      <c r="P69" s="11"/>
      <c r="Q69" s="11"/>
      <c r="R69" s="44">
        <f t="shared" ref="R69:R76" si="4">(N69+O69+P69+Q69)-M69</f>
        <v>-23</v>
      </c>
    </row>
    <row r="70" spans="2:21" ht="22.2" customHeight="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ht="22.2" customHeight="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ht="22.2" customHeight="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ht="22.2" customHeight="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ht="22.2" customHeight="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ht="22.2" customHeight="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ht="22.2" customHeight="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7" t="s">
        <v>64</v>
      </c>
      <c r="C78" s="68"/>
      <c r="D78" s="68"/>
      <c r="E78" s="68"/>
      <c r="F78" s="68"/>
      <c r="G78" s="68"/>
      <c r="H78" s="68"/>
      <c r="I78" s="68"/>
      <c r="J78" s="30">
        <f t="shared" si="5"/>
        <v>0</v>
      </c>
      <c r="K78" s="68"/>
      <c r="L78" s="68"/>
      <c r="M78" s="36">
        <f t="shared" si="6"/>
        <v>0</v>
      </c>
      <c r="N78" s="68"/>
      <c r="O78" s="68"/>
      <c r="P78" s="68"/>
      <c r="Q78" s="68"/>
      <c r="R78" s="69"/>
    </row>
    <row r="79" spans="2:21" ht="22.2" customHeight="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ht="22.2" customHeight="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ht="22.2" customHeight="1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ht="22.2" customHeight="1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ht="22.2" customHeight="1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ht="22.2" customHeight="1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ht="22.2" customHeight="1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ht="22.2" customHeight="1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28</v>
      </c>
      <c r="E87" s="30">
        <f>'เย็น '!E87+'เช้า '!E87+บ่าย!E87</f>
        <v>7</v>
      </c>
      <c r="F87" s="30">
        <f>'เย็น '!F87+'เช้า '!F87+บ่าย!F87</f>
        <v>0</v>
      </c>
      <c r="G87" s="30">
        <f>'เย็น '!G87+'เช้า '!G87+บ่าย!G87</f>
        <v>117</v>
      </c>
      <c r="H87" s="30">
        <f>'เย็น '!H87+'เช้า '!H87+บ่าย!H87</f>
        <v>27</v>
      </c>
      <c r="I87" s="30">
        <f>'เย็น '!I87+'เช้า '!I87+บ่าย!I87</f>
        <v>0</v>
      </c>
      <c r="J87" s="30">
        <f t="shared" si="5"/>
        <v>144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179</v>
      </c>
      <c r="N87" s="11"/>
      <c r="O87" s="11"/>
      <c r="P87" s="11"/>
      <c r="Q87" s="11"/>
      <c r="R87" s="44">
        <f t="shared" si="8"/>
        <v>-179</v>
      </c>
    </row>
    <row r="88" spans="2:18" ht="22.2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7" t="s">
        <v>74</v>
      </c>
      <c r="C89" s="68"/>
      <c r="D89" s="68"/>
      <c r="E89" s="68"/>
      <c r="F89" s="68"/>
      <c r="G89" s="68"/>
      <c r="H89" s="68"/>
      <c r="I89" s="68"/>
      <c r="J89" s="30">
        <f t="shared" si="5"/>
        <v>0</v>
      </c>
      <c r="K89" s="68"/>
      <c r="L89" s="68"/>
      <c r="M89" s="36">
        <f t="shared" si="6"/>
        <v>0</v>
      </c>
      <c r="N89" s="68"/>
      <c r="O89" s="68"/>
      <c r="P89" s="68"/>
      <c r="Q89" s="68"/>
      <c r="R89" s="69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2</v>
      </c>
      <c r="F90" s="30">
        <f>'เย็น '!F90+'เช้า '!F90+บ่าย!F90</f>
        <v>0</v>
      </c>
      <c r="G90" s="30">
        <f>'เย็น '!G90+'เช้า '!G90+บ่าย!G90</f>
        <v>38</v>
      </c>
      <c r="H90" s="30">
        <f>'เย็น '!H90+'เช้า '!H90+บ่าย!H90</f>
        <v>13</v>
      </c>
      <c r="I90" s="30">
        <f>'เย็น '!I90+'เช้า '!I90+บ่าย!I90</f>
        <v>0</v>
      </c>
      <c r="J90" s="30">
        <f t="shared" si="5"/>
        <v>51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56</v>
      </c>
      <c r="N90" s="11"/>
      <c r="O90" s="11"/>
      <c r="P90" s="11"/>
      <c r="Q90" s="11"/>
      <c r="R90" s="44">
        <f t="shared" ref="R90:R100" si="9">(N90+O90+P90+Q90)-M90</f>
        <v>-56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6</v>
      </c>
      <c r="E91" s="30">
        <f>'เย็น '!E91+'เช้า '!E91+บ่าย!E91</f>
        <v>2</v>
      </c>
      <c r="F91" s="30">
        <f>'เย็น '!F91+'เช้า '!F91+บ่าย!F91</f>
        <v>6</v>
      </c>
      <c r="G91" s="30">
        <f>'เย็น '!G91+'เช้า '!G91+บ่าย!G91</f>
        <v>38</v>
      </c>
      <c r="H91" s="30">
        <f>'เย็น '!H91+'เช้า '!H91+บ่าย!H91</f>
        <v>13</v>
      </c>
      <c r="I91" s="30">
        <f>'เย็น '!I91+'เช้า '!I91+บ่าย!I91</f>
        <v>0</v>
      </c>
      <c r="J91" s="30">
        <f t="shared" si="5"/>
        <v>51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65</v>
      </c>
      <c r="N91" s="11"/>
      <c r="O91" s="11"/>
      <c r="P91" s="11"/>
      <c r="Q91" s="11"/>
      <c r="R91" s="44">
        <f t="shared" si="9"/>
        <v>-65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38</v>
      </c>
      <c r="H92" s="30">
        <f>'เย็น '!H92+'เช้า '!H92+บ่าย!H92</f>
        <v>13</v>
      </c>
      <c r="I92" s="30">
        <f>'เย็น '!I92+'เช้า '!I92+บ่าย!I92</f>
        <v>0</v>
      </c>
      <c r="J92" s="30">
        <f t="shared" si="5"/>
        <v>51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56</v>
      </c>
      <c r="N92" s="11"/>
      <c r="O92" s="11"/>
      <c r="P92" s="11"/>
      <c r="Q92" s="11"/>
      <c r="R92" s="44">
        <f t="shared" si="9"/>
        <v>-56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37</v>
      </c>
      <c r="H93" s="30">
        <f>'เย็น '!H93+'เช้า '!H93+บ่าย!H93</f>
        <v>12</v>
      </c>
      <c r="I93" s="30">
        <f>'เย็น '!I93+'เช้า '!I93+บ่าย!I93</f>
        <v>0</v>
      </c>
      <c r="J93" s="30">
        <f t="shared" si="5"/>
        <v>49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56</v>
      </c>
      <c r="N93" s="11"/>
      <c r="O93" s="11"/>
      <c r="P93" s="11"/>
      <c r="Q93" s="11"/>
      <c r="R93" s="44">
        <f t="shared" si="9"/>
        <v>-56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38</v>
      </c>
      <c r="H97" s="30">
        <f>'เย็น '!H97+'เช้า '!H97+บ่าย!H97</f>
        <v>12</v>
      </c>
      <c r="I97" s="30">
        <f>'เย็น '!I97+'เช้า '!I97+บ่าย!I97</f>
        <v>0</v>
      </c>
      <c r="J97" s="30">
        <f t="shared" si="5"/>
        <v>50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52</v>
      </c>
      <c r="N97" s="11"/>
      <c r="O97" s="11"/>
      <c r="P97" s="11"/>
      <c r="Q97" s="11"/>
      <c r="R97" s="44">
        <f t="shared" si="9"/>
        <v>-52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5</v>
      </c>
      <c r="E98" s="30">
        <f>'เย็น '!E98+'เช้า '!E98+บ่าย!E98</f>
        <v>2</v>
      </c>
      <c r="F98" s="30">
        <f>'เย็น '!F98+'เช้า '!F98+บ่าย!F98</f>
        <v>0</v>
      </c>
      <c r="G98" s="30">
        <f>'เย็น '!G98+'เช้า '!G98+บ่าย!G98</f>
        <v>38</v>
      </c>
      <c r="H98" s="30">
        <f>'เย็น '!H98+'เช้า '!H98+บ่าย!H98</f>
        <v>12</v>
      </c>
      <c r="I98" s="30">
        <f>'เย็น '!I98+'เช้า '!I98+บ่าย!I98</f>
        <v>0</v>
      </c>
      <c r="J98" s="30">
        <f t="shared" si="5"/>
        <v>50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57</v>
      </c>
      <c r="N98" s="11"/>
      <c r="O98" s="11"/>
      <c r="P98" s="11"/>
      <c r="Q98" s="11"/>
      <c r="R98" s="44">
        <f t="shared" si="9"/>
        <v>-57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ht="22.2" customHeight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0</v>
      </c>
      <c r="O100" s="11">
        <f>SUM(O90:O99)</f>
        <v>0</v>
      </c>
      <c r="P100" s="11">
        <f>SUM(P90:P99)</f>
        <v>0</v>
      </c>
      <c r="Q100" s="11">
        <f>SUM(Q90:Q99)</f>
        <v>0</v>
      </c>
      <c r="R100" s="44">
        <f t="shared" si="9"/>
        <v>0</v>
      </c>
    </row>
    <row r="101" spans="2:18" ht="20.399999999999999" customHeight="1" x14ac:dyDescent="0.25">
      <c r="B101" s="67" t="s">
        <v>85</v>
      </c>
      <c r="C101" s="68"/>
      <c r="D101" s="68"/>
      <c r="E101" s="68"/>
      <c r="F101" s="68"/>
      <c r="G101" s="68"/>
      <c r="H101" s="68"/>
      <c r="I101" s="68"/>
      <c r="J101" s="30">
        <f t="shared" si="5"/>
        <v>0</v>
      </c>
      <c r="K101" s="68"/>
      <c r="L101" s="68"/>
      <c r="M101" s="36">
        <f t="shared" si="6"/>
        <v>0</v>
      </c>
      <c r="N101" s="68"/>
      <c r="O101" s="68"/>
      <c r="P101" s="68"/>
      <c r="Q101" s="68"/>
      <c r="R101" s="69"/>
    </row>
    <row r="102" spans="2:18" ht="22.2" customHeight="1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ht="22.2" customHeight="1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ht="22.2" customHeight="1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ht="22.2" customHeight="1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/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ht="22.2" customHeight="1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ht="22.2" customHeight="1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ht="22.2" customHeight="1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ht="22.2" customHeight="1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ht="22.2" customHeight="1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ht="22.2" customHeight="1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ht="22.2" customHeight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67" t="s">
        <v>86</v>
      </c>
      <c r="C113" s="68"/>
      <c r="D113" s="68"/>
      <c r="E113" s="68"/>
      <c r="F113" s="68"/>
      <c r="G113" s="68"/>
      <c r="H113" s="68"/>
      <c r="I113" s="68"/>
      <c r="J113" s="30">
        <f t="shared" si="5"/>
        <v>0</v>
      </c>
      <c r="K113" s="68"/>
      <c r="L113" s="68"/>
      <c r="M113" s="36">
        <f t="shared" si="6"/>
        <v>0</v>
      </c>
      <c r="N113" s="68"/>
      <c r="O113" s="68"/>
      <c r="P113" s="68"/>
      <c r="Q113" s="68"/>
      <c r="R113" s="69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0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40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0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0</v>
      </c>
      <c r="N115" s="11"/>
      <c r="O115" s="11"/>
      <c r="P115" s="11"/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1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1</v>
      </c>
      <c r="I120" s="30">
        <f>'เย็น '!I120+'เช้า '!I120+บ่าย!I120</f>
        <v>0</v>
      </c>
      <c r="J120" s="30">
        <f t="shared" si="5"/>
        <v>1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2</v>
      </c>
      <c r="N120" s="11"/>
      <c r="O120" s="11"/>
      <c r="P120" s="11"/>
      <c r="Q120" s="11"/>
      <c r="R120" s="44">
        <f t="shared" si="11"/>
        <v>-2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0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22</v>
      </c>
      <c r="E123" s="30">
        <f>'เย็น '!E123+'เช้า '!E123+บ่าย!E123</f>
        <v>12</v>
      </c>
      <c r="F123" s="30">
        <f>'เย็น '!F123+'เช้า '!F123+บ่าย!F123</f>
        <v>1</v>
      </c>
      <c r="G123" s="30">
        <f>'เย็น '!G123+'เช้า '!G123+บ่าย!G123</f>
        <v>187</v>
      </c>
      <c r="H123" s="30">
        <f>'เย็น '!H123+'เช้า '!H123+บ่าย!H123</f>
        <v>221</v>
      </c>
      <c r="I123" s="30">
        <f>'เย็น '!I123+'เช้า '!I123+บ่าย!I123</f>
        <v>0</v>
      </c>
      <c r="J123" s="30">
        <f t="shared" si="5"/>
        <v>408</v>
      </c>
      <c r="K123" s="30">
        <f>'เย็น '!J123+'เช้า '!J123+บ่าย!J123</f>
        <v>0</v>
      </c>
      <c r="L123" s="30">
        <f>'เย็น '!K123+'เช้า '!K123+บ่าย!K123</f>
        <v>0</v>
      </c>
      <c r="M123" s="36">
        <f t="shared" si="6"/>
        <v>443</v>
      </c>
      <c r="N123" s="11"/>
      <c r="O123" s="11"/>
      <c r="P123" s="11"/>
      <c r="Q123" s="11"/>
      <c r="R123" s="44">
        <f t="shared" si="11"/>
        <v>-443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6</v>
      </c>
      <c r="E124" s="30">
        <f>'เย็น '!E124+'เช้า '!E124+บ่าย!E124</f>
        <v>3</v>
      </c>
      <c r="F124" s="30">
        <f>'เย็น '!F124+'เช้า '!F124+บ่าย!F124</f>
        <v>1</v>
      </c>
      <c r="G124" s="30">
        <f>'เย็น '!G124+'เช้า '!G124+บ่าย!G124</f>
        <v>134</v>
      </c>
      <c r="H124" s="30">
        <f>'เย็น '!H124+'เช้า '!H124+บ่าย!H124</f>
        <v>175</v>
      </c>
      <c r="I124" s="30">
        <f>'เย็น '!I124+'เช้า '!I124+บ่าย!I124</f>
        <v>0</v>
      </c>
      <c r="J124" s="30">
        <f t="shared" si="5"/>
        <v>309</v>
      </c>
      <c r="K124" s="30">
        <f>'เย็น '!J124+'เช้า '!J124+บ่าย!J124</f>
        <v>0</v>
      </c>
      <c r="L124" s="30">
        <f>'เย็น '!K124+'เช้า '!K124+บ่าย!K124</f>
        <v>0</v>
      </c>
      <c r="M124" s="36">
        <f t="shared" si="6"/>
        <v>319</v>
      </c>
      <c r="N124" s="11"/>
      <c r="O124" s="11"/>
      <c r="P124" s="11"/>
      <c r="Q124" s="11"/>
      <c r="R124" s="44">
        <f t="shared" si="11"/>
        <v>-319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3</v>
      </c>
      <c r="F125" s="30">
        <f>'เย็น '!F125+'เช้า '!F125+บ่าย!F125</f>
        <v>1</v>
      </c>
      <c r="G125" s="30">
        <f>'เย็น '!G125+'เช้า '!G125+บ่าย!G125</f>
        <v>133</v>
      </c>
      <c r="H125" s="30">
        <f>'เย็น '!H125+'เช้า '!H125+บ่าย!H125</f>
        <v>172</v>
      </c>
      <c r="I125" s="30">
        <f>'เย็น '!I125+'เช้า '!I125+บ่าย!I125</f>
        <v>0</v>
      </c>
      <c r="J125" s="30">
        <f t="shared" si="5"/>
        <v>305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6"/>
        <v>309</v>
      </c>
      <c r="N125" s="11"/>
      <c r="O125" s="11"/>
      <c r="P125" s="11"/>
      <c r="Q125" s="11"/>
      <c r="R125" s="44">
        <f t="shared" si="11"/>
        <v>-309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3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1</v>
      </c>
      <c r="I126" s="30">
        <f>'เย็น '!I126+'เช้า '!I126+บ่าย!I126</f>
        <v>0</v>
      </c>
      <c r="J126" s="30">
        <f t="shared" si="5"/>
        <v>1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6"/>
        <v>4</v>
      </c>
      <c r="N126" s="11"/>
      <c r="O126" s="11"/>
      <c r="P126" s="11"/>
      <c r="Q126" s="11"/>
      <c r="R126" s="44">
        <f t="shared" si="11"/>
        <v>-4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1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1</v>
      </c>
      <c r="N135" s="11"/>
      <c r="O135" s="11"/>
      <c r="P135" s="11"/>
      <c r="Q135" s="11"/>
      <c r="R135" s="44">
        <f t="shared" si="11"/>
        <v>-1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1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0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0" si="13">+D136+E136+F136+J136+K136+L136</f>
        <v>1</v>
      </c>
      <c r="N136" s="11"/>
      <c r="O136" s="11"/>
      <c r="P136" s="11"/>
      <c r="Q136" s="11"/>
      <c r="R136" s="44">
        <f t="shared" si="11"/>
        <v>-1</v>
      </c>
    </row>
    <row r="137" spans="2:18" x14ac:dyDescent="0.25">
      <c r="B137" s="22">
        <v>20052721</v>
      </c>
      <c r="C137" s="21" t="s">
        <v>142</v>
      </c>
      <c r="D137" s="30">
        <f>'เย็น '!D137+'เช้า '!D137+บ่าย!D137</f>
        <v>12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3"/>
        <v>12</v>
      </c>
      <c r="N137" s="11"/>
      <c r="O137" s="11"/>
      <c r="P137" s="11"/>
      <c r="Q137" s="11"/>
      <c r="R137" s="44">
        <f t="shared" si="11"/>
        <v>-12</v>
      </c>
    </row>
    <row r="138" spans="2:18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ht="40.5" customHeight="1" x14ac:dyDescent="0.25">
      <c r="C141" s="35"/>
      <c r="D141" s="36">
        <f>SUM(D114:D140,D90:D99,D79:D87,D69:D76,D7:D66,D102:D111)</f>
        <v>143</v>
      </c>
      <c r="E141" s="36">
        <f t="shared" ref="E141:L141" si="14">SUM(E114:E140,E90:E99,E79:E87,E69:E76,E7:E66,E102:E111)</f>
        <v>68</v>
      </c>
      <c r="F141" s="36">
        <f t="shared" si="14"/>
        <v>50</v>
      </c>
      <c r="G141" s="36">
        <f t="shared" si="14"/>
        <v>968</v>
      </c>
      <c r="H141" s="36">
        <f t="shared" si="14"/>
        <v>761</v>
      </c>
      <c r="I141" s="36">
        <f t="shared" si="14"/>
        <v>0</v>
      </c>
      <c r="J141" s="36"/>
      <c r="K141" s="36">
        <f t="shared" si="14"/>
        <v>0</v>
      </c>
      <c r="L141" s="36">
        <f t="shared" si="14"/>
        <v>5</v>
      </c>
      <c r="M141" s="36">
        <f>SUM(M114:M140,M90:M99,M79:M87,M69:M76,M7:M66,M102:M111)</f>
        <v>1995</v>
      </c>
      <c r="N141" s="36">
        <f>SUM(N114:N140,N90:N99,N79:N87,N69:N76,N7:N66,N102:N111)</f>
        <v>0</v>
      </c>
      <c r="O141" s="36">
        <f t="shared" ref="O141" si="15">SUM(O114:O140,O90:O99,O79:O87,O69:O76,O7:O66,O102:O111)</f>
        <v>0</v>
      </c>
      <c r="P141" s="36">
        <f t="shared" ref="P141" si="16">SUM(P114:P140,P90:P99,P79:P87,P69:P76,P7:P66,P102:P111)</f>
        <v>0</v>
      </c>
      <c r="Q141" s="36">
        <f t="shared" ref="Q141" si="17">SUM(Q114:Q140,Q90:Q99,Q79:Q87,Q69:Q76,Q7:Q66,Q102:Q111)</f>
        <v>0</v>
      </c>
      <c r="R141" s="36">
        <f t="shared" ref="R141" si="18">SUM(R114:R140,R90:R99,R79:R87,R69:R76,R7:R66,R102:R111)</f>
        <v>-1995</v>
      </c>
    </row>
    <row r="142" spans="2:18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 x14ac:dyDescent="0.25">
      <c r="C144" s="24"/>
      <c r="D144" s="31"/>
      <c r="E144" s="31"/>
      <c r="F144" s="31"/>
      <c r="G144" s="26"/>
      <c r="M144" s="40"/>
    </row>
    <row r="145" spans="2:13" x14ac:dyDescent="0.25">
      <c r="B145" s="31" t="s">
        <v>104</v>
      </c>
      <c r="C145" s="31"/>
      <c r="D145" s="32"/>
      <c r="E145" s="32"/>
      <c r="F145" s="32"/>
      <c r="G145" s="27"/>
      <c r="H145" s="26"/>
      <c r="I145" s="31" t="s">
        <v>104</v>
      </c>
      <c r="J145" s="31"/>
      <c r="K145" s="31"/>
      <c r="L145" s="31"/>
      <c r="M145" s="31"/>
    </row>
    <row r="146" spans="2:13" x14ac:dyDescent="0.25">
      <c r="B146" s="32" t="s">
        <v>105</v>
      </c>
      <c r="C146" s="32"/>
      <c r="D146" s="33"/>
      <c r="E146" s="33"/>
      <c r="F146" s="33"/>
      <c r="G146" s="33"/>
      <c r="H146" s="33"/>
      <c r="I146" s="32" t="s">
        <v>106</v>
      </c>
      <c r="J146" s="32"/>
      <c r="K146" s="32"/>
      <c r="L146" s="32"/>
      <c r="M146" s="32"/>
    </row>
    <row r="147" spans="2:13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2025-04-16T00:47:29Z</cp:lastPrinted>
  <dcterms:created xsi:type="dcterms:W3CDTF">2024-04-30T05:21:27Z</dcterms:created>
  <dcterms:modified xsi:type="dcterms:W3CDTF">2025-04-20T03:49:58Z</dcterms:modified>
</cp:coreProperties>
</file>