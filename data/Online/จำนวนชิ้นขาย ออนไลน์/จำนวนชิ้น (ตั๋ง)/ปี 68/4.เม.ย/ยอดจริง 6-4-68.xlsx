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1F616B22-33CD-4AAE-B0E0-4D661BD3D751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4" i="5" l="1"/>
  <c r="I54" i="5"/>
  <c r="Q128" i="5" l="1"/>
  <c r="Q129" i="5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Q139" i="5"/>
  <c r="L140" i="5"/>
  <c r="Q140" i="5" s="1"/>
  <c r="L130" i="5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<sst xmlns="http://schemas.openxmlformats.org/spreadsheetml/2006/main" count="617" uniqueCount="146">
  <si>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</si>
  <si>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</si>
  <si>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</si>
  <si>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</si>
  <si>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</si>
  <si>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</si>
  <si>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</si>
  <si>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</si>
  <si>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</si>
  <si>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</si>
  <si>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</si>
  <si>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</si>
  <si>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</si>
  <si>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</si>
  <si>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</si>
  <si>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</si>
  <si>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</si>
  <si>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</si>
  <si>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</si>
  <si>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</si>
  <si>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</si>
  <si>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</si>
  <si>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</si>
  <si>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</si>
  <si>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</si>
  <si>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</si>
  <si>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</si>
  <si>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</si>
  <si>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</si>
  <si>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</si>
  <si>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</si>
  <si>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</si>
  <si>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</si>
  <si>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</si>
  <si>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</si>
  <si>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</si>
  <si>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</si>
  <si>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</si>
  <si>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</si>
  <si>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</si>
  <si>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</si>
  <si>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</si>
  <si>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</si>
  <si>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</si>
  <si>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</si>
  <si>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</si>
  <si>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</si>
  <si>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</si>
  <si>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</si>
  <si>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</si>
  <si>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</si>
  <si>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</si>
  <si>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</si>
  <si>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</si>
  <si>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</si>
  <si>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</si>
  <si>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</si>
  <si>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</si>
  <si>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</si>
  <si>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</si>
  <si>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</si>
  <si>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</si>
  <si>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</si>
  <si>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</si>
  <si>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</si>
  <si>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</si>
  <si>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</si>
  <si>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</si>
  <si>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</si>
  <si>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</si>
  <si>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</si>
  <si>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</si>
  <si>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</si>
  <si>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</si>
  <si>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</si>
  <si>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</si>
  <si>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</si>
  <si>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</si>
  <si>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</si>
  <si>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</si>
  <si>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</si>
  <si>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</si>
  <si>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</si>
  <si>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</si>
  <si>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</si>
  <si>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</si>
  <si>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</si>
  <si>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</si>
  <si>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</si>
  <si>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</si>
  <si>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</si>
  <si>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</si>
  <si>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</si>
  <si>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</si>
  <si>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</si>
  <si>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</si>
  <si>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</si>
  <si>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</si>
  <si>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</si>
  <si>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</si>
  <si>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</si>
  <si>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</si>
  <si>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</si>
  <si>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</si>
  <si>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</si>
  <si>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</si>
  <si>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</si>
  <si>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</si>
  <si>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</si>
  <si>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</si>
  <si>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</si>
  <si>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</si>
  <si>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</si>
  <si>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</si>
  <si>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</si>
  <si>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</si>
  <si>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</si>
  <si>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</si>
  <si>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</si>
  <si>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</si>
  <si>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</si>
  <si>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</si>
  <si>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</si>
  <si>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</si>
  <si>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</si>
  <si>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</si>
  <si>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</si>
  <si>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</si>
  <si>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</si>
  <si>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</si>
  <si>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</si>
  <si>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</si>
  <si>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</si>
  <si>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</si>
  <si>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</si>
  <si>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</si>
  <si>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</si>
  <si>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</si>
  <si>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</si>
  <si>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</si>
  <si>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</si>
  <si>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</si>
  <si>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</si>
  <si>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</si>
  <si>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6/4/2568 รวม</t>
  </si>
  <si>
    <t>ยอดจริง ออนไลน์ วันที่ 6/4/2568เช้า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</si>
</sst>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0" zoomScale="60" zoomScaleNormal="60" workbookViewId="0">
      <selection activeCell="G95" sqref="G9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2</v>
      </c>
      <c r="E7" s="30">
        <v>74</v>
      </c>
      <c r="F7" s="30">
        <v>80</v>
      </c>
      <c r="G7" s="30">
        <v>16</v>
      </c>
      <c r="H7" s="30"/>
      <c r="I7" s="30"/>
      <c r="J7" s="43"/>
      <c r="K7" s="43"/>
      <c r="L7" s="36">
        <f>SUM(D7:K7)</f>
        <v>172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31</v>
      </c>
      <c r="F25" s="30">
        <v>12</v>
      </c>
      <c r="G25" s="30">
        <v>7</v>
      </c>
      <c r="H25" s="30"/>
      <c r="I25" s="30"/>
      <c r="J25" s="43"/>
      <c r="K25" s="43"/>
      <c r="L25" s="36">
        <f t="shared" si="0"/>
        <v>50</v>
      </c>
    </row>
    <row r="26" spans="2:12" x14ac:dyDescent="0.25">
      <c r="B26" s="11">
        <v>1004055</v>
      </c>
      <c r="C26" s="15" t="s">
        <v>108</v>
      </c>
      <c r="D26" s="30"/>
      <c r="E26" s="30">
        <v>24</v>
      </c>
      <c r="F26" s="30"/>
      <c r="G26" s="30">
        <v>66</v>
      </c>
      <c r="H26" s="30"/>
      <c r="I26" s="30"/>
      <c r="J26" s="43"/>
      <c r="K26" s="43"/>
      <c r="L26" s="36">
        <f t="shared" si="0"/>
        <v>90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 x14ac:dyDescent="0.25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5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5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5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 x14ac:dyDescent="0.25">
      <c r="B45" s="11">
        <v>1111062</v>
      </c>
      <c r="C45" s="15" t="s">
        <v>35</v>
      </c>
      <c r="D45" s="30"/>
      <c r="E45" s="30">
        <v>3</v>
      </c>
      <c r="F45" s="30"/>
      <c r="G45" s="30"/>
      <c r="H45" s="30"/>
      <c r="I45" s="30"/>
      <c r="J45" s="43"/>
      <c r="K45" s="43"/>
      <c r="L45" s="36">
        <f t="shared" si="0"/>
        <v>3</v>
      </c>
    </row>
    <row r="46" spans="2:12" x14ac:dyDescent="0.25">
      <c r="B46" s="11">
        <v>1111063</v>
      </c>
      <c r="C46" s="15" t="s">
        <v>36</v>
      </c>
      <c r="D46" s="30"/>
      <c r="E46" s="30">
        <v>3</v>
      </c>
      <c r="F46" s="30"/>
      <c r="G46" s="30"/>
      <c r="H46" s="30"/>
      <c r="I46" s="30"/>
      <c r="J46" s="43"/>
      <c r="K46" s="43"/>
      <c r="L46" s="36">
        <f t="shared" si="0"/>
        <v>3</v>
      </c>
    </row>
    <row r="47" spans="2:12" x14ac:dyDescent="0.25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43"/>
      <c r="K47" s="43"/>
      <c r="L47" s="36">
        <f t="shared" si="0"/>
        <v>3</v>
      </c>
    </row>
    <row r="48" spans="2:12" x14ac:dyDescent="0.25">
      <c r="B48" s="11">
        <v>1111065</v>
      </c>
      <c r="C48" s="15" t="s">
        <v>38</v>
      </c>
      <c r="D48" s="30"/>
      <c r="E48" s="30">
        <v>3</v>
      </c>
      <c r="F48" s="30"/>
      <c r="G48" s="30"/>
      <c r="H48" s="30"/>
      <c r="I48" s="30"/>
      <c r="J48" s="43"/>
      <c r="K48" s="43"/>
      <c r="L48" s="36">
        <f t="shared" si="0"/>
        <v>3</v>
      </c>
    </row>
    <row r="49" spans="2:12" x14ac:dyDescent="0.25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43"/>
      <c r="K49" s="43"/>
      <c r="L49" s="36">
        <f t="shared" si="0"/>
        <v>3</v>
      </c>
    </row>
    <row r="50" spans="2:12" x14ac:dyDescent="0.25">
      <c r="B50" s="11">
        <v>1111067</v>
      </c>
      <c r="C50" s="15" t="s">
        <v>40</v>
      </c>
      <c r="D50" s="30"/>
      <c r="E50" s="30">
        <v>3</v>
      </c>
      <c r="F50" s="30"/>
      <c r="G50" s="30"/>
      <c r="H50" s="30"/>
      <c r="I50" s="30"/>
      <c r="J50" s="43"/>
      <c r="K50" s="43"/>
      <c r="L50" s="36">
        <f t="shared" si="0"/>
        <v>3</v>
      </c>
    </row>
    <row r="51" spans="2:12" x14ac:dyDescent="0.25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 x14ac:dyDescent="0.25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352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>
        <v>14</v>
      </c>
      <c r="F69" s="30">
        <v>2</v>
      </c>
      <c r="G69" s="30">
        <v>3</v>
      </c>
      <c r="H69" s="30"/>
      <c r="I69" s="30"/>
      <c r="J69" s="43"/>
      <c r="K69" s="43"/>
      <c r="L69" s="36">
        <f t="shared" ref="L69:L76" si="1">SUM(D69:K69)</f>
        <v>19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18</v>
      </c>
      <c r="F87" s="30"/>
      <c r="G87" s="30">
        <v>36</v>
      </c>
      <c r="H87" s="30"/>
      <c r="I87" s="30"/>
      <c r="J87" s="43"/>
      <c r="K87" s="43"/>
      <c r="L87" s="36">
        <f t="shared" si="2"/>
        <v>54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54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</v>
      </c>
      <c r="E90" s="30">
        <v>5</v>
      </c>
      <c r="F90" s="30">
        <v>2</v>
      </c>
      <c r="G90" s="30">
        <v>36</v>
      </c>
      <c r="H90" s="30"/>
      <c r="I90" s="30"/>
      <c r="J90" s="43"/>
      <c r="K90" s="43">
        <v>2</v>
      </c>
      <c r="L90" s="36">
        <f t="shared" ref="L90:L99" si="3">SUM(D90:K90)</f>
        <v>46</v>
      </c>
    </row>
    <row r="91" spans="2:12" x14ac:dyDescent="0.25">
      <c r="B91" s="11">
        <v>1112011</v>
      </c>
      <c r="C91" s="19" t="s">
        <v>76</v>
      </c>
      <c r="D91" s="30">
        <v>1</v>
      </c>
      <c r="E91" s="30">
        <v>6</v>
      </c>
      <c r="F91" s="30">
        <v>10</v>
      </c>
      <c r="G91" s="30">
        <v>50</v>
      </c>
      <c r="H91" s="30"/>
      <c r="I91" s="30"/>
      <c r="J91" s="43"/>
      <c r="K91" s="43">
        <v>3</v>
      </c>
      <c r="L91" s="36">
        <f t="shared" si="3"/>
        <v>70</v>
      </c>
    </row>
    <row r="92" spans="2:12" x14ac:dyDescent="0.25">
      <c r="B92" s="11">
        <v>1112003</v>
      </c>
      <c r="C92" s="19" t="s">
        <v>77</v>
      </c>
      <c r="D92" s="30"/>
      <c r="E92" s="30">
        <v>5</v>
      </c>
      <c r="F92" s="30">
        <v>2</v>
      </c>
      <c r="G92" s="30">
        <v>36</v>
      </c>
      <c r="H92" s="30"/>
      <c r="I92" s="30"/>
      <c r="J92" s="43"/>
      <c r="K92" s="43">
        <v>2</v>
      </c>
      <c r="L92" s="36">
        <f t="shared" si="3"/>
        <v>45</v>
      </c>
    </row>
    <row r="93" spans="2:12" x14ac:dyDescent="0.25">
      <c r="B93" s="11">
        <v>1112005</v>
      </c>
      <c r="C93" s="19" t="s">
        <v>78</v>
      </c>
      <c r="D93" s="30"/>
      <c r="E93" s="30">
        <v>5</v>
      </c>
      <c r="F93" s="30">
        <v>2</v>
      </c>
      <c r="G93" s="30">
        <v>22</v>
      </c>
      <c r="H93" s="30"/>
      <c r="I93" s="30"/>
      <c r="J93" s="43"/>
      <c r="K93" s="43">
        <v>2</v>
      </c>
      <c r="L93" s="36">
        <f t="shared" si="3"/>
        <v>31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>
        <v>5</v>
      </c>
      <c r="F97" s="30">
        <v>2</v>
      </c>
      <c r="G97" s="30">
        <v>36</v>
      </c>
      <c r="H97" s="30"/>
      <c r="I97" s="30"/>
      <c r="J97" s="43"/>
      <c r="K97" s="43">
        <v>3</v>
      </c>
      <c r="L97" s="36">
        <f t="shared" si="3"/>
        <v>46</v>
      </c>
    </row>
    <row r="98" spans="2:12" x14ac:dyDescent="0.25">
      <c r="B98" s="11">
        <v>1112013</v>
      </c>
      <c r="C98" s="19" t="s">
        <v>83</v>
      </c>
      <c r="D98" s="30"/>
      <c r="E98" s="30">
        <v>5</v>
      </c>
      <c r="F98" s="30">
        <v>2</v>
      </c>
      <c r="G98" s="30">
        <v>36</v>
      </c>
      <c r="H98" s="30"/>
      <c r="I98" s="30"/>
      <c r="J98" s="43"/>
      <c r="K98" s="43">
        <v>3</v>
      </c>
      <c r="L98" s="36">
        <f t="shared" si="3"/>
        <v>46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284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>
        <v>15</v>
      </c>
      <c r="L115" s="36">
        <f t="shared" si="5"/>
        <v>15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>
        <v>35</v>
      </c>
      <c r="L116" s="36">
        <f t="shared" si="5"/>
        <v>35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>
        <v>6</v>
      </c>
      <c r="F121" s="30"/>
      <c r="G121" s="30"/>
      <c r="H121" s="30"/>
      <c r="I121" s="30"/>
      <c r="J121" s="43"/>
      <c r="K121" s="43"/>
      <c r="L121" s="36">
        <f t="shared" si="5"/>
        <v>6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27</v>
      </c>
      <c r="F123" s="30">
        <v>8</v>
      </c>
      <c r="G123" s="30">
        <v>127</v>
      </c>
      <c r="H123" s="30"/>
      <c r="I123" s="30"/>
      <c r="J123" s="43"/>
      <c r="K123" s="43"/>
      <c r="L123" s="36">
        <f t="shared" si="5"/>
        <v>162</v>
      </c>
    </row>
    <row r="124" spans="2:12" x14ac:dyDescent="0.25">
      <c r="B124" s="11">
        <v>1114502</v>
      </c>
      <c r="C124" s="21" t="s">
        <v>96</v>
      </c>
      <c r="D124" s="30"/>
      <c r="E124" s="30">
        <v>4</v>
      </c>
      <c r="F124" s="30">
        <v>3</v>
      </c>
      <c r="G124" s="30">
        <v>104</v>
      </c>
      <c r="H124" s="30"/>
      <c r="I124" s="30"/>
      <c r="J124" s="43"/>
      <c r="K124" s="43"/>
      <c r="L124" s="36">
        <f t="shared" si="5"/>
        <v>111</v>
      </c>
    </row>
    <row r="125" spans="2:12" x14ac:dyDescent="0.25">
      <c r="B125" s="11">
        <v>1114503</v>
      </c>
      <c r="C125" s="21" t="s">
        <v>97</v>
      </c>
      <c r="D125" s="30"/>
      <c r="E125" s="30">
        <v>5</v>
      </c>
      <c r="F125" s="30">
        <v>1</v>
      </c>
      <c r="G125" s="30">
        <v>103</v>
      </c>
      <c r="H125" s="30"/>
      <c r="I125" s="30"/>
      <c r="J125" s="43"/>
      <c r="K125" s="43"/>
      <c r="L125" s="36">
        <f t="shared" si="5"/>
        <v>109</v>
      </c>
    </row>
    <row r="126" spans="2:12" x14ac:dyDescent="0.25">
      <c r="B126" s="11">
        <v>1124021</v>
      </c>
      <c r="C126" s="21" t="s">
        <v>98</v>
      </c>
      <c r="D126" s="30">
        <v>4</v>
      </c>
      <c r="E126" s="30">
        <v>16</v>
      </c>
      <c r="F126" s="30">
        <v>8</v>
      </c>
      <c r="G126" s="30">
        <v>10</v>
      </c>
      <c r="H126" s="30"/>
      <c r="I126" s="30"/>
      <c r="J126" s="43"/>
      <c r="K126" s="43"/>
      <c r="L126" s="36">
        <f t="shared" si="5"/>
        <v>38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I51" sqref="I5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  <col min="13" max="13" width="16.09765625" style="23" customWidth="1"/>
    <col min="14" max="15" width="15.3984375" style="23" customWidth="1"/>
    <col min="16" max="16" width="25.3984375" style="23" customWidth="1"/>
    <col min="17" max="17" width="14.3984375" style="28" customWidth="1"/>
    <col min="18" max="18" width="9.09765625" customWidth="1"/>
    <col min="19" max="19" width="7.3984375" customWidth="1"/>
    <col min="20" max="20" width="22.69921875" customWidth="1"/>
  </cols>
  <sheetData>
    <row r="1" spans="2:17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74</v>
      </c>
      <c r="F7" s="30">
        <f>'เย็น '!F7+'เช้า '!F7+บ่าย!F7</f>
        <v>80</v>
      </c>
      <c r="G7" s="30">
        <f>'เย็น '!G7+'เช้า '!G7+บ่าย!G7</f>
        <v>16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172</v>
      </c>
      <c r="M7" s="11"/>
      <c r="N7" s="11">
        <v>99</v>
      </c>
      <c r="O7" s="11"/>
      <c r="P7" s="11">
        <v>35</v>
      </c>
      <c r="Q7" s="44">
        <f>(M7+N7+O7+P7)-L7</f>
        <v>-38</v>
      </c>
    </row>
    <row r="8" spans="2:17" hidden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31</v>
      </c>
      <c r="F25" s="30">
        <f>'เย็น '!F25+'เช้า '!F25+บ่าย!F25</f>
        <v>12</v>
      </c>
      <c r="G25" s="30">
        <f>'เย็น '!G25+'เช้า '!G25+บ่าย!G25</f>
        <v>7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50</v>
      </c>
      <c r="M25" s="11">
        <v>140</v>
      </c>
      <c r="N25" s="11">
        <v>98</v>
      </c>
      <c r="O25" s="11"/>
      <c r="P25" s="11">
        <v>15</v>
      </c>
      <c r="Q25" s="44">
        <f t="shared" si="1"/>
        <v>203</v>
      </c>
    </row>
    <row r="26" spans="2:17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24</v>
      </c>
      <c r="F26" s="30">
        <f>'เย็น '!F26+'เช้า '!F26+บ่าย!F26</f>
        <v>0</v>
      </c>
      <c r="G26" s="30">
        <f>'เย็น '!G26+'เช้า '!G26+บ่าย!G26</f>
        <v>66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90</v>
      </c>
      <c r="M26" s="11"/>
      <c r="N26" s="11"/>
      <c r="O26" s="11"/>
      <c r="P26" s="11">
        <v>30</v>
      </c>
      <c r="Q26" s="44">
        <f t="shared" si="1"/>
        <v>-60</v>
      </c>
    </row>
    <row r="27" spans="2:17" hidden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3</v>
      </c>
      <c r="M44" s="11"/>
      <c r="N44" s="11"/>
      <c r="O44" s="11"/>
      <c r="P44" s="11"/>
      <c r="Q44" s="44">
        <f t="shared" si="1"/>
        <v>-3</v>
      </c>
    </row>
    <row r="45" spans="2:17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3</v>
      </c>
      <c r="M45" s="11"/>
      <c r="N45" s="11"/>
      <c r="O45" s="11"/>
      <c r="P45" s="11"/>
      <c r="Q45" s="44">
        <f t="shared" si="1"/>
        <v>-3</v>
      </c>
    </row>
    <row r="46" spans="2:17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3</v>
      </c>
      <c r="M46" s="11"/>
      <c r="N46" s="11"/>
      <c r="O46" s="11"/>
      <c r="P46" s="11"/>
      <c r="Q46" s="44">
        <f t="shared" si="1"/>
        <v>-3</v>
      </c>
    </row>
    <row r="47" spans="2:17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3</v>
      </c>
      <c r="M47" s="11"/>
      <c r="N47" s="11"/>
      <c r="O47" s="11"/>
      <c r="P47" s="11"/>
      <c r="Q47" s="44">
        <f t="shared" si="1"/>
        <v>-3</v>
      </c>
    </row>
    <row r="48" spans="2:17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3</v>
      </c>
      <c r="M48" s="11"/>
      <c r="N48" s="11"/>
      <c r="O48" s="11"/>
      <c r="P48" s="11"/>
      <c r="Q48" s="44">
        <f t="shared" si="1"/>
        <v>-3</v>
      </c>
    </row>
    <row r="49" spans="2:20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3</v>
      </c>
      <c r="M49" s="11"/>
      <c r="N49" s="11"/>
      <c r="O49" s="11"/>
      <c r="P49" s="11"/>
      <c r="Q49" s="44">
        <f t="shared" si="1"/>
        <v>-3</v>
      </c>
    </row>
    <row r="50" spans="2:20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3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3</v>
      </c>
      <c r="M50" s="11"/>
      <c r="N50" s="11"/>
      <c r="O50" s="11"/>
      <c r="P50" s="11"/>
      <c r="Q50" s="44">
        <f t="shared" si="1"/>
        <v>-3</v>
      </c>
    </row>
    <row r="51" spans="2:20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14</v>
      </c>
      <c r="F69" s="30">
        <f>'เย็น '!F69+'เช้า '!F69+บ่าย!F69</f>
        <v>2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19</v>
      </c>
      <c r="M69" s="11"/>
      <c r="N69" s="11"/>
      <c r="O69" s="11"/>
      <c r="P69" s="11">
        <v>15</v>
      </c>
      <c r="Q69" s="44">
        <f t="shared" ref="Q69:Q76" si="5">(M69+N69+O69+P69)-L69</f>
        <v>-4</v>
      </c>
    </row>
    <row r="70" spans="2:20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18</v>
      </c>
      <c r="F87" s="30">
        <f>'เย็น '!F87+'เช้า '!F87+บ่าย!F87</f>
        <v>0</v>
      </c>
      <c r="G87" s="30">
        <f>'เย็น '!G87+'เช้า '!G87+บ่าย!G87</f>
        <v>36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54</v>
      </c>
      <c r="M87" s="11"/>
      <c r="N87" s="11">
        <v>50</v>
      </c>
      <c r="O87" s="11"/>
      <c r="P87" s="11">
        <v>30</v>
      </c>
      <c r="Q87" s="44">
        <f t="shared" si="8"/>
        <v>26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5</v>
      </c>
      <c r="F90" s="30">
        <f>'เย็น '!F90+'เช้า '!F90+บ่าย!F90</f>
        <v>2</v>
      </c>
      <c r="G90" s="30">
        <f>'เย็น '!G90+'เช้า '!G90+บ่าย!G90</f>
        <v>36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</v>
      </c>
      <c r="L90" s="36">
        <f t="shared" ref="L90:L99" si="9">SUM(D90:K90)</f>
        <v>46</v>
      </c>
      <c r="M90" s="11"/>
      <c r="N90" s="11">
        <v>122</v>
      </c>
      <c r="O90" s="11"/>
      <c r="P90" s="11">
        <v>25</v>
      </c>
      <c r="Q90" s="44">
        <f t="shared" ref="Q90:Q100" si="10">(M90+N90+O90+P90)-L90</f>
        <v>101</v>
      </c>
    </row>
    <row r="91" spans="2:17" x14ac:dyDescent="0.25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6</v>
      </c>
      <c r="F91" s="30">
        <f>'เย็น '!F91+'เช้า '!F91+บ่าย!F91</f>
        <v>10</v>
      </c>
      <c r="G91" s="30">
        <f>'เย็น '!G91+'เช้า '!G91+บ่าย!G91</f>
        <v>50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3</v>
      </c>
      <c r="L91" s="36">
        <f t="shared" si="9"/>
        <v>70</v>
      </c>
      <c r="M91" s="11"/>
      <c r="N91" s="11">
        <v>207</v>
      </c>
      <c r="O91" s="11"/>
      <c r="P91" s="11">
        <v>25</v>
      </c>
      <c r="Q91" s="44">
        <f t="shared" si="10"/>
        <v>162</v>
      </c>
    </row>
    <row r="92" spans="2:17" x14ac:dyDescent="0.25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5</v>
      </c>
      <c r="F92" s="30">
        <f>'เย็น '!F92+'เช้า '!F92+บ่าย!F92</f>
        <v>2</v>
      </c>
      <c r="G92" s="30">
        <f>'เย็น '!G92+'เช้า '!G92+บ่าย!G92</f>
        <v>36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</v>
      </c>
      <c r="L92" s="36">
        <f t="shared" si="9"/>
        <v>45</v>
      </c>
      <c r="M92" s="11"/>
      <c r="N92" s="11">
        <v>152</v>
      </c>
      <c r="O92" s="11"/>
      <c r="P92" s="11">
        <v>25</v>
      </c>
      <c r="Q92" s="44">
        <f t="shared" si="10"/>
        <v>132</v>
      </c>
    </row>
    <row r="93" spans="2:17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5</v>
      </c>
      <c r="F93" s="30">
        <f>'เย็น '!F93+'เช้า '!F93+บ่าย!F93</f>
        <v>2</v>
      </c>
      <c r="G93" s="30">
        <f>'เย็น '!G93+'เช้า '!G93+บ่าย!G93</f>
        <v>22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2</v>
      </c>
      <c r="L93" s="36">
        <f t="shared" si="9"/>
        <v>31</v>
      </c>
      <c r="M93" s="11"/>
      <c r="N93" s="11">
        <v>31</v>
      </c>
      <c r="O93" s="11"/>
      <c r="P93" s="11">
        <v>25</v>
      </c>
      <c r="Q93" s="44">
        <f t="shared" si="10"/>
        <v>25</v>
      </c>
    </row>
    <row r="94" spans="2:17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5</v>
      </c>
      <c r="F97" s="30">
        <f>'เย็น '!F97+'เช้า '!F97+บ่าย!F97</f>
        <v>2</v>
      </c>
      <c r="G97" s="30">
        <f>'เย็น '!G97+'เช้า '!G97+บ่าย!G97</f>
        <v>36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3</v>
      </c>
      <c r="L97" s="36">
        <f t="shared" si="9"/>
        <v>46</v>
      </c>
      <c r="M97" s="11"/>
      <c r="N97" s="11">
        <v>60</v>
      </c>
      <c r="O97" s="11"/>
      <c r="P97" s="11">
        <v>25</v>
      </c>
      <c r="Q97" s="44">
        <f t="shared" si="10"/>
        <v>39</v>
      </c>
    </row>
    <row r="98" spans="2:17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5</v>
      </c>
      <c r="F98" s="30">
        <f>'เย็น '!F98+'เช้า '!F98+บ่าย!F98</f>
        <v>2</v>
      </c>
      <c r="G98" s="30">
        <f>'เย็น '!G98+'เช้า '!G98+บ่าย!G98</f>
        <v>36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46</v>
      </c>
      <c r="M98" s="11"/>
      <c r="N98" s="11">
        <v>78</v>
      </c>
      <c r="O98" s="11"/>
      <c r="P98" s="11">
        <v>25</v>
      </c>
      <c r="Q98" s="44">
        <f t="shared" si="10"/>
        <v>57</v>
      </c>
    </row>
    <row r="99" spans="2:17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284</v>
      </c>
      <c r="M100" s="11">
        <f>SUM(M90:M99)</f>
        <v>0</v>
      </c>
      <c r="N100" s="11">
        <f>SUM(N90:N99)</f>
        <v>650</v>
      </c>
      <c r="O100" s="11">
        <f>SUM(O90:O99)</f>
        <v>0</v>
      </c>
      <c r="P100" s="11">
        <f>SUM(P90:P99)</f>
        <v>150</v>
      </c>
      <c r="Q100" s="44">
        <f t="shared" si="10"/>
        <v>516</v>
      </c>
    </row>
    <row r="101" spans="2:17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>SUM(D114:K114)</f>
        <v>0</v>
      </c>
      <c r="M114" s="11"/>
      <c r="N114" s="11"/>
      <c r="O114" s="11"/>
      <c r="P114" s="11"/>
      <c r="Q114" s="44">
        <f t="shared" ref="Q114:Q140" si="13">(M114+N114+O114+P114)-L114</f>
        <v>0</v>
      </c>
    </row>
    <row r="115" spans="2:17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15</v>
      </c>
      <c r="L115" s="36">
        <f t="shared" ref="L115:L140" si="14">SUM(D115:K115)</f>
        <v>15</v>
      </c>
      <c r="M115" s="11"/>
      <c r="N115" s="11">
        <v>15</v>
      </c>
      <c r="O115" s="11"/>
      <c r="P115" s="11"/>
      <c r="Q115" s="44">
        <f t="shared" si="13"/>
        <v>0</v>
      </c>
    </row>
    <row r="116" spans="2:17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35</v>
      </c>
      <c r="L116" s="36">
        <f t="shared" si="14"/>
        <v>35</v>
      </c>
      <c r="M116" s="11"/>
      <c r="N116" s="11">
        <v>41</v>
      </c>
      <c r="O116" s="11"/>
      <c r="P116" s="11"/>
      <c r="Q116" s="44">
        <f t="shared" si="13"/>
        <v>6</v>
      </c>
    </row>
    <row r="117" spans="2:17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4"/>
        <v>0</v>
      </c>
      <c r="M117" s="11"/>
      <c r="N117" s="11"/>
      <c r="O117" s="11"/>
      <c r="P117" s="11"/>
      <c r="Q117" s="44">
        <f t="shared" si="13"/>
        <v>0</v>
      </c>
    </row>
    <row r="118" spans="2:17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4"/>
        <v>0</v>
      </c>
      <c r="M118" s="11"/>
      <c r="N118" s="11"/>
      <c r="O118" s="11"/>
      <c r="P118" s="11"/>
      <c r="Q118" s="44">
        <f t="shared" si="13"/>
        <v>0</v>
      </c>
    </row>
    <row r="119" spans="2:17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4"/>
        <v>0</v>
      </c>
      <c r="M119" s="11"/>
      <c r="N119" s="11"/>
      <c r="O119" s="11"/>
      <c r="P119" s="11"/>
      <c r="Q119" s="44">
        <f t="shared" si="13"/>
        <v>0</v>
      </c>
    </row>
    <row r="120" spans="2:17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4"/>
        <v>0</v>
      </c>
      <c r="M120" s="11"/>
      <c r="N120" s="11"/>
      <c r="O120" s="11"/>
      <c r="P120" s="11"/>
      <c r="Q120" s="44">
        <f t="shared" si="13"/>
        <v>0</v>
      </c>
    </row>
    <row r="121" spans="2:17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6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4"/>
        <v>6</v>
      </c>
      <c r="M121" s="11"/>
      <c r="N121" s="11"/>
      <c r="O121" s="11"/>
      <c r="P121" s="11"/>
      <c r="Q121" s="44">
        <f t="shared" si="13"/>
        <v>-6</v>
      </c>
    </row>
    <row r="122" spans="2:17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4"/>
        <v>0</v>
      </c>
      <c r="M122" s="11"/>
      <c r="N122" s="11"/>
      <c r="O122" s="11"/>
      <c r="P122" s="11"/>
      <c r="Q122" s="44">
        <f t="shared" si="13"/>
        <v>0</v>
      </c>
    </row>
    <row r="123" spans="2:17" x14ac:dyDescent="0.25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27</v>
      </c>
      <c r="F123" s="30">
        <f>'เย็น '!F123+'เช้า '!F123+บ่าย!F123</f>
        <v>8</v>
      </c>
      <c r="G123" s="30">
        <f>'เย็น '!G123+'เช้า '!G123+บ่าย!G123</f>
        <v>127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4"/>
        <v>162</v>
      </c>
      <c r="M123" s="11"/>
      <c r="N123" s="11">
        <v>289</v>
      </c>
      <c r="O123" s="11"/>
      <c r="P123" s="11">
        <v>150</v>
      </c>
      <c r="Q123" s="44">
        <f t="shared" si="13"/>
        <v>277</v>
      </c>
    </row>
    <row r="124" spans="2:17" x14ac:dyDescent="0.25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4</v>
      </c>
      <c r="F124" s="30">
        <f>'เย็น '!F124+'เช้า '!F124+บ่าย!F124</f>
        <v>3</v>
      </c>
      <c r="G124" s="30">
        <f>'เย็น '!G124+'เช้า '!G124+บ่าย!G124</f>
        <v>104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4"/>
        <v>111</v>
      </c>
      <c r="M124" s="11">
        <v>1</v>
      </c>
      <c r="N124" s="11">
        <v>271</v>
      </c>
      <c r="O124" s="11"/>
      <c r="P124" s="11">
        <v>125</v>
      </c>
      <c r="Q124" s="44">
        <f t="shared" si="13"/>
        <v>286</v>
      </c>
    </row>
    <row r="125" spans="2:17" x14ac:dyDescent="0.25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5</v>
      </c>
      <c r="F125" s="30">
        <f>'เย็น '!F125+'เช้า '!F125+บ่าย!F125</f>
        <v>1</v>
      </c>
      <c r="G125" s="30">
        <f>'เย็น '!G125+'เช้า '!G125+บ่าย!G125</f>
        <v>103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4"/>
        <v>109</v>
      </c>
      <c r="M125" s="11"/>
      <c r="N125" s="11">
        <v>56</v>
      </c>
      <c r="O125" s="11"/>
      <c r="P125" s="11">
        <v>100</v>
      </c>
      <c r="Q125" s="44">
        <f t="shared" si="13"/>
        <v>47</v>
      </c>
    </row>
    <row r="126" spans="2:17" x14ac:dyDescent="0.25">
      <c r="B126" s="11">
        <v>1124021</v>
      </c>
      <c r="C126" s="21" t="s">
        <v>98</v>
      </c>
      <c r="D126" s="30">
        <f>'เย็น '!D126+'เช้า '!D126+บ่าย!D126</f>
        <v>4</v>
      </c>
      <c r="E126" s="30">
        <f>'เย็น '!E126+'เช้า '!E126+บ่าย!E126</f>
        <v>16</v>
      </c>
      <c r="F126" s="30">
        <f>'เย็น '!F126+'เช้า '!F126+บ่าย!F126</f>
        <v>8</v>
      </c>
      <c r="G126" s="30">
        <f>'เย็น '!G126+'เช้า '!G126+บ่าย!G126</f>
        <v>10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4"/>
        <v>38</v>
      </c>
      <c r="M126" s="11"/>
      <c r="N126" s="11">
        <v>144</v>
      </c>
      <c r="O126" s="11"/>
      <c r="P126" s="11">
        <v>25</v>
      </c>
      <c r="Q126" s="44">
        <f t="shared" si="13"/>
        <v>131</v>
      </c>
    </row>
    <row r="127" spans="2:17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4"/>
        <v>0</v>
      </c>
      <c r="M127" s="11"/>
      <c r="N127" s="11"/>
      <c r="O127" s="11"/>
      <c r="P127" s="11"/>
      <c r="Q127" s="44">
        <f t="shared" si="13"/>
        <v>0</v>
      </c>
    </row>
    <row r="128" spans="2:17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4"/>
        <v>0</v>
      </c>
      <c r="M128" s="11"/>
      <c r="N128" s="11"/>
      <c r="O128" s="11"/>
      <c r="P128" s="11"/>
      <c r="Q128" s="44">
        <f t="shared" si="13"/>
        <v>0</v>
      </c>
    </row>
    <row r="129" spans="2:17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4"/>
        <v>0</v>
      </c>
      <c r="M129" s="11"/>
      <c r="N129" s="11"/>
      <c r="O129" s="11"/>
      <c r="P129" s="11"/>
      <c r="Q129" s="44">
        <f t="shared" si="13"/>
        <v>0</v>
      </c>
    </row>
    <row r="130" spans="2:17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4"/>
        <v>0</v>
      </c>
      <c r="M130" s="11"/>
      <c r="N130" s="11"/>
      <c r="O130" s="11"/>
      <c r="P130" s="11"/>
      <c r="Q130" s="44">
        <f t="shared" si="13"/>
        <v>0</v>
      </c>
    </row>
    <row r="131" spans="2:17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4"/>
        <v>0</v>
      </c>
      <c r="M131" s="11"/>
      <c r="N131" s="11"/>
      <c r="O131" s="11"/>
      <c r="P131" s="11"/>
      <c r="Q131" s="44">
        <f t="shared" si="13"/>
        <v>0</v>
      </c>
    </row>
    <row r="132" spans="2:17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4"/>
        <v>0</v>
      </c>
      <c r="M132" s="11"/>
      <c r="N132" s="11"/>
      <c r="O132" s="11"/>
      <c r="P132" s="11"/>
      <c r="Q132" s="44">
        <f t="shared" si="13"/>
        <v>0</v>
      </c>
    </row>
    <row r="133" spans="2:17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4"/>
        <v>0</v>
      </c>
      <c r="M133" s="11"/>
      <c r="N133" s="11"/>
      <c r="O133" s="11"/>
      <c r="P133" s="11"/>
      <c r="Q133" s="44">
        <f t="shared" si="13"/>
        <v>0</v>
      </c>
    </row>
    <row r="134" spans="2:17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4"/>
        <v>0</v>
      </c>
      <c r="M134" s="11"/>
      <c r="N134" s="11"/>
      <c r="O134" s="11"/>
      <c r="P134" s="11"/>
      <c r="Q134" s="44">
        <f t="shared" si="13"/>
        <v>0</v>
      </c>
    </row>
    <row r="135" spans="2:17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4"/>
        <v>0</v>
      </c>
      <c r="M135" s="11"/>
      <c r="N135" s="11"/>
      <c r="O135" s="11"/>
      <c r="P135" s="11"/>
      <c r="Q135" s="44">
        <f t="shared" si="13"/>
        <v>0</v>
      </c>
    </row>
    <row r="136" spans="2:17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4"/>
        <v>0</v>
      </c>
      <c r="M136" s="11"/>
      <c r="N136" s="11"/>
      <c r="O136" s="11"/>
      <c r="P136" s="11"/>
      <c r="Q136" s="44">
        <f t="shared" si="13"/>
        <v>0</v>
      </c>
    </row>
    <row r="137" spans="2:17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4"/>
        <v>0</v>
      </c>
      <c r="M137" s="11">
        <v>120</v>
      </c>
      <c r="N137" s="11"/>
      <c r="O137" s="11"/>
      <c r="P137" s="11"/>
      <c r="Q137" s="44">
        <f t="shared" si="13"/>
        <v>120</v>
      </c>
    </row>
    <row r="138" spans="2:17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4"/>
        <v>0</v>
      </c>
      <c r="M138" s="11"/>
      <c r="N138" s="11"/>
      <c r="O138" s="11"/>
      <c r="P138" s="11"/>
      <c r="Q138" s="44">
        <f t="shared" si="13"/>
        <v>0</v>
      </c>
    </row>
    <row r="139" spans="2:17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4"/>
        <v>0</v>
      </c>
      <c r="M139" s="11"/>
      <c r="N139" s="11"/>
      <c r="O139" s="11"/>
      <c r="P139" s="11"/>
      <c r="Q139" s="44">
        <f t="shared" si="13"/>
        <v>0</v>
      </c>
    </row>
    <row r="140" spans="2:17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4"/>
        <v>0</v>
      </c>
      <c r="M140" s="11"/>
      <c r="N140" s="11"/>
      <c r="O140" s="11"/>
      <c r="P140" s="11"/>
      <c r="Q140" s="44">
        <f t="shared" si="13"/>
        <v>0</v>
      </c>
    </row>
    <row r="141" spans="2:17" ht="40.5" customHeight="1" x14ac:dyDescent="0.25">
      <c r="C141" s="35"/>
      <c r="D141" s="36">
        <f>SUM(D114:D140,D90:D99,D79:D87,D69:D76,D7:D66,D102:D111)</f>
        <v>8</v>
      </c>
      <c r="E141" s="36">
        <f t="shared" ref="E141:K141" si="15">SUM(E114:E140,E90:E99,E79:E87,E69:E76,E7:E66,E102:E111)</f>
        <v>290</v>
      </c>
      <c r="F141" s="36">
        <f t="shared" si="15"/>
        <v>134</v>
      </c>
      <c r="G141" s="36">
        <f t="shared" si="15"/>
        <v>688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65</v>
      </c>
      <c r="L141" s="36">
        <f>SUM(L114:L140,L90:L99,L79:L87,L69:L76,L7:L66,L102:L111)</f>
        <v>1185</v>
      </c>
      <c r="M141" s="36">
        <f>SUM(M114:M140,M90:M99,M79:M87,M69:M76,M7:M66,M102:M111)</f>
        <v>261</v>
      </c>
      <c r="N141" s="36">
        <f t="shared" ref="N141" si="16">SUM(N114:N140,N90:N99,N79:N87,N69:N76,N7:N66,N102:N111)</f>
        <v>1713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675</v>
      </c>
      <c r="Q141" s="36">
        <f t="shared" ref="Q141" si="19">SUM(Q114:Q140,Q90:Q99,Q79:Q87,Q69:Q76,Q7:Q66,Q102:Q111)</f>
        <v>1464</v>
      </c>
    </row>
    <row r="142" spans="2:17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5">
      <c r="C144" s="24"/>
      <c r="D144" s="31"/>
      <c r="E144" s="61"/>
      <c r="F144" s="61"/>
      <c r="G144" s="26"/>
      <c r="L144" s="40"/>
    </row>
    <row r="145" spans="2:12" x14ac:dyDescent="0.25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5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2025-04-07T03:08:33Z</dcterms:modified>
</cp:coreProperties>
</file>