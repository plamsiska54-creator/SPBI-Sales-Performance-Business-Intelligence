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4-68\"/>
    </mc:Choice>
  </mc:AlternateContent>
  <xr:revisionPtr revIDLastSave="0" documentId="13_ncr:1_{3D032A31-8112-4802-BF87-84F26AD6DB66}" xr6:coauthVersionLast="47" xr6:coauthVersionMax="47" xr10:uidLastSave="{00000000-0000-0000-0000-000000000000}"/>
  <bookViews>
    <workbookView xWindow="945" yWindow="1140" windowWidth="19725" windowHeight="12615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0" i="5" l="1"/>
  <c r="D91" i="5"/>
  <c r="E91" i="5"/>
  <c r="I87" i="5"/>
  <c r="J87" i="5"/>
  <c r="K87" i="5"/>
  <c r="I69" i="5"/>
  <c r="J69" i="5"/>
  <c r="K69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137" i="5"/>
  <c r="K138" i="5"/>
  <c r="K139" i="5"/>
  <c r="K140" i="5"/>
  <c r="K134" i="5"/>
  <c r="K135" i="5"/>
  <c r="K136" i="5"/>
  <c r="Q130" i="5"/>
  <c r="Q131" i="5"/>
  <c r="Q132" i="5"/>
  <c r="Q133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D135" i="5"/>
  <c r="L135" i="5" s="1"/>
  <c r="Q135" i="5" s="1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D137" i="5"/>
  <c r="E137" i="5"/>
  <c r="F137" i="5"/>
  <c r="G137" i="5"/>
  <c r="H137" i="5"/>
  <c r="I137" i="5"/>
  <c r="J137" i="5"/>
  <c r="D138" i="5"/>
  <c r="E138" i="5"/>
  <c r="L138" i="5" s="1"/>
  <c r="Q138" i="5" s="1"/>
  <c r="F138" i="5"/>
  <c r="G138" i="5"/>
  <c r="H138" i="5"/>
  <c r="I138" i="5"/>
  <c r="J138" i="5"/>
  <c r="D139" i="5"/>
  <c r="E139" i="5"/>
  <c r="F139" i="5"/>
  <c r="G139" i="5"/>
  <c r="H139" i="5"/>
  <c r="I139" i="5"/>
  <c r="J139" i="5"/>
  <c r="L139" i="5"/>
  <c r="Q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E134" i="5"/>
  <c r="F134" i="5"/>
  <c r="G134" i="5"/>
  <c r="H134" i="5"/>
  <c r="I134" i="5"/>
  <c r="J134" i="5"/>
  <c r="E114" i="5"/>
  <c r="F114" i="5"/>
  <c r="G114" i="5"/>
  <c r="H114" i="5"/>
  <c r="I114" i="5"/>
  <c r="J114" i="5"/>
  <c r="K114" i="5"/>
  <c r="D114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34" i="5"/>
  <c r="Q134" i="5" s="1"/>
  <c r="L136" i="5"/>
  <c r="Q136" i="5" s="1"/>
  <c r="L137" i="5"/>
  <c r="Q137" i="5" s="1"/>
  <c r="L112" i="6"/>
  <c r="L88" i="3"/>
  <c r="L77" i="3"/>
  <c r="L112" i="3"/>
  <c r="L67" i="3"/>
  <c r="L100" i="3"/>
  <c r="L140" i="5"/>
  <c r="Q140" i="5" s="1"/>
  <c r="L130" i="5"/>
  <c r="L129" i="5"/>
  <c r="Q129" i="5" s="1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G141" i="5" s="1"/>
  <c r="H99" i="5"/>
  <c r="I99" i="5"/>
  <c r="J99" i="5"/>
  <c r="D66" i="5"/>
  <c r="E66" i="5"/>
  <c r="F66" i="5"/>
  <c r="G66" i="5"/>
  <c r="H66" i="5"/>
  <c r="I66" i="5"/>
  <c r="J66" i="5"/>
  <c r="J141" i="5" l="1"/>
  <c r="F141" i="5"/>
  <c r="I141" i="5"/>
  <c r="E141" i="5"/>
  <c r="H141" i="5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<sst xmlns="http://schemas.openxmlformats.org/spreadsheetml/2006/main" count="617" uniqueCount="146">
  <si>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</si>
  <si>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</si>
  <si>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</si>
  <si>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</si>
  <si>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</si>
  <si>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</si>
  <si>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</si>
  <si>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</si>
  <si>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</si>
  <si>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</si>
  <si>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</si>
  <si>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</si>
  <si>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</si>
  <si>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</si>
  <si>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</si>
  <si>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</si>
  <si>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</si>
  <si>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</si>
  <si>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</si>
  <si>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</si>
  <si>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</si>
  <si>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</si>
  <si>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</si>
  <si>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</si>
  <si>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</si>
  <si>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</si>
  <si>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</si>
  <si>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</si>
  <si>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</si>
  <si>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</si>
  <si>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</si>
  <si>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</si>
  <si>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</si>
  <si>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</si>
  <si>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</si>
  <si>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</si>
  <si>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</si>
  <si>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</si>
  <si>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</si>
  <si>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</si>
  <si>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</si>
  <si>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</si>
  <si>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</si>
  <si>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</si>
  <si>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</si>
  <si>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</si>
  <si>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</si>
  <si>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</si>
  <si>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</si>
  <si>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</si>
  <si>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</si>
  <si>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</si>
  <si>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</si>
  <si>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</si>
  <si>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</si>
  <si>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</si>
  <si>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</si>
  <si>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</si>
  <si>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</si>
  <si>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</si>
  <si>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</si>
  <si>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</si>
  <si>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</si>
  <si>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</si>
  <si>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</si>
  <si>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</si>
  <si>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</si>
  <si>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</si>
  <si>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</si>
  <si>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</si>
  <si>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</si>
  <si>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</si>
  <si>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</si>
  <si>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</si>
  <si>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</si>
  <si>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</si>
  <si>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</si>
  <si>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</si>
  <si>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</si>
  <si>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</si>
  <si>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</si>
  <si>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</si>
  <si>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</si>
  <si>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</si>
  <si>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</si>
  <si>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</si>
  <si>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</si>
  <si>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</si>
  <si>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</si>
  <si>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</si>
  <si>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</si>
  <si>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</si>
  <si>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</si>
  <si>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</si>
  <si>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</si>
  <si>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</si>
  <si>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</si>
  <si>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</si>
  <si>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</si>
  <si>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</si>
  <si>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</si>
  <si>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</si>
  <si>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</si>
  <si>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</si>
  <si>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</si>
  <si>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</si>
  <si>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</si>
  <si>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</si>
  <si>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</si>
  <si>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</si>
  <si>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</si>
  <si>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</si>
  <si>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</si>
  <si>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</si>
  <si>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</si>
  <si>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</si>
  <si>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</si>
  <si>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</si>
  <si>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</si>
  <si>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</si>
  <si>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</si>
  <si>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</si>
  <si>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</si>
  <si>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</si>
  <si>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</si>
  <si>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</si>
  <si>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</si>
  <si>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</si>
  <si>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</si>
  <si>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</si>
  <si>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</si>
  <si>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</si>
  <si>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</si>
  <si>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</si>
  <si>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</si>
  <si>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</si>
  <si>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</si>
  <si>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</si>
  <si>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</si>
  <si>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</si>
  <si>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</si>
  <si>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</si>
  <si>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</si>
  <si>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</si>
  <si>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18-4-68 เช้า</t>
  </si>
  <si>
    <t>ยอดจริง ออนไลน์ วันที่18-4-68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</si>
</sst>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187" fontId="4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" zoomScale="60" zoomScaleNormal="60" workbookViewId="0">
      <selection activeCell="H126" sqref="H126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0">
        <v>71</v>
      </c>
      <c r="E7" s="30">
        <v>14</v>
      </c>
      <c r="F7" s="30">
        <v>35</v>
      </c>
      <c r="G7" s="30">
        <v>4</v>
      </c>
      <c r="H7" s="30">
        <v>1</v>
      </c>
      <c r="I7" s="30"/>
      <c r="J7" s="43"/>
      <c r="K7" s="43">
        <v>10</v>
      </c>
      <c r="L7" s="36">
        <f>SUM(D7:K7)</f>
        <v>135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>
        <v>6</v>
      </c>
      <c r="E25" s="30">
        <v>3</v>
      </c>
      <c r="F25" s="30"/>
      <c r="G25" s="30"/>
      <c r="H25" s="30">
        <v>1</v>
      </c>
      <c r="I25" s="30"/>
      <c r="J25" s="43"/>
      <c r="K25" s="43"/>
      <c r="L25" s="36">
        <f t="shared" si="0"/>
        <v>10</v>
      </c>
    </row>
    <row r="26" spans="2:12" x14ac:dyDescent="0.2">
      <c r="B26" s="11">
        <v>1004055</v>
      </c>
      <c r="C26" s="15" t="s">
        <v>108</v>
      </c>
      <c r="D26" s="30">
        <v>7</v>
      </c>
      <c r="E26" s="30"/>
      <c r="F26" s="30">
        <v>1</v>
      </c>
      <c r="G26" s="30">
        <v>60</v>
      </c>
      <c r="H26" s="30">
        <v>21</v>
      </c>
      <c r="I26" s="30"/>
      <c r="J26" s="43"/>
      <c r="K26" s="43"/>
      <c r="L26" s="36">
        <f t="shared" si="0"/>
        <v>89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10</v>
      </c>
      <c r="F40" s="30">
        <v>3</v>
      </c>
      <c r="G40" s="30"/>
      <c r="H40" s="30"/>
      <c r="I40" s="30"/>
      <c r="J40" s="43"/>
      <c r="K40" s="43"/>
      <c r="L40" s="36">
        <f t="shared" si="0"/>
        <v>13</v>
      </c>
    </row>
    <row r="41" spans="2:12" x14ac:dyDescent="0.2">
      <c r="B41" s="11">
        <v>1111058</v>
      </c>
      <c r="C41" s="15" t="s">
        <v>31</v>
      </c>
      <c r="D41" s="30"/>
      <c r="E41" s="30">
        <v>10</v>
      </c>
      <c r="F41" s="30">
        <v>3</v>
      </c>
      <c r="G41" s="30"/>
      <c r="H41" s="30"/>
      <c r="I41" s="30"/>
      <c r="J41" s="43"/>
      <c r="K41" s="43"/>
      <c r="L41" s="36">
        <f t="shared" si="0"/>
        <v>13</v>
      </c>
    </row>
    <row r="42" spans="2:12" x14ac:dyDescent="0.2">
      <c r="B42" s="11">
        <v>1111059</v>
      </c>
      <c r="C42" s="15" t="s">
        <v>32</v>
      </c>
      <c r="D42" s="30"/>
      <c r="E42" s="30">
        <v>10</v>
      </c>
      <c r="F42" s="30">
        <v>3</v>
      </c>
      <c r="G42" s="30"/>
      <c r="H42" s="30"/>
      <c r="I42" s="30"/>
      <c r="J42" s="43"/>
      <c r="K42" s="43"/>
      <c r="L42" s="36">
        <f t="shared" si="0"/>
        <v>13</v>
      </c>
    </row>
    <row r="43" spans="2:12" x14ac:dyDescent="0.2">
      <c r="B43" s="11">
        <v>1111060</v>
      </c>
      <c r="C43" s="15" t="s">
        <v>33</v>
      </c>
      <c r="D43" s="30"/>
      <c r="E43" s="30">
        <v>10</v>
      </c>
      <c r="F43" s="30">
        <v>3</v>
      </c>
      <c r="G43" s="30"/>
      <c r="H43" s="30"/>
      <c r="I43" s="30"/>
      <c r="J43" s="43"/>
      <c r="K43" s="43"/>
      <c r="L43" s="36">
        <f t="shared" si="0"/>
        <v>13</v>
      </c>
    </row>
    <row r="44" spans="2:12" x14ac:dyDescent="0.2">
      <c r="B44" s="11">
        <v>1111061</v>
      </c>
      <c r="C44" s="15" t="s">
        <v>34</v>
      </c>
      <c r="D44" s="30"/>
      <c r="E44" s="30">
        <v>10</v>
      </c>
      <c r="F44" s="30">
        <v>3</v>
      </c>
      <c r="G44" s="30"/>
      <c r="H44" s="30"/>
      <c r="I44" s="30"/>
      <c r="J44" s="43"/>
      <c r="K44" s="43"/>
      <c r="L44" s="36">
        <f t="shared" si="0"/>
        <v>13</v>
      </c>
    </row>
    <row r="45" spans="2:12" x14ac:dyDescent="0.2">
      <c r="B45" s="11">
        <v>1111062</v>
      </c>
      <c r="C45" s="15" t="s">
        <v>35</v>
      </c>
      <c r="D45" s="30"/>
      <c r="E45" s="30">
        <v>10</v>
      </c>
      <c r="F45" s="30">
        <v>3</v>
      </c>
      <c r="G45" s="30"/>
      <c r="H45" s="30"/>
      <c r="I45" s="30"/>
      <c r="J45" s="43"/>
      <c r="K45" s="43"/>
      <c r="L45" s="36">
        <f t="shared" si="0"/>
        <v>13</v>
      </c>
    </row>
    <row r="46" spans="2:12" x14ac:dyDescent="0.2">
      <c r="B46" s="11">
        <v>1111063</v>
      </c>
      <c r="C46" s="15" t="s">
        <v>36</v>
      </c>
      <c r="D46" s="30"/>
      <c r="E46" s="30">
        <v>10</v>
      </c>
      <c r="F46" s="30">
        <v>3</v>
      </c>
      <c r="G46" s="30"/>
      <c r="H46" s="30"/>
      <c r="I46" s="30"/>
      <c r="J46" s="43"/>
      <c r="K46" s="43"/>
      <c r="L46" s="36">
        <f t="shared" si="0"/>
        <v>13</v>
      </c>
    </row>
    <row r="47" spans="2:12" x14ac:dyDescent="0.2">
      <c r="B47" s="11">
        <v>1111064</v>
      </c>
      <c r="C47" s="15" t="s">
        <v>37</v>
      </c>
      <c r="D47" s="30"/>
      <c r="E47" s="30">
        <v>10</v>
      </c>
      <c r="F47" s="30">
        <v>3</v>
      </c>
      <c r="G47" s="30"/>
      <c r="H47" s="30"/>
      <c r="I47" s="30"/>
      <c r="J47" s="43"/>
      <c r="K47" s="43"/>
      <c r="L47" s="36">
        <f t="shared" si="0"/>
        <v>13</v>
      </c>
    </row>
    <row r="48" spans="2:12" x14ac:dyDescent="0.2">
      <c r="B48" s="11">
        <v>1111065</v>
      </c>
      <c r="C48" s="15" t="s">
        <v>38</v>
      </c>
      <c r="D48" s="30"/>
      <c r="E48" s="30">
        <v>10</v>
      </c>
      <c r="F48" s="30">
        <v>3</v>
      </c>
      <c r="G48" s="30"/>
      <c r="H48" s="30"/>
      <c r="I48" s="30"/>
      <c r="J48" s="43"/>
      <c r="K48" s="43"/>
      <c r="L48" s="36">
        <f t="shared" si="0"/>
        <v>13</v>
      </c>
    </row>
    <row r="49" spans="2:12" x14ac:dyDescent="0.2">
      <c r="B49" s="11">
        <v>1111066</v>
      </c>
      <c r="C49" s="15" t="s">
        <v>39</v>
      </c>
      <c r="D49" s="30"/>
      <c r="E49" s="30">
        <v>10</v>
      </c>
      <c r="F49" s="30">
        <v>3</v>
      </c>
      <c r="G49" s="30"/>
      <c r="H49" s="30"/>
      <c r="I49" s="30"/>
      <c r="J49" s="43"/>
      <c r="K49" s="43"/>
      <c r="L49" s="36">
        <f t="shared" si="0"/>
        <v>13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364</v>
      </c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19" t="s">
        <v>56</v>
      </c>
      <c r="D69" s="30">
        <v>50</v>
      </c>
      <c r="E69" s="30">
        <v>1</v>
      </c>
      <c r="F69" s="30">
        <v>10</v>
      </c>
      <c r="G69" s="30">
        <v>5</v>
      </c>
      <c r="H69" s="30">
        <v>2</v>
      </c>
      <c r="I69" s="30"/>
      <c r="J69" s="43"/>
      <c r="K69" s="43">
        <v>20</v>
      </c>
      <c r="L69" s="36">
        <f t="shared" ref="L69:L76" si="1">SUM(D69:K69)</f>
        <v>88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88</v>
      </c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52</v>
      </c>
      <c r="E87" s="30">
        <v>6</v>
      </c>
      <c r="F87" s="30"/>
      <c r="G87" s="30">
        <v>66</v>
      </c>
      <c r="H87" s="30">
        <v>18</v>
      </c>
      <c r="I87" s="30"/>
      <c r="J87" s="43"/>
      <c r="K87" s="43">
        <v>3</v>
      </c>
      <c r="L87" s="36">
        <f t="shared" si="2"/>
        <v>145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145</v>
      </c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19" t="s">
        <v>75</v>
      </c>
      <c r="D90" s="30">
        <v>23</v>
      </c>
      <c r="E90" s="30">
        <v>2</v>
      </c>
      <c r="F90" s="30">
        <v>1</v>
      </c>
      <c r="G90" s="30">
        <v>28</v>
      </c>
      <c r="H90" s="30">
        <v>18</v>
      </c>
      <c r="I90" s="30"/>
      <c r="J90" s="43"/>
      <c r="K90" s="43"/>
      <c r="L90" s="36">
        <f t="shared" ref="L90:L99" si="3">SUM(D90:K90)</f>
        <v>72</v>
      </c>
    </row>
    <row r="91" spans="2:12" x14ac:dyDescent="0.2">
      <c r="B91" s="11">
        <v>1112011</v>
      </c>
      <c r="C91" s="19" t="s">
        <v>76</v>
      </c>
      <c r="D91" s="30">
        <v>22</v>
      </c>
      <c r="E91" s="30">
        <v>2</v>
      </c>
      <c r="F91" s="30">
        <v>7</v>
      </c>
      <c r="G91" s="30">
        <v>28</v>
      </c>
      <c r="H91" s="30">
        <v>18</v>
      </c>
      <c r="I91" s="30"/>
      <c r="J91" s="43"/>
      <c r="K91" s="43"/>
      <c r="L91" s="36">
        <f t="shared" si="3"/>
        <v>77</v>
      </c>
    </row>
    <row r="92" spans="2:12" x14ac:dyDescent="0.2">
      <c r="B92" s="11">
        <v>1112003</v>
      </c>
      <c r="C92" s="19" t="s">
        <v>77</v>
      </c>
      <c r="D92" s="30">
        <v>20</v>
      </c>
      <c r="E92" s="30">
        <v>2</v>
      </c>
      <c r="F92" s="30">
        <v>1</v>
      </c>
      <c r="G92" s="30">
        <v>28</v>
      </c>
      <c r="H92" s="30">
        <v>18</v>
      </c>
      <c r="I92" s="30"/>
      <c r="J92" s="43"/>
      <c r="K92" s="43"/>
      <c r="L92" s="36">
        <f t="shared" si="3"/>
        <v>69</v>
      </c>
    </row>
    <row r="93" spans="2:12" x14ac:dyDescent="0.2">
      <c r="B93" s="11">
        <v>1112005</v>
      </c>
      <c r="C93" s="19" t="s">
        <v>78</v>
      </c>
      <c r="D93" s="30">
        <v>21</v>
      </c>
      <c r="E93" s="30">
        <v>1</v>
      </c>
      <c r="F93" s="30">
        <v>1</v>
      </c>
      <c r="G93" s="30">
        <v>28</v>
      </c>
      <c r="H93" s="30">
        <v>18</v>
      </c>
      <c r="I93" s="30"/>
      <c r="J93" s="43"/>
      <c r="K93" s="43"/>
      <c r="L93" s="36">
        <f t="shared" si="3"/>
        <v>69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3</v>
      </c>
      <c r="E97" s="30">
        <v>1</v>
      </c>
      <c r="F97" s="30">
        <v>1</v>
      </c>
      <c r="G97" s="30">
        <v>28</v>
      </c>
      <c r="H97" s="30">
        <v>18</v>
      </c>
      <c r="I97" s="30"/>
      <c r="J97" s="43"/>
      <c r="K97" s="43"/>
      <c r="L97" s="36">
        <f t="shared" si="3"/>
        <v>51</v>
      </c>
    </row>
    <row r="98" spans="2:12" x14ac:dyDescent="0.2">
      <c r="B98" s="11">
        <v>1112013</v>
      </c>
      <c r="C98" s="19" t="s">
        <v>83</v>
      </c>
      <c r="D98" s="30">
        <v>6</v>
      </c>
      <c r="E98" s="30">
        <v>1</v>
      </c>
      <c r="F98" s="30">
        <v>1</v>
      </c>
      <c r="G98" s="30">
        <v>28</v>
      </c>
      <c r="H98" s="30">
        <v>19</v>
      </c>
      <c r="I98" s="30"/>
      <c r="J98" s="43"/>
      <c r="K98" s="43"/>
      <c r="L98" s="36">
        <f t="shared" si="3"/>
        <v>55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393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19" t="s">
        <v>75</v>
      </c>
      <c r="D102" s="30"/>
      <c r="E102" s="30">
        <v>3</v>
      </c>
      <c r="F102" s="30"/>
      <c r="G102" s="30"/>
      <c r="H102" s="30"/>
      <c r="I102" s="30"/>
      <c r="J102" s="43"/>
      <c r="K102" s="43"/>
      <c r="L102" s="36">
        <f t="shared" ref="L102:L111" si="4">SUM(D102:K102)</f>
        <v>3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3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1" t="s">
        <v>87</v>
      </c>
      <c r="D114" s="30">
        <v>53</v>
      </c>
      <c r="E114" s="30"/>
      <c r="F114" s="30"/>
      <c r="G114" s="30"/>
      <c r="H114" s="30">
        <v>1</v>
      </c>
      <c r="I114" s="30"/>
      <c r="J114" s="43"/>
      <c r="K114" s="43"/>
      <c r="L114" s="36">
        <f t="shared" ref="L114:L140" si="5">SUM(D114:K114)</f>
        <v>54</v>
      </c>
    </row>
    <row r="115" spans="2:12" x14ac:dyDescent="0.2">
      <c r="B115" s="11">
        <v>1113171</v>
      </c>
      <c r="C115" s="21" t="s">
        <v>88</v>
      </c>
      <c r="D115" s="30">
        <v>43</v>
      </c>
      <c r="E115" s="30"/>
      <c r="F115" s="30"/>
      <c r="G115" s="30"/>
      <c r="H115" s="30"/>
      <c r="I115" s="30"/>
      <c r="J115" s="43"/>
      <c r="K115" s="43"/>
      <c r="L115" s="36">
        <f t="shared" si="5"/>
        <v>43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>
        <v>100</v>
      </c>
      <c r="E121" s="30"/>
      <c r="F121" s="30"/>
      <c r="G121" s="30"/>
      <c r="H121" s="30"/>
      <c r="I121" s="30"/>
      <c r="J121" s="43"/>
      <c r="K121" s="43"/>
      <c r="L121" s="36">
        <f t="shared" si="5"/>
        <v>100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26</v>
      </c>
      <c r="E123" s="30">
        <v>10</v>
      </c>
      <c r="F123" s="30">
        <v>2</v>
      </c>
      <c r="G123" s="30">
        <v>222</v>
      </c>
      <c r="H123" s="30">
        <v>127</v>
      </c>
      <c r="I123" s="30"/>
      <c r="J123" s="43"/>
      <c r="K123" s="43"/>
      <c r="L123" s="36">
        <f t="shared" si="5"/>
        <v>387</v>
      </c>
    </row>
    <row r="124" spans="2:12" x14ac:dyDescent="0.2">
      <c r="B124" s="11">
        <v>1114502</v>
      </c>
      <c r="C124" s="21" t="s">
        <v>96</v>
      </c>
      <c r="D124" s="30">
        <v>1</v>
      </c>
      <c r="E124" s="30">
        <v>3</v>
      </c>
      <c r="F124" s="30">
        <v>2</v>
      </c>
      <c r="G124" s="30">
        <v>183</v>
      </c>
      <c r="H124" s="30">
        <v>112</v>
      </c>
      <c r="I124" s="30"/>
      <c r="J124" s="43"/>
      <c r="K124" s="43"/>
      <c r="L124" s="36">
        <f t="shared" si="5"/>
        <v>301</v>
      </c>
    </row>
    <row r="125" spans="2:12" x14ac:dyDescent="0.2">
      <c r="B125" s="11">
        <v>1114503</v>
      </c>
      <c r="C125" s="21" t="s">
        <v>97</v>
      </c>
      <c r="D125" s="30">
        <v>1</v>
      </c>
      <c r="E125" s="30">
        <v>2</v>
      </c>
      <c r="F125" s="30"/>
      <c r="G125" s="30">
        <v>180</v>
      </c>
      <c r="H125" s="30">
        <v>107</v>
      </c>
      <c r="I125" s="30"/>
      <c r="J125" s="43"/>
      <c r="K125" s="43"/>
      <c r="L125" s="36">
        <f t="shared" si="5"/>
        <v>290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>
        <v>3</v>
      </c>
      <c r="G135" s="30"/>
      <c r="H135" s="30"/>
      <c r="I135" s="30"/>
      <c r="J135" s="43"/>
      <c r="K135" s="43"/>
      <c r="L135" s="36">
        <f t="shared" si="5"/>
        <v>3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>
        <v>4</v>
      </c>
      <c r="E137" s="30"/>
      <c r="F137" s="30"/>
      <c r="G137" s="30"/>
      <c r="H137" s="30"/>
      <c r="I137" s="30"/>
      <c r="J137" s="43"/>
      <c r="K137" s="43">
        <v>44</v>
      </c>
      <c r="L137" s="36">
        <f t="shared" si="5"/>
        <v>48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>
        <v>3</v>
      </c>
      <c r="L138" s="36">
        <f t="shared" si="5"/>
        <v>3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2" t="s">
        <v>104</v>
      </c>
      <c r="C143" s="62"/>
      <c r="D143" s="32"/>
      <c r="E143" s="58"/>
      <c r="F143" s="58"/>
      <c r="G143" s="27"/>
      <c r="H143" s="26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3"/>
      <c r="E144" s="33"/>
      <c r="F144" s="33"/>
      <c r="G144" s="33"/>
      <c r="H144" s="33"/>
      <c r="I144" s="58" t="s">
        <v>106</v>
      </c>
      <c r="J144" s="58"/>
      <c r="K144" s="58"/>
      <c r="L144" s="58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95" zoomScale="60" zoomScaleNormal="60" workbookViewId="0">
      <selection activeCell="K102" sqref="K102:K110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2" t="s">
        <v>104</v>
      </c>
      <c r="C143" s="62"/>
      <c r="D143" s="32"/>
      <c r="E143" s="58"/>
      <c r="F143" s="58"/>
      <c r="G143" s="27"/>
      <c r="H143" s="26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3"/>
      <c r="E144" s="33"/>
      <c r="F144" s="33"/>
      <c r="G144" s="33"/>
      <c r="H144" s="33"/>
      <c r="I144" s="58" t="s">
        <v>106</v>
      </c>
      <c r="J144" s="58"/>
      <c r="K144" s="58"/>
      <c r="L144" s="58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zoomScale="60" zoomScaleNormal="60" workbookViewId="0">
      <selection activeCell="H102" sqref="H102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2" t="s">
        <v>104</v>
      </c>
      <c r="C143" s="62"/>
      <c r="D143" s="32"/>
      <c r="E143" s="58"/>
      <c r="F143" s="58"/>
      <c r="G143" s="27"/>
      <c r="H143" s="26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3"/>
      <c r="E144" s="33"/>
      <c r="F144" s="33"/>
      <c r="G144" s="33"/>
      <c r="H144" s="33"/>
      <c r="I144" s="58" t="s">
        <v>106</v>
      </c>
      <c r="J144" s="58"/>
      <c r="K144" s="58"/>
      <c r="L144" s="58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B1" zoomScale="50" zoomScaleNormal="50" workbookViewId="0">
      <selection activeCell="B1" sqref="B1:Q141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hidden="1" customWidth="1"/>
    <col min="20" max="20" width="22.75" customWidth="1"/>
  </cols>
  <sheetData>
    <row r="1" spans="2:17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140</v>
      </c>
      <c r="P2" s="68" t="s">
        <v>141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1"/>
      <c r="K3" s="41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71</v>
      </c>
      <c r="E7" s="30">
        <f>'เย็น '!E7+'เช้า '!E7+บ่าย!E7</f>
        <v>14</v>
      </c>
      <c r="F7" s="30">
        <f>'เย็น '!F7+'เช้า '!F7+บ่าย!F7</f>
        <v>35</v>
      </c>
      <c r="G7" s="30">
        <f>'เย็น '!G7+'เช้า '!G7+บ่าย!G7</f>
        <v>4</v>
      </c>
      <c r="H7" s="30">
        <f>'เย็น '!H7+'เช้า '!H7+บ่าย!H7</f>
        <v>1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10</v>
      </c>
      <c r="L7" s="36">
        <f>SUM(D7:K7)</f>
        <v>135</v>
      </c>
      <c r="M7" s="11"/>
      <c r="N7" s="11"/>
      <c r="O7" s="11"/>
      <c r="P7" s="11"/>
      <c r="Q7" s="44">
        <f>(M7+N7+O7+P7)-L7</f>
        <v>-135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6</v>
      </c>
      <c r="E25" s="30">
        <f>'เย็น '!E25+'เช้า '!E25+บ่าย!E25</f>
        <v>3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/>
      <c r="N25" s="11"/>
      <c r="O25" s="11"/>
      <c r="P25" s="11"/>
      <c r="Q25" s="44">
        <f t="shared" si="1"/>
        <v>-10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7</v>
      </c>
      <c r="E26" s="30">
        <f>'เย็น '!E26+'เช้า '!E26+บ่าย!E26</f>
        <v>0</v>
      </c>
      <c r="F26" s="30">
        <f>'เย็น '!F26+'เช้า '!F26+บ่าย!F26</f>
        <v>1</v>
      </c>
      <c r="G26" s="30">
        <f>'เย็น '!G26+'เช้า '!G26+บ่าย!G26</f>
        <v>60</v>
      </c>
      <c r="H26" s="30">
        <f>'เย็น '!H26+'เช้า '!H26+บ่าย!H26</f>
        <v>21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89</v>
      </c>
      <c r="M26" s="11"/>
      <c r="N26" s="11"/>
      <c r="O26" s="11"/>
      <c r="P26" s="11"/>
      <c r="Q26" s="44">
        <f t="shared" si="1"/>
        <v>-89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3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13</v>
      </c>
      <c r="M40" s="11"/>
      <c r="N40" s="11"/>
      <c r="O40" s="11"/>
      <c r="P40" s="11"/>
      <c r="Q40" s="44">
        <f t="shared" si="1"/>
        <v>-13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3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13</v>
      </c>
      <c r="M41" s="11"/>
      <c r="N41" s="11"/>
      <c r="O41" s="11"/>
      <c r="P41" s="11"/>
      <c r="Q41" s="44">
        <f t="shared" si="1"/>
        <v>-13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3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13</v>
      </c>
      <c r="M42" s="11"/>
      <c r="N42" s="11"/>
      <c r="O42" s="11"/>
      <c r="P42" s="11"/>
      <c r="Q42" s="44">
        <f t="shared" si="1"/>
        <v>-13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10</v>
      </c>
      <c r="F43" s="30">
        <f>'เย็น '!F43+'เช้า '!F43+บ่าย!F43</f>
        <v>3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13</v>
      </c>
      <c r="M43" s="11"/>
      <c r="N43" s="11"/>
      <c r="O43" s="11"/>
      <c r="P43" s="11"/>
      <c r="Q43" s="44">
        <f t="shared" si="1"/>
        <v>-13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10</v>
      </c>
      <c r="F44" s="30">
        <f>'เย็น '!F44+'เช้า '!F44+บ่าย!F44</f>
        <v>3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13</v>
      </c>
      <c r="M44" s="11"/>
      <c r="N44" s="11"/>
      <c r="O44" s="11"/>
      <c r="P44" s="11"/>
      <c r="Q44" s="44">
        <f t="shared" si="1"/>
        <v>-13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10</v>
      </c>
      <c r="F45" s="30">
        <f>'เย็น '!F45+'เช้า '!F45+บ่าย!F45</f>
        <v>3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13</v>
      </c>
      <c r="M45" s="11"/>
      <c r="N45" s="11"/>
      <c r="O45" s="11"/>
      <c r="P45" s="11"/>
      <c r="Q45" s="44">
        <f t="shared" si="1"/>
        <v>-13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10</v>
      </c>
      <c r="F46" s="30">
        <f>'เย็น '!F46+'เช้า '!F46+บ่าย!F46</f>
        <v>3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13</v>
      </c>
      <c r="M46" s="11"/>
      <c r="N46" s="11"/>
      <c r="O46" s="11"/>
      <c r="P46" s="11"/>
      <c r="Q46" s="44">
        <f t="shared" si="1"/>
        <v>-13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10</v>
      </c>
      <c r="F47" s="30">
        <f>'เย็น '!F47+'เช้า '!F47+บ่าย!F47</f>
        <v>3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13</v>
      </c>
      <c r="M47" s="11"/>
      <c r="N47" s="11"/>
      <c r="O47" s="11"/>
      <c r="P47" s="11"/>
      <c r="Q47" s="44">
        <f t="shared" si="1"/>
        <v>-13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10</v>
      </c>
      <c r="F48" s="30">
        <f>'เย็น '!F48+'เช้า '!F48+บ่าย!F48</f>
        <v>3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13</v>
      </c>
      <c r="M48" s="11"/>
      <c r="N48" s="11"/>
      <c r="O48" s="11"/>
      <c r="P48" s="11"/>
      <c r="Q48" s="44">
        <f t="shared" si="1"/>
        <v>-13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10</v>
      </c>
      <c r="F49" s="30">
        <f>'เย็น '!F49+'เช้า '!F49+บ่าย!F49</f>
        <v>3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13</v>
      </c>
      <c r="M49" s="11"/>
      <c r="N49" s="11"/>
      <c r="O49" s="11"/>
      <c r="P49" s="11"/>
      <c r="Q49" s="44">
        <f t="shared" si="1"/>
        <v>-13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50</v>
      </c>
      <c r="E69" s="30">
        <f>'เย็น '!E69+'เช้า '!E69+บ่าย!E69</f>
        <v>1</v>
      </c>
      <c r="F69" s="30">
        <f>'เย็น '!F69+'เช้า '!F69+บ่าย!F69</f>
        <v>10</v>
      </c>
      <c r="G69" s="30">
        <f>'เย็น '!G69+'เช้า '!G69+บ่าย!G69</f>
        <v>5</v>
      </c>
      <c r="H69" s="30">
        <f>'เย็น '!H69+'เช้า '!H69+บ่าย!H69</f>
        <v>2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20</v>
      </c>
      <c r="L69" s="36">
        <f t="shared" ref="L69:L76" si="4">SUM(D69:K69)</f>
        <v>88</v>
      </c>
      <c r="M69" s="11"/>
      <c r="N69" s="11"/>
      <c r="O69" s="11"/>
      <c r="P69" s="11"/>
      <c r="Q69" s="44">
        <f t="shared" ref="Q69:Q76" si="5">(M69+N69+O69+P69)-L69</f>
        <v>-88</v>
      </c>
    </row>
    <row r="70" spans="2:20" hidden="1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hidden="1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hidden="1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hidden="1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hidden="1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hidden="1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hidden="1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hidden="1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hidden="1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hidden="1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hidden="1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hidden="1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hidden="1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hidden="1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52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66</v>
      </c>
      <c r="H87" s="30">
        <f>'เย็น '!H87+'เช้า '!H87+บ่าย!H87</f>
        <v>18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3</v>
      </c>
      <c r="L87" s="36">
        <f t="shared" si="7"/>
        <v>145</v>
      </c>
      <c r="M87" s="11"/>
      <c r="N87" s="11"/>
      <c r="O87" s="11"/>
      <c r="P87" s="11"/>
      <c r="Q87" s="44">
        <f t="shared" si="8"/>
        <v>-145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23</v>
      </c>
      <c r="E90" s="30">
        <f>'เย็น '!E90+'เช้า '!E90+บ่าย!E90</f>
        <v>2</v>
      </c>
      <c r="F90" s="30">
        <f>'เย็น '!F90+'เช้า '!F90+บ่าย!F90</f>
        <v>1</v>
      </c>
      <c r="G90" s="30">
        <f>'เย็น '!G90+'เช้า '!G90+บ่าย!G90</f>
        <v>28</v>
      </c>
      <c r="H90" s="30">
        <f>'เย็น '!H90+'เช้า '!H90+บ่าย!H90</f>
        <v>18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72</v>
      </c>
      <c r="M90" s="11"/>
      <c r="N90" s="11"/>
      <c r="O90" s="11"/>
      <c r="P90" s="11"/>
      <c r="Q90" s="44">
        <f t="shared" ref="Q90:Q100" si="10">(M90+N90+O90+P90)-L90</f>
        <v>-72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22</v>
      </c>
      <c r="E91" s="30">
        <f>'เย็น '!E91+'เช้า '!E91+บ่าย!E91</f>
        <v>2</v>
      </c>
      <c r="F91" s="30">
        <f>'เย็น '!F91+'เช้า '!F91+บ่าย!F91</f>
        <v>7</v>
      </c>
      <c r="G91" s="30">
        <f>'เย็น '!G91+'เช้า '!G91+บ่าย!G91</f>
        <v>28</v>
      </c>
      <c r="H91" s="30">
        <f>'เย็น '!H91+'เช้า '!H91+บ่าย!H91</f>
        <v>18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77</v>
      </c>
      <c r="M91" s="11"/>
      <c r="N91" s="11"/>
      <c r="O91" s="11"/>
      <c r="P91" s="11"/>
      <c r="Q91" s="44">
        <f t="shared" si="10"/>
        <v>-77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20</v>
      </c>
      <c r="E92" s="30">
        <f>'เย็น '!E92+'เช้า '!E92+บ่าย!E92</f>
        <v>2</v>
      </c>
      <c r="F92" s="30">
        <f>'เย็น '!F92+'เช้า '!F92+บ่าย!F92</f>
        <v>1</v>
      </c>
      <c r="G92" s="30">
        <f>'เย็น '!G92+'เช้า '!G92+บ่าย!G92</f>
        <v>28</v>
      </c>
      <c r="H92" s="30">
        <f>'เย็น '!H92+'เช้า '!H92+บ่าย!H92</f>
        <v>18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69</v>
      </c>
      <c r="M92" s="11"/>
      <c r="N92" s="11"/>
      <c r="O92" s="11"/>
      <c r="P92" s="11"/>
      <c r="Q92" s="44">
        <f t="shared" si="10"/>
        <v>-69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21</v>
      </c>
      <c r="E93" s="30">
        <f>'เย็น '!E93+'เช้า '!E93+บ่าย!E93</f>
        <v>1</v>
      </c>
      <c r="F93" s="30">
        <f>'เย็น '!F93+'เช้า '!F93+บ่าย!F93</f>
        <v>1</v>
      </c>
      <c r="G93" s="30">
        <f>'เย็น '!G93+'เช้า '!G93+บ่าย!G93</f>
        <v>28</v>
      </c>
      <c r="H93" s="30">
        <f>'เย็น '!H93+'เช้า '!H93+บ่าย!H93</f>
        <v>18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69</v>
      </c>
      <c r="M93" s="11"/>
      <c r="N93" s="11"/>
      <c r="O93" s="11"/>
      <c r="P93" s="11"/>
      <c r="Q93" s="44">
        <f t="shared" si="10"/>
        <v>-69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20" x14ac:dyDescent="0.3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28</v>
      </c>
      <c r="H97" s="30">
        <f>'เย็น '!H97+'เช้า '!H97+บ่าย!H97</f>
        <v>18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51</v>
      </c>
      <c r="M97" s="11"/>
      <c r="N97" s="11"/>
      <c r="O97" s="11"/>
      <c r="P97" s="11"/>
      <c r="Q97" s="44">
        <f t="shared" si="10"/>
        <v>-51</v>
      </c>
      <c r="T97" s="57"/>
    </row>
    <row r="98" spans="2:20" x14ac:dyDescent="0.2">
      <c r="B98" s="11">
        <v>1112013</v>
      </c>
      <c r="C98" s="19" t="s">
        <v>83</v>
      </c>
      <c r="D98" s="30">
        <f>'เย็น '!D98+'เช้า '!D98+บ่าย!D98</f>
        <v>6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28</v>
      </c>
      <c r="H98" s="30">
        <f>'เย็น '!H98+'เช้า '!H98+บ่าย!H98</f>
        <v>19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55</v>
      </c>
      <c r="M98" s="11"/>
      <c r="N98" s="11"/>
      <c r="O98" s="11"/>
      <c r="P98" s="11"/>
      <c r="Q98" s="44">
        <f t="shared" si="10"/>
        <v>-55</v>
      </c>
    </row>
    <row r="99" spans="2:20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20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393</v>
      </c>
      <c r="M100" s="11">
        <f>SUM(M90:M99)</f>
        <v>0</v>
      </c>
      <c r="N100" s="11">
        <f>SUM(N90:N99)</f>
        <v>0</v>
      </c>
      <c r="O100" s="11">
        <f>SUM(O90:O99)</f>
        <v>0</v>
      </c>
      <c r="P100" s="11">
        <f>SUM(P90:P99)</f>
        <v>0</v>
      </c>
      <c r="Q100" s="44">
        <f t="shared" si="10"/>
        <v>-393</v>
      </c>
    </row>
    <row r="101" spans="2:20" ht="19.5" hidden="1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20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3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3</v>
      </c>
      <c r="M102" s="11"/>
      <c r="N102" s="11"/>
      <c r="O102" s="11"/>
      <c r="P102" s="11"/>
      <c r="Q102" s="44">
        <f t="shared" ref="Q102:Q112" si="12">(M102+N102+O102+P102)-L102</f>
        <v>-3</v>
      </c>
    </row>
    <row r="103" spans="2:20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20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20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20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20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20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20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20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20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20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3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-3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53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1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54</v>
      </c>
      <c r="M114" s="11"/>
      <c r="N114" s="11"/>
      <c r="O114" s="11"/>
      <c r="P114" s="11"/>
      <c r="Q114" s="44">
        <f t="shared" ref="Q114:Q140" si="14">(M114+N114+O114+P114)-L114</f>
        <v>-54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43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43</v>
      </c>
      <c r="M115" s="11"/>
      <c r="N115" s="11"/>
      <c r="O115" s="11"/>
      <c r="P115" s="11"/>
      <c r="Q115" s="44">
        <f t="shared" si="14"/>
        <v>-43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100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100</v>
      </c>
      <c r="M121" s="11"/>
      <c r="N121" s="11"/>
      <c r="O121" s="11"/>
      <c r="P121" s="11"/>
      <c r="Q121" s="44">
        <f t="shared" si="14"/>
        <v>-100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26</v>
      </c>
      <c r="E123" s="30">
        <f>'เย็น '!E123+'เช้า '!E123+บ่าย!E123</f>
        <v>10</v>
      </c>
      <c r="F123" s="30">
        <f>'เย็น '!F123+'เช้า '!F123+บ่าย!F123</f>
        <v>2</v>
      </c>
      <c r="G123" s="30">
        <f>'เย็น '!G123+'เช้า '!G123+บ่าย!G123</f>
        <v>222</v>
      </c>
      <c r="H123" s="30">
        <f>'เย็น '!H123+'เช้า '!H123+บ่าย!H123</f>
        <v>127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387</v>
      </c>
      <c r="M123" s="11"/>
      <c r="N123" s="11"/>
      <c r="O123" s="11"/>
      <c r="P123" s="11"/>
      <c r="Q123" s="44">
        <f t="shared" si="14"/>
        <v>-387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1</v>
      </c>
      <c r="E124" s="30">
        <f>'เย็น '!E124+'เช้า '!E124+บ่าย!E124</f>
        <v>3</v>
      </c>
      <c r="F124" s="30">
        <f>'เย็น '!F124+'เช้า '!F124+บ่าย!F124</f>
        <v>2</v>
      </c>
      <c r="G124" s="30">
        <f>'เย็น '!G124+'เช้า '!G124+บ่าย!G124</f>
        <v>183</v>
      </c>
      <c r="H124" s="30">
        <f>'เย็น '!H124+'เช้า '!H124+บ่าย!H124</f>
        <v>112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301</v>
      </c>
      <c r="M124" s="11"/>
      <c r="N124" s="11"/>
      <c r="O124" s="11"/>
      <c r="P124" s="11"/>
      <c r="Q124" s="44">
        <f t="shared" si="14"/>
        <v>-301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2</v>
      </c>
      <c r="F125" s="30">
        <f>'เย็น '!F125+'เช้า '!F125+บ่าย!F125</f>
        <v>0</v>
      </c>
      <c r="G125" s="30">
        <f>'เย็น '!G125+'เช้า '!G125+บ่าย!G125</f>
        <v>180</v>
      </c>
      <c r="H125" s="30">
        <f>'เย็น '!H125+'เช้า '!H125+บ่าย!H125</f>
        <v>107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290</v>
      </c>
      <c r="M125" s="11"/>
      <c r="N125" s="11"/>
      <c r="O125" s="11"/>
      <c r="P125" s="11"/>
      <c r="Q125" s="44">
        <f t="shared" si="14"/>
        <v>-290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/>
      <c r="N126" s="11"/>
      <c r="O126" s="11"/>
      <c r="P126" s="11"/>
      <c r="Q126" s="44">
        <f t="shared" si="14"/>
        <v>0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3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3</v>
      </c>
      <c r="M135" s="11"/>
      <c r="N135" s="11"/>
      <c r="O135" s="11"/>
      <c r="P135" s="11"/>
      <c r="Q135" s="44">
        <f t="shared" si="14"/>
        <v>-3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4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44</v>
      </c>
      <c r="L137" s="36">
        <f t="shared" si="13"/>
        <v>48</v>
      </c>
      <c r="M137" s="11"/>
      <c r="N137" s="11"/>
      <c r="O137" s="11"/>
      <c r="P137" s="11"/>
      <c r="Q137" s="44">
        <f t="shared" si="14"/>
        <v>-48</v>
      </c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3</v>
      </c>
      <c r="L138" s="36">
        <f t="shared" si="13"/>
        <v>3</v>
      </c>
      <c r="M138" s="11"/>
      <c r="N138" s="11"/>
      <c r="O138" s="11"/>
      <c r="P138" s="11"/>
      <c r="Q138" s="44">
        <f t="shared" si="14"/>
        <v>-3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509</v>
      </c>
      <c r="E141" s="36">
        <f t="shared" ref="E141:K141" si="15">SUM(E114:E140,E90:E99,E79:E87,E69:E76,E7:E66,E102:E111)</f>
        <v>151</v>
      </c>
      <c r="F141" s="36">
        <f t="shared" si="15"/>
        <v>95</v>
      </c>
      <c r="G141" s="36">
        <f t="shared" si="15"/>
        <v>888</v>
      </c>
      <c r="H141" s="36">
        <f t="shared" si="15"/>
        <v>499</v>
      </c>
      <c r="I141" s="36">
        <f t="shared" si="15"/>
        <v>0</v>
      </c>
      <c r="J141" s="36">
        <f t="shared" si="15"/>
        <v>0</v>
      </c>
      <c r="K141" s="36">
        <f t="shared" si="15"/>
        <v>80</v>
      </c>
      <c r="L141" s="36">
        <f>SUM(L114:L140,L90:L99,L79:L87,L69:L76,L7:L66,L102:L111)</f>
        <v>2222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-2222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2"/>
      <c r="F144" s="62"/>
      <c r="G144" s="26"/>
      <c r="L144" s="40"/>
    </row>
    <row r="145" spans="2:12" x14ac:dyDescent="0.2">
      <c r="B145" s="62" t="s">
        <v>104</v>
      </c>
      <c r="C145" s="62"/>
      <c r="D145" s="32"/>
      <c r="E145" s="58"/>
      <c r="F145" s="58"/>
      <c r="G145" s="27"/>
      <c r="H145" s="26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3"/>
      <c r="E146" s="33"/>
      <c r="F146" s="33"/>
      <c r="G146" s="33"/>
      <c r="H146" s="33"/>
      <c r="I146" s="58" t="s">
        <v>106</v>
      </c>
      <c r="J146" s="58"/>
      <c r="K146" s="58"/>
      <c r="L146" s="58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2025-04-18T00:59:46Z</cp:lastPrinted>
  <dcterms:created xsi:type="dcterms:W3CDTF">2024-04-30T05:21:27Z</dcterms:created>
  <dcterms:modified xsi:type="dcterms:W3CDTF">2025-04-18T01:05:04Z</dcterms:modified>
</cp:coreProperties>
</file>