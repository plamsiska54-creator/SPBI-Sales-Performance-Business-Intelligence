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8_{ADA621B8-328A-4DD1-BA95-62299CB556B5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7" i="6" l="1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K141" i="5" l="1"/>
  <c r="L67" i="3"/>
  <c r="L100" i="3"/>
  <c r="Q139" i="5"/>
  <c r="Q135" i="5"/>
  <c r="Q138" i="5"/>
  <c r="Q136" i="5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Q141" i="5" s="1"/>
  <c r="L112" i="5"/>
  <c r="Q112" i="5" s="1"/>
  <c r="L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<sst xmlns="http://schemas.openxmlformats.org/spreadsheetml/2006/main" count="617" uniqueCount="146">
  <si>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</si>
  <si>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</si>
  <si>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</si>
  <si>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</si>
  <si>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</si>
  <si>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</si>
  <si>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</si>
  <si>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</si>
  <si>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</si>
  <si>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</si>
  <si>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</si>
  <si>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</si>
  <si>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</si>
  <si>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</si>
  <si>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</si>
  <si>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</si>
  <si>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</si>
  <si>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</si>
  <si>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</si>
  <si>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</si>
  <si>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</si>
  <si>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</si>
  <si>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</si>
  <si>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</si>
  <si>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</si>
  <si>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</si>
  <si>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</si>
  <si>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</si>
  <si>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</si>
  <si>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</si>
  <si>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</si>
  <si>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</si>
  <si>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</si>
  <si>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</si>
  <si>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</si>
  <si>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</si>
  <si>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</si>
  <si>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</si>
  <si>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</si>
  <si>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</si>
  <si>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</si>
  <si>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</si>
  <si>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</si>
  <si>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</si>
  <si>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</si>
  <si>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</si>
  <si>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</si>
  <si>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</si>
  <si>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</si>
  <si>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</si>
  <si>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</si>
  <si>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</si>
  <si>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</si>
  <si>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</si>
  <si>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</si>
  <si>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</si>
  <si>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</si>
  <si>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</si>
  <si>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</si>
  <si>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</si>
  <si>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</si>
  <si>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</si>
  <si>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</si>
  <si>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</si>
  <si>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</si>
  <si>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</si>
  <si>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</si>
  <si>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</si>
  <si>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</si>
  <si>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</si>
  <si>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</si>
  <si>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</si>
  <si>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</si>
  <si>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</si>
  <si>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</si>
  <si>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</si>
  <si>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</si>
  <si>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</si>
  <si>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</si>
  <si>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</si>
  <si>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</si>
  <si>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</si>
  <si>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</si>
  <si>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</si>
  <si>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</si>
  <si>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</si>
  <si>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</si>
  <si>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</si>
  <si>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</si>
  <si>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</si>
  <si>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</si>
  <si>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</si>
  <si>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</si>
  <si>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</si>
  <si>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</si>
  <si>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</si>
  <si>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</si>
  <si>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</si>
  <si>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</si>
  <si>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</si>
  <si>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</si>
  <si>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</si>
  <si>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</si>
  <si>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</si>
  <si>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</si>
  <si>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</si>
  <si>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</si>
  <si>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</si>
  <si>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</si>
  <si>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</si>
  <si>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</si>
  <si>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</si>
  <si>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</si>
  <si>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</si>
  <si>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</si>
  <si>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</si>
  <si>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</si>
  <si>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</si>
  <si>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</si>
  <si>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</si>
  <si>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</si>
  <si>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</si>
  <si>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</si>
  <si>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</si>
  <si>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</si>
  <si>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</si>
  <si>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</si>
  <si>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</si>
  <si>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</si>
  <si>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</si>
  <si>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</si>
  <si>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</si>
  <si>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</si>
  <si>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</si>
  <si>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</si>
  <si>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</si>
  <si>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</si>
  <si>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</si>
  <si>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</si>
  <si>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</si>
  <si>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</si>
  <si>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</si>
  <si>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</si>
  <si>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</si>
  <si>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3/4/68 รวม</t>
  </si>
  <si>
    <t>ยอดจริง ออนไลน์ วันที่  3/4/68 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</si>
</sst>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116" zoomScale="60" zoomScaleNormal="60" workbookViewId="0">
      <selection sqref="A1:L140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>
        <v>35</v>
      </c>
      <c r="F7" s="30">
        <v>3</v>
      </c>
      <c r="G7" s="30">
        <v>20</v>
      </c>
      <c r="H7" s="30"/>
      <c r="I7" s="30"/>
      <c r="J7" s="43"/>
      <c r="K7" s="43">
        <v>5</v>
      </c>
      <c r="L7" s="36">
        <f>SUM(D7:K7)</f>
        <v>63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10</v>
      </c>
      <c r="F25" s="30"/>
      <c r="G25" s="30">
        <v>1</v>
      </c>
      <c r="H25" s="30"/>
      <c r="I25" s="30"/>
      <c r="J25" s="43"/>
      <c r="K25" s="43">
        <v>0</v>
      </c>
      <c r="L25" s="36">
        <f t="shared" si="0"/>
        <v>11</v>
      </c>
    </row>
    <row r="26" spans="2:12">
      <c r="B26" s="11">
        <v>1004055</v>
      </c>
      <c r="C26" s="15" t="s">
        <v>108</v>
      </c>
      <c r="D26" s="30"/>
      <c r="E26" s="30">
        <v>15</v>
      </c>
      <c r="F26" s="30"/>
      <c r="G26" s="30">
        <v>39</v>
      </c>
      <c r="H26" s="30"/>
      <c r="I26" s="30"/>
      <c r="J26" s="43"/>
      <c r="K26" s="43"/>
      <c r="L26" s="36">
        <f t="shared" si="0"/>
        <v>54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>
        <v>4</v>
      </c>
      <c r="F40" s="30"/>
      <c r="G40" s="30"/>
      <c r="H40" s="30"/>
      <c r="I40" s="30"/>
      <c r="J40" s="43"/>
      <c r="K40" s="43"/>
      <c r="L40" s="36">
        <f t="shared" si="0"/>
        <v>4</v>
      </c>
    </row>
    <row r="41" spans="2:12">
      <c r="B41" s="11">
        <v>1111058</v>
      </c>
      <c r="C41" s="15" t="s">
        <v>31</v>
      </c>
      <c r="D41" s="30"/>
      <c r="E41" s="30">
        <v>4</v>
      </c>
      <c r="F41" s="30"/>
      <c r="G41" s="30"/>
      <c r="H41" s="30"/>
      <c r="I41" s="30"/>
      <c r="J41" s="43"/>
      <c r="K41" s="43"/>
      <c r="L41" s="36">
        <f t="shared" si="0"/>
        <v>4</v>
      </c>
    </row>
    <row r="42" spans="2:12">
      <c r="B42" s="11">
        <v>1111059</v>
      </c>
      <c r="C42" s="15" t="s">
        <v>32</v>
      </c>
      <c r="D42" s="30"/>
      <c r="E42" s="30">
        <v>4</v>
      </c>
      <c r="F42" s="30"/>
      <c r="G42" s="30"/>
      <c r="H42" s="30"/>
      <c r="I42" s="30"/>
      <c r="J42" s="43"/>
      <c r="K42" s="43"/>
      <c r="L42" s="36">
        <f t="shared" si="0"/>
        <v>4</v>
      </c>
    </row>
    <row r="43" spans="2:12">
      <c r="B43" s="11">
        <v>1111060</v>
      </c>
      <c r="C43" s="15" t="s">
        <v>33</v>
      </c>
      <c r="D43" s="30"/>
      <c r="E43" s="30">
        <v>4</v>
      </c>
      <c r="F43" s="30"/>
      <c r="G43" s="30"/>
      <c r="H43" s="30"/>
      <c r="I43" s="30"/>
      <c r="J43" s="43"/>
      <c r="K43" s="43"/>
      <c r="L43" s="36">
        <f t="shared" si="0"/>
        <v>4</v>
      </c>
    </row>
    <row r="44" spans="2:12">
      <c r="B44" s="11">
        <v>1111061</v>
      </c>
      <c r="C44" s="15" t="s">
        <v>34</v>
      </c>
      <c r="D44" s="30"/>
      <c r="E44" s="30">
        <v>4</v>
      </c>
      <c r="F44" s="30"/>
      <c r="G44" s="30"/>
      <c r="H44" s="30"/>
      <c r="I44" s="30"/>
      <c r="J44" s="43"/>
      <c r="K44" s="43"/>
      <c r="L44" s="36">
        <f t="shared" si="0"/>
        <v>4</v>
      </c>
    </row>
    <row r="45" spans="2:12">
      <c r="B45" s="11">
        <v>1111062</v>
      </c>
      <c r="C45" s="15" t="s">
        <v>35</v>
      </c>
      <c r="D45" s="30"/>
      <c r="E45" s="30">
        <v>4</v>
      </c>
      <c r="F45" s="30"/>
      <c r="G45" s="30"/>
      <c r="H45" s="30"/>
      <c r="I45" s="30"/>
      <c r="J45" s="43"/>
      <c r="K45" s="43"/>
      <c r="L45" s="36">
        <f t="shared" si="0"/>
        <v>4</v>
      </c>
    </row>
    <row r="46" spans="2:12">
      <c r="B46" s="11">
        <v>1111063</v>
      </c>
      <c r="C46" s="15" t="s">
        <v>36</v>
      </c>
      <c r="D46" s="30"/>
      <c r="E46" s="30">
        <v>4</v>
      </c>
      <c r="F46" s="30"/>
      <c r="G46" s="30"/>
      <c r="H46" s="30"/>
      <c r="I46" s="30"/>
      <c r="J46" s="43"/>
      <c r="K46" s="43"/>
      <c r="L46" s="36">
        <f t="shared" si="0"/>
        <v>4</v>
      </c>
    </row>
    <row r="47" spans="2:12">
      <c r="B47" s="11">
        <v>1111064</v>
      </c>
      <c r="C47" s="15" t="s">
        <v>37</v>
      </c>
      <c r="D47" s="30"/>
      <c r="E47" s="30">
        <v>4</v>
      </c>
      <c r="F47" s="30"/>
      <c r="G47" s="30"/>
      <c r="H47" s="30"/>
      <c r="I47" s="30"/>
      <c r="J47" s="43"/>
      <c r="K47" s="43"/>
      <c r="L47" s="36">
        <f t="shared" si="0"/>
        <v>4</v>
      </c>
    </row>
    <row r="48" spans="2:12">
      <c r="B48" s="11">
        <v>1111065</v>
      </c>
      <c r="C48" s="15" t="s">
        <v>38</v>
      </c>
      <c r="D48" s="30"/>
      <c r="E48" s="30">
        <v>4</v>
      </c>
      <c r="F48" s="30"/>
      <c r="G48" s="30"/>
      <c r="H48" s="30"/>
      <c r="I48" s="30"/>
      <c r="J48" s="43"/>
      <c r="K48" s="43"/>
      <c r="L48" s="36">
        <f t="shared" si="0"/>
        <v>4</v>
      </c>
    </row>
    <row r="49" spans="2:12">
      <c r="B49" s="11">
        <v>1111066</v>
      </c>
      <c r="C49" s="15" t="s">
        <v>39</v>
      </c>
      <c r="D49" s="30"/>
      <c r="E49" s="30">
        <v>4</v>
      </c>
      <c r="F49" s="30"/>
      <c r="G49" s="30"/>
      <c r="H49" s="30"/>
      <c r="I49" s="30"/>
      <c r="J49" s="43"/>
      <c r="K49" s="43"/>
      <c r="L49" s="36">
        <f t="shared" si="0"/>
        <v>4</v>
      </c>
    </row>
    <row r="50" spans="2:12">
      <c r="B50" s="11">
        <v>1111067</v>
      </c>
      <c r="C50" s="15" t="s">
        <v>40</v>
      </c>
      <c r="D50" s="30"/>
      <c r="E50" s="30">
        <v>4</v>
      </c>
      <c r="F50" s="30"/>
      <c r="G50" s="30"/>
      <c r="H50" s="30"/>
      <c r="I50" s="30"/>
      <c r="J50" s="43"/>
      <c r="K50" s="43"/>
      <c r="L50" s="36">
        <f t="shared" si="0"/>
        <v>4</v>
      </c>
    </row>
    <row r="51" spans="2:12">
      <c r="B51" s="11">
        <v>1111068</v>
      </c>
      <c r="C51" s="15" t="s">
        <v>41</v>
      </c>
      <c r="D51" s="30"/>
      <c r="E51" s="30">
        <v>3</v>
      </c>
      <c r="F51" s="30"/>
      <c r="G51" s="30"/>
      <c r="H51" s="30"/>
      <c r="I51" s="30"/>
      <c r="J51" s="43"/>
      <c r="K51" s="43"/>
      <c r="L51" s="36">
        <f t="shared" si="0"/>
        <v>3</v>
      </c>
    </row>
    <row r="52" spans="2:12">
      <c r="B52" s="11">
        <v>1111069</v>
      </c>
      <c r="C52" s="15" t="s">
        <v>42</v>
      </c>
      <c r="D52" s="30"/>
      <c r="E52" s="30">
        <v>3</v>
      </c>
      <c r="F52" s="30"/>
      <c r="G52" s="30"/>
      <c r="H52" s="30"/>
      <c r="I52" s="30"/>
      <c r="J52" s="43"/>
      <c r="K52" s="43"/>
      <c r="L52" s="36">
        <f t="shared" si="0"/>
        <v>3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178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>
        <v>16</v>
      </c>
      <c r="F69" s="30">
        <v>2</v>
      </c>
      <c r="G69" s="30">
        <v>1</v>
      </c>
      <c r="H69" s="30"/>
      <c r="I69" s="30"/>
      <c r="J69" s="43"/>
      <c r="K69" s="43"/>
      <c r="L69" s="36">
        <f t="shared" ref="L69:L76" si="1">SUM(D69:K69)</f>
        <v>19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19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>
        <v>12</v>
      </c>
      <c r="F87" s="30"/>
      <c r="G87" s="30">
        <v>49</v>
      </c>
      <c r="H87" s="30"/>
      <c r="I87" s="30"/>
      <c r="J87" s="43"/>
      <c r="K87" s="43"/>
      <c r="L87" s="36">
        <f t="shared" si="2"/>
        <v>61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61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>
        <v>2</v>
      </c>
      <c r="E90" s="30">
        <v>2</v>
      </c>
      <c r="F90" s="30">
        <v>1</v>
      </c>
      <c r="G90" s="30">
        <v>22</v>
      </c>
      <c r="H90" s="30"/>
      <c r="I90" s="30"/>
      <c r="J90" s="43"/>
      <c r="K90" s="43"/>
      <c r="L90" s="36">
        <f t="shared" ref="L90:L99" si="3">SUM(D90:K90)</f>
        <v>27</v>
      </c>
    </row>
    <row r="91" spans="2:12">
      <c r="B91" s="11">
        <v>1112011</v>
      </c>
      <c r="C91" s="19" t="s">
        <v>76</v>
      </c>
      <c r="D91" s="30">
        <v>2</v>
      </c>
      <c r="E91" s="30">
        <v>3</v>
      </c>
      <c r="F91" s="30">
        <v>9</v>
      </c>
      <c r="G91" s="30">
        <v>23</v>
      </c>
      <c r="H91" s="30"/>
      <c r="I91" s="30"/>
      <c r="J91" s="43"/>
      <c r="K91" s="43"/>
      <c r="L91" s="36">
        <f t="shared" si="3"/>
        <v>37</v>
      </c>
    </row>
    <row r="92" spans="2:12">
      <c r="B92" s="11">
        <v>1112003</v>
      </c>
      <c r="C92" s="19" t="s">
        <v>77</v>
      </c>
      <c r="D92" s="30">
        <v>2</v>
      </c>
      <c r="E92" s="30">
        <v>2</v>
      </c>
      <c r="F92" s="30"/>
      <c r="G92" s="30">
        <v>22</v>
      </c>
      <c r="H92" s="30"/>
      <c r="I92" s="30"/>
      <c r="J92" s="43"/>
      <c r="K92" s="43"/>
      <c r="L92" s="36">
        <f t="shared" si="3"/>
        <v>26</v>
      </c>
    </row>
    <row r="93" spans="2:12">
      <c r="B93" s="11">
        <v>1112005</v>
      </c>
      <c r="C93" s="19" t="s">
        <v>78</v>
      </c>
      <c r="D93" s="30">
        <v>1</v>
      </c>
      <c r="E93" s="30">
        <v>2</v>
      </c>
      <c r="F93" s="30"/>
      <c r="G93" s="30">
        <v>22</v>
      </c>
      <c r="H93" s="30"/>
      <c r="I93" s="30"/>
      <c r="J93" s="43"/>
      <c r="K93" s="43"/>
      <c r="L93" s="36">
        <f t="shared" si="3"/>
        <v>25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1</v>
      </c>
      <c r="E97" s="30">
        <v>2</v>
      </c>
      <c r="F97" s="30"/>
      <c r="G97" s="30">
        <v>22</v>
      </c>
      <c r="H97" s="30"/>
      <c r="I97" s="30"/>
      <c r="J97" s="43"/>
      <c r="K97" s="43"/>
      <c r="L97" s="36">
        <f t="shared" si="3"/>
        <v>25</v>
      </c>
    </row>
    <row r="98" spans="2:12">
      <c r="B98" s="11">
        <v>1112013</v>
      </c>
      <c r="C98" s="19" t="s">
        <v>83</v>
      </c>
      <c r="D98" s="30">
        <v>2</v>
      </c>
      <c r="E98" s="30">
        <v>2</v>
      </c>
      <c r="F98" s="30">
        <v>1</v>
      </c>
      <c r="G98" s="30">
        <v>22</v>
      </c>
      <c r="H98" s="30"/>
      <c r="I98" s="30"/>
      <c r="J98" s="43"/>
      <c r="K98" s="43"/>
      <c r="L98" s="36">
        <f t="shared" si="3"/>
        <v>27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167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>
        <v>2</v>
      </c>
      <c r="F102" s="30"/>
      <c r="G102" s="30"/>
      <c r="H102" s="30"/>
      <c r="I102" s="30"/>
      <c r="J102" s="43"/>
      <c r="K102" s="43"/>
      <c r="L102" s="36">
        <f t="shared" ref="L102:L111" si="4">SUM(D102:K102)</f>
        <v>2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2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>
        <v>4</v>
      </c>
      <c r="F121" s="30"/>
      <c r="G121" s="30"/>
      <c r="H121" s="30"/>
      <c r="I121" s="30"/>
      <c r="J121" s="43"/>
      <c r="K121" s="43"/>
      <c r="L121" s="36">
        <f t="shared" si="5"/>
        <v>4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>
        <v>37</v>
      </c>
      <c r="F123" s="30">
        <v>7</v>
      </c>
      <c r="G123" s="30">
        <v>185</v>
      </c>
      <c r="H123" s="30"/>
      <c r="I123" s="30"/>
      <c r="J123" s="43"/>
      <c r="K123" s="43"/>
      <c r="L123" s="36">
        <f t="shared" si="5"/>
        <v>229</v>
      </c>
    </row>
    <row r="124" spans="2:12">
      <c r="B124" s="11">
        <v>1114502</v>
      </c>
      <c r="C124" s="21" t="s">
        <v>96</v>
      </c>
      <c r="D124" s="30"/>
      <c r="E124" s="30">
        <v>5</v>
      </c>
      <c r="F124" s="30"/>
      <c r="G124" s="30">
        <v>63</v>
      </c>
      <c r="H124" s="30"/>
      <c r="I124" s="30"/>
      <c r="J124" s="43"/>
      <c r="K124" s="43"/>
      <c r="L124" s="36">
        <f t="shared" si="5"/>
        <v>68</v>
      </c>
    </row>
    <row r="125" spans="2:12">
      <c r="B125" s="11">
        <v>1114503</v>
      </c>
      <c r="C125" s="21" t="s">
        <v>97</v>
      </c>
      <c r="D125" s="30"/>
      <c r="E125" s="30">
        <v>5</v>
      </c>
      <c r="F125" s="30"/>
      <c r="G125" s="30">
        <v>50</v>
      </c>
      <c r="H125" s="30"/>
      <c r="I125" s="30"/>
      <c r="J125" s="43"/>
      <c r="K125" s="43"/>
      <c r="L125" s="36">
        <f t="shared" si="5"/>
        <v>55</v>
      </c>
    </row>
    <row r="126" spans="2:12">
      <c r="B126" s="11">
        <v>1124021</v>
      </c>
      <c r="C126" s="21" t="s">
        <v>98</v>
      </c>
      <c r="D126" s="30"/>
      <c r="E126" s="30">
        <v>6</v>
      </c>
      <c r="F126" s="30">
        <v>4</v>
      </c>
      <c r="G126" s="30">
        <v>4</v>
      </c>
      <c r="H126" s="30"/>
      <c r="I126" s="30"/>
      <c r="J126" s="43"/>
      <c r="K126" s="43"/>
      <c r="L126" s="36">
        <f t="shared" si="5"/>
        <v>14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topLeftCell="C1" zoomScale="50" zoomScaleNormal="50" workbookViewId="0">
      <selection activeCell="U40" sqref="U40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0</v>
      </c>
      <c r="E7" s="30">
        <f>'เย็น '!E7+'เช้า '!E7+บ่าย!E7</f>
        <v>35</v>
      </c>
      <c r="F7" s="30">
        <f>'เย็น '!F7+'เช้า '!F7+บ่าย!F7</f>
        <v>3</v>
      </c>
      <c r="G7" s="30">
        <f>'เย็น '!G7+'เช้า '!G7+บ่าย!G7</f>
        <v>20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5</v>
      </c>
      <c r="L7" s="36">
        <f>SUM(D7:K7)</f>
        <v>63</v>
      </c>
      <c r="M7" s="11">
        <v>60</v>
      </c>
      <c r="N7" s="11">
        <v>98</v>
      </c>
      <c r="O7" s="11"/>
      <c r="P7" s="11">
        <v>75</v>
      </c>
      <c r="Q7" s="44">
        <f>(M7+N7+O7+P7)-L7</f>
        <v>170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10</v>
      </c>
      <c r="F25" s="30">
        <f>'เย็น '!F25+'เช้า '!F25+บ่าย!F25</f>
        <v>0</v>
      </c>
      <c r="G25" s="30">
        <f>'เย็น '!G25+'เช้า '!G25+บ่าย!G25</f>
        <v>1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11</v>
      </c>
      <c r="M25" s="11">
        <v>10</v>
      </c>
      <c r="N25" s="11">
        <v>3</v>
      </c>
      <c r="O25" s="11"/>
      <c r="P25" s="11">
        <v>30</v>
      </c>
      <c r="Q25" s="44">
        <f t="shared" si="1"/>
        <v>32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15</v>
      </c>
      <c r="F26" s="30">
        <f>'เย็น '!F26+'เช้า '!F26+บ่าย!F26</f>
        <v>0</v>
      </c>
      <c r="G26" s="30">
        <f>'เย็น '!G26+'เช้า '!G26+บ่าย!G26</f>
        <v>39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54</v>
      </c>
      <c r="M26" s="11">
        <v>20</v>
      </c>
      <c r="N26" s="11"/>
      <c r="O26" s="11"/>
      <c r="P26" s="11">
        <v>60</v>
      </c>
      <c r="Q26" s="44">
        <f t="shared" si="1"/>
        <v>26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4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4</v>
      </c>
      <c r="M40" s="11"/>
      <c r="N40" s="11"/>
      <c r="O40" s="11"/>
      <c r="P40" s="11"/>
      <c r="Q40" s="44">
        <f t="shared" si="1"/>
        <v>-4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4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4</v>
      </c>
      <c r="M41" s="11"/>
      <c r="N41" s="11"/>
      <c r="O41" s="11"/>
      <c r="P41" s="11"/>
      <c r="Q41" s="44">
        <f t="shared" si="1"/>
        <v>-4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4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4</v>
      </c>
      <c r="M42" s="11"/>
      <c r="N42" s="11"/>
      <c r="O42" s="11"/>
      <c r="P42" s="11"/>
      <c r="Q42" s="44">
        <f t="shared" si="1"/>
        <v>-4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4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4</v>
      </c>
      <c r="M43" s="11"/>
      <c r="N43" s="11"/>
      <c r="O43" s="11"/>
      <c r="P43" s="11"/>
      <c r="Q43" s="44">
        <f t="shared" si="1"/>
        <v>-4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4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4</v>
      </c>
      <c r="M44" s="11"/>
      <c r="N44" s="11"/>
      <c r="O44" s="11"/>
      <c r="P44" s="11"/>
      <c r="Q44" s="44">
        <f t="shared" si="1"/>
        <v>-4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4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4</v>
      </c>
      <c r="M45" s="11"/>
      <c r="N45" s="11"/>
      <c r="O45" s="11"/>
      <c r="P45" s="11"/>
      <c r="Q45" s="44">
        <f t="shared" si="1"/>
        <v>-4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4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4</v>
      </c>
      <c r="M46" s="11"/>
      <c r="N46" s="11"/>
      <c r="O46" s="11"/>
      <c r="P46" s="11"/>
      <c r="Q46" s="44">
        <f t="shared" si="1"/>
        <v>-4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4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4</v>
      </c>
      <c r="M47" s="11"/>
      <c r="N47" s="11"/>
      <c r="O47" s="11"/>
      <c r="P47" s="11"/>
      <c r="Q47" s="44">
        <f t="shared" si="1"/>
        <v>-4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4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4</v>
      </c>
      <c r="M48" s="11"/>
      <c r="N48" s="11"/>
      <c r="O48" s="11"/>
      <c r="P48" s="11"/>
      <c r="Q48" s="44">
        <f t="shared" si="1"/>
        <v>-4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4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4</v>
      </c>
      <c r="M49" s="11"/>
      <c r="N49" s="11"/>
      <c r="O49" s="11"/>
      <c r="P49" s="11"/>
      <c r="Q49" s="44">
        <f t="shared" si="1"/>
        <v>-4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4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4</v>
      </c>
      <c r="M50" s="11"/>
      <c r="N50" s="11"/>
      <c r="O50" s="11"/>
      <c r="P50" s="11"/>
      <c r="Q50" s="44">
        <f t="shared" si="1"/>
        <v>-4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3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3</v>
      </c>
      <c r="M51" s="11"/>
      <c r="N51" s="11"/>
      <c r="O51" s="11"/>
      <c r="P51" s="11"/>
      <c r="Q51" s="44">
        <f t="shared" si="1"/>
        <v>-3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3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3</v>
      </c>
      <c r="M52" s="11"/>
      <c r="N52" s="11"/>
      <c r="O52" s="11"/>
      <c r="P52" s="11"/>
      <c r="Q52" s="44">
        <f t="shared" si="1"/>
        <v>-3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f>'เย็น '!E69+'เช้า '!E69+บ่าย!E69</f>
        <v>16</v>
      </c>
      <c r="F69" s="30">
        <f>'เย็น '!F69+'เช้า '!F69+บ่าย!F69</f>
        <v>2</v>
      </c>
      <c r="G69" s="30">
        <f>'เย็น '!G69+'เช้า '!G69+บ่าย!G69</f>
        <v>1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19</v>
      </c>
      <c r="M69" s="11">
        <v>30</v>
      </c>
      <c r="N69" s="11">
        <v>1</v>
      </c>
      <c r="O69" s="11"/>
      <c r="P69" s="11">
        <v>30</v>
      </c>
      <c r="Q69" s="44">
        <f t="shared" ref="Q69:Q76" si="5">(M69+N69+O69+P69)-L69</f>
        <v>42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12</v>
      </c>
      <c r="F87" s="30">
        <f>'เย็น '!F87+'เช้า '!F87+บ่าย!F87</f>
        <v>0</v>
      </c>
      <c r="G87" s="30">
        <f>'เย็น '!G87+'เช้า '!G87+บ่าย!G87</f>
        <v>49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61</v>
      </c>
      <c r="M87" s="11">
        <v>66</v>
      </c>
      <c r="N87" s="11">
        <v>7</v>
      </c>
      <c r="O87" s="11"/>
      <c r="P87" s="11">
        <v>60</v>
      </c>
      <c r="Q87" s="44">
        <f t="shared" si="8"/>
        <v>72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2</v>
      </c>
      <c r="E90" s="30">
        <f>'เย็น '!E90+'เช้า '!E90+บ่าย!E90</f>
        <v>2</v>
      </c>
      <c r="F90" s="30">
        <f>'เย็น '!F90+'เช้า '!F90+บ่าย!F90</f>
        <v>1</v>
      </c>
      <c r="G90" s="30">
        <f>'เย็น '!G90+'เช้า '!G90+บ่าย!G90</f>
        <v>22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27</v>
      </c>
      <c r="M90" s="11">
        <v>7</v>
      </c>
      <c r="N90" s="11">
        <v>287</v>
      </c>
      <c r="O90" s="11"/>
      <c r="P90" s="11"/>
      <c r="Q90" s="44">
        <f t="shared" ref="Q90:Q100" si="10">(M90+N90+O90+P90)-L90</f>
        <v>267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2</v>
      </c>
      <c r="E91" s="30">
        <f>'เย็น '!E91+'เช้า '!E91+บ่าย!E91</f>
        <v>3</v>
      </c>
      <c r="F91" s="30">
        <f>'เย็น '!F91+'เช้า '!F91+บ่าย!F91</f>
        <v>9</v>
      </c>
      <c r="G91" s="30">
        <f>'เย็น '!G91+'เช้า '!G91+บ่าย!G91</f>
        <v>23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37</v>
      </c>
      <c r="M91" s="11"/>
      <c r="N91" s="11">
        <v>304</v>
      </c>
      <c r="O91" s="11"/>
      <c r="P91" s="11"/>
      <c r="Q91" s="44">
        <f t="shared" si="10"/>
        <v>267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2</v>
      </c>
      <c r="E92" s="30">
        <f>'เย็น '!E92+'เช้า '!E92+บ่าย!E92</f>
        <v>2</v>
      </c>
      <c r="F92" s="30">
        <f>'เย็น '!F92+'เช้า '!F92+บ่าย!F92</f>
        <v>0</v>
      </c>
      <c r="G92" s="30">
        <f>'เย็น '!G92+'เช้า '!G92+บ่าย!G92</f>
        <v>22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26</v>
      </c>
      <c r="M92" s="11">
        <v>69</v>
      </c>
      <c r="N92" s="11">
        <v>96</v>
      </c>
      <c r="O92" s="11"/>
      <c r="P92" s="11">
        <v>40</v>
      </c>
      <c r="Q92" s="44">
        <f t="shared" si="10"/>
        <v>179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1</v>
      </c>
      <c r="E93" s="30">
        <f>'เย็น '!E93+'เช้า '!E93+บ่าย!E93</f>
        <v>2</v>
      </c>
      <c r="F93" s="30">
        <f>'เย็น '!F93+'เช้า '!F93+บ่าย!F93</f>
        <v>0</v>
      </c>
      <c r="G93" s="30">
        <f>'เย็น '!G93+'เช้า '!G93+บ่าย!G93</f>
        <v>22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25</v>
      </c>
      <c r="M93" s="11"/>
      <c r="N93" s="11">
        <v>69</v>
      </c>
      <c r="O93" s="11"/>
      <c r="P93" s="11"/>
      <c r="Q93" s="44">
        <f t="shared" si="10"/>
        <v>44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1</v>
      </c>
      <c r="E97" s="30">
        <f>'เย็น '!E97+'เช้า '!E97+บ่าย!E97</f>
        <v>2</v>
      </c>
      <c r="F97" s="30">
        <f>'เย็น '!F97+'เช้า '!F97+บ่าย!F97</f>
        <v>0</v>
      </c>
      <c r="G97" s="30">
        <f>'เย็น '!G97+'เช้า '!G97+บ่าย!G97</f>
        <v>22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25</v>
      </c>
      <c r="M97" s="11"/>
      <c r="N97" s="11">
        <v>144</v>
      </c>
      <c r="O97" s="11"/>
      <c r="P97" s="11"/>
      <c r="Q97" s="44">
        <f t="shared" si="10"/>
        <v>119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2</v>
      </c>
      <c r="E98" s="30">
        <f>'เย็น '!E98+'เช้า '!E98+บ่าย!E98</f>
        <v>2</v>
      </c>
      <c r="F98" s="30">
        <f>'เย็น '!F98+'เช้า '!F98+บ่าย!F98</f>
        <v>1</v>
      </c>
      <c r="G98" s="30">
        <f>'เย็น '!G98+'เช้า '!G98+บ่าย!G98</f>
        <v>22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27</v>
      </c>
      <c r="M98" s="11"/>
      <c r="N98" s="11">
        <v>101</v>
      </c>
      <c r="O98" s="11"/>
      <c r="P98" s="11"/>
      <c r="Q98" s="44">
        <f t="shared" si="10"/>
        <v>74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167</v>
      </c>
      <c r="M100" s="11">
        <f>SUM(M90:M99)</f>
        <v>76</v>
      </c>
      <c r="N100" s="11">
        <f>SUM(N90:N99)</f>
        <v>1001</v>
      </c>
      <c r="O100" s="11">
        <f>SUM(O90:O99)</f>
        <v>0</v>
      </c>
      <c r="P100" s="11">
        <f>SUM(P90:P99)</f>
        <v>40</v>
      </c>
      <c r="Q100" s="44">
        <f t="shared" si="10"/>
        <v>950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2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2</v>
      </c>
      <c r="M102" s="11"/>
      <c r="N102" s="11"/>
      <c r="O102" s="11"/>
      <c r="P102" s="11"/>
      <c r="Q102" s="44">
        <f t="shared" ref="Q102:Q112" si="12">(M102+N102+O102+P102)-L102</f>
        <v>-2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2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-2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0</v>
      </c>
      <c r="M114" s="11"/>
      <c r="N114" s="11"/>
      <c r="O114" s="11"/>
      <c r="P114" s="11"/>
      <c r="Q114" s="44">
        <f t="shared" ref="Q114:Q140" si="14">(M114+N114+O114+P114)-L114</f>
        <v>0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0</v>
      </c>
      <c r="M115" s="11"/>
      <c r="N115" s="11"/>
      <c r="O115" s="11"/>
      <c r="P115" s="11"/>
      <c r="Q115" s="44">
        <f t="shared" si="14"/>
        <v>0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0</v>
      </c>
      <c r="M120" s="11"/>
      <c r="N120" s="11"/>
      <c r="O120" s="11"/>
      <c r="P120" s="11"/>
      <c r="Q120" s="44">
        <f t="shared" si="14"/>
        <v>0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4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4</v>
      </c>
      <c r="M121" s="11"/>
      <c r="N121" s="11">
        <v>20</v>
      </c>
      <c r="O121" s="11"/>
      <c r="P121" s="11"/>
      <c r="Q121" s="44">
        <f t="shared" si="14"/>
        <v>16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0</v>
      </c>
      <c r="E123" s="30">
        <f>'เย็น '!E123+'เช้า '!E123+บ่าย!E123</f>
        <v>37</v>
      </c>
      <c r="F123" s="30">
        <f>'เย็น '!F123+'เช้า '!F123+บ่าย!F123</f>
        <v>7</v>
      </c>
      <c r="G123" s="30">
        <f>'เย็น '!G123+'เช้า '!G123+บ่าย!G123</f>
        <v>185</v>
      </c>
      <c r="H123" s="30">
        <f>'เย็น '!H123+'เช้า '!H123+บ่าย!H123</f>
        <v>0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229</v>
      </c>
      <c r="M123" s="11">
        <v>7</v>
      </c>
      <c r="N123" s="11">
        <v>228</v>
      </c>
      <c r="O123" s="11"/>
      <c r="P123" s="11">
        <v>200</v>
      </c>
      <c r="Q123" s="44">
        <f t="shared" si="14"/>
        <v>206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0</v>
      </c>
      <c r="E124" s="30">
        <f>'เย็น '!E124+'เช้า '!E124+บ่าย!E124</f>
        <v>5</v>
      </c>
      <c r="F124" s="30">
        <f>'เย็น '!F124+'เช้า '!F124+บ่าย!F124</f>
        <v>0</v>
      </c>
      <c r="G124" s="30">
        <f>'เย็น '!G124+'เช้า '!G124+บ่าย!G124</f>
        <v>63</v>
      </c>
      <c r="H124" s="30">
        <f>'เย็น '!H124+'เช้า '!H124+บ่าย!H124</f>
        <v>0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68</v>
      </c>
      <c r="M124" s="11">
        <v>105</v>
      </c>
      <c r="N124" s="11">
        <v>170</v>
      </c>
      <c r="O124" s="11"/>
      <c r="P124" s="11">
        <v>150</v>
      </c>
      <c r="Q124" s="44">
        <f t="shared" si="14"/>
        <v>357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0</v>
      </c>
      <c r="E125" s="30">
        <f>'เย็น '!E125+'เช้า '!E125+บ่าย!E125</f>
        <v>5</v>
      </c>
      <c r="F125" s="30">
        <f>'เย็น '!F125+'เช้า '!F125+บ่าย!F125</f>
        <v>0</v>
      </c>
      <c r="G125" s="30">
        <f>'เย็น '!G125+'เช้า '!G125+บ่าย!G125</f>
        <v>50</v>
      </c>
      <c r="H125" s="30">
        <f>'เย็น '!H125+'เช้า '!H125+บ่าย!H125</f>
        <v>0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55</v>
      </c>
      <c r="M125" s="11"/>
      <c r="N125" s="11">
        <v>18</v>
      </c>
      <c r="O125" s="11"/>
      <c r="P125" s="11">
        <v>100</v>
      </c>
      <c r="Q125" s="44">
        <f t="shared" si="14"/>
        <v>63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6</v>
      </c>
      <c r="F126" s="30">
        <f>'เย็น '!F126+'เช้า '!F126+บ่าย!F126</f>
        <v>4</v>
      </c>
      <c r="G126" s="30">
        <f>'เย็น '!G126+'เช้า '!G126+บ่าย!G126</f>
        <v>4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14</v>
      </c>
      <c r="M126" s="11">
        <v>80</v>
      </c>
      <c r="N126" s="11">
        <v>8</v>
      </c>
      <c r="O126" s="11"/>
      <c r="P126" s="11">
        <v>100</v>
      </c>
      <c r="Q126" s="44">
        <f t="shared" si="14"/>
        <v>174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0</v>
      </c>
      <c r="M137" s="11"/>
      <c r="N137" s="11"/>
      <c r="O137" s="11"/>
      <c r="P137" s="11"/>
      <c r="Q137" s="44"/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10</v>
      </c>
      <c r="E141" s="36">
        <f t="shared" ref="E141:K141" si="15">SUM(E114:E140,E90:E99,E79:E87,E69:E76,E7:E66,E102:E111)</f>
        <v>210</v>
      </c>
      <c r="F141" s="36">
        <f t="shared" si="15"/>
        <v>27</v>
      </c>
      <c r="G141" s="36">
        <f t="shared" si="15"/>
        <v>545</v>
      </c>
      <c r="H141" s="36">
        <f t="shared" si="15"/>
        <v>0</v>
      </c>
      <c r="I141" s="36">
        <f t="shared" si="15"/>
        <v>0</v>
      </c>
      <c r="J141" s="36">
        <f t="shared" si="15"/>
        <v>0</v>
      </c>
      <c r="K141" s="36">
        <f t="shared" si="15"/>
        <v>5</v>
      </c>
      <c r="L141" s="36">
        <f>SUM(L114:L140,L90:L99,L79:L87,L69:L76,L7:L66,L102:L111)</f>
        <v>797</v>
      </c>
      <c r="M141" s="36">
        <f>SUM(M114:M140,M90:M99,M79:M87,M69:M76,M7:M66,M102:M111)</f>
        <v>454</v>
      </c>
      <c r="N141" s="36">
        <f t="shared" ref="N141" si="16">SUM(N114:N140,N90:N99,N79:N87,N69:N76,N7:N66,N102:N111)</f>
        <v>1554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845</v>
      </c>
      <c r="Q141" s="36">
        <f t="shared" ref="Q141" si="19">SUM(Q114:Q140,Q90:Q99,Q79:Q87,Q69:Q76,Q7:Q66,Q102:Q111)</f>
        <v>2056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2025-04-03T00:48:07Z</cp:lastPrinted>
  <dcterms:created xsi:type="dcterms:W3CDTF">2024-04-30T05:21:27Z</dcterms:created>
  <dcterms:modified xsi:type="dcterms:W3CDTF">2025-04-03T00:51:39Z</dcterms:modified>
</cp:coreProperties>
</file>