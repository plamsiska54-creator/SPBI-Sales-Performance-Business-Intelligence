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75D96507-D279-4374-9191-C33B548E6829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67" i="3"/>
  <c r="L100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<sst xmlns="http://schemas.openxmlformats.org/spreadsheetml/2006/main" count="617" uniqueCount="146">
  <si>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</si>
  <si>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</si>
  <si>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</si>
  <si>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</si>
  <si>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</si>
  <si>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</si>
  <si>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</si>
  <si>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</si>
  <si>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</si>
  <si>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</si>
  <si>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</si>
  <si>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</si>
  <si>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</si>
  <si>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</si>
  <si>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</si>
  <si>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</si>
  <si>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</si>
  <si>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</si>
  <si>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</si>
  <si>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</si>
  <si>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</si>
  <si>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</si>
  <si>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</si>
  <si>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</si>
  <si>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</si>
  <si>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</si>
  <si>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</si>
  <si>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</si>
  <si>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</si>
  <si>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</si>
  <si>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</si>
  <si>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</si>
  <si>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</si>
  <si>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</si>
  <si>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</si>
  <si>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</si>
  <si>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</si>
  <si>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</si>
  <si>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</si>
  <si>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</si>
  <si>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</si>
  <si>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</si>
  <si>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</si>
  <si>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</si>
  <si>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</si>
  <si>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</si>
  <si>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</si>
  <si>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</si>
  <si>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</si>
  <si>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</si>
  <si>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</si>
  <si>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</si>
  <si>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</si>
  <si>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</si>
  <si>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</si>
  <si>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</si>
  <si>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</si>
  <si>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</si>
  <si>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</si>
  <si>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</si>
  <si>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</si>
  <si>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</si>
  <si>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</si>
  <si>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</si>
  <si>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</si>
  <si>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</si>
  <si>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</si>
  <si>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</si>
  <si>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</si>
  <si>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</si>
  <si>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</si>
  <si>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</si>
  <si>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</si>
  <si>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</si>
  <si>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</si>
  <si>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</si>
  <si>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</si>
  <si>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</si>
  <si>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</si>
  <si>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</si>
  <si>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</si>
  <si>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</si>
  <si>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</si>
  <si>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</si>
  <si>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</si>
  <si>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</si>
  <si>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</si>
  <si>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</si>
  <si>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</si>
  <si>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</si>
  <si>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</si>
  <si>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</si>
  <si>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</si>
  <si>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</si>
  <si>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</si>
  <si>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</si>
  <si>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</si>
  <si>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</si>
  <si>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</si>
  <si>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</si>
  <si>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</si>
  <si>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</si>
  <si>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</si>
  <si>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</si>
  <si>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</si>
  <si>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</si>
  <si>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</si>
  <si>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</si>
  <si>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</si>
  <si>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</si>
  <si>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</si>
  <si>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</si>
  <si>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</si>
  <si>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</si>
  <si>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</si>
  <si>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</si>
  <si>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</si>
  <si>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</si>
  <si>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</si>
  <si>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</si>
  <si>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</si>
  <si>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</si>
  <si>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</si>
  <si>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</si>
  <si>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</si>
  <si>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</si>
  <si>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</si>
  <si>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</si>
  <si>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</si>
  <si>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</si>
  <si>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</si>
  <si>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</si>
  <si>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</si>
  <si>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</si>
  <si>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</si>
  <si>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</si>
  <si>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</si>
  <si>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</si>
  <si>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</si>
  <si>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</si>
  <si>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</si>
  <si>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</si>
  <si>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</si>
  <si>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</si>
  <si>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15/4/68 รวม</t>
  </si>
  <si>
    <t>ยอดจริง ออนไลน์ วันที่  15/4/68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</si>
</sst>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6" zoomScale="60" zoomScaleNormal="60" workbookViewId="0">
      <selection activeCell="J95" sqref="J9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16</v>
      </c>
      <c r="F7" s="30">
        <v>11</v>
      </c>
      <c r="G7" s="30"/>
      <c r="H7" s="30">
        <v>2</v>
      </c>
      <c r="I7" s="30">
        <v>15</v>
      </c>
      <c r="J7" s="43"/>
      <c r="K7" s="43">
        <v>10</v>
      </c>
      <c r="L7" s="36">
        <f>SUM(D7:K7)</f>
        <v>56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7</v>
      </c>
      <c r="F25" s="30"/>
      <c r="G25" s="30"/>
      <c r="H25" s="30"/>
      <c r="I25" s="30"/>
      <c r="J25" s="43"/>
      <c r="K25" s="43"/>
      <c r="L25" s="36">
        <f t="shared" si="0"/>
        <v>7</v>
      </c>
    </row>
    <row r="26" spans="2:12">
      <c r="B26" s="11">
        <v>1004055</v>
      </c>
      <c r="C26" s="15" t="s">
        <v>108</v>
      </c>
      <c r="D26" s="30">
        <v>11</v>
      </c>
      <c r="E26" s="30"/>
      <c r="F26" s="30"/>
      <c r="G26" s="30">
        <v>48</v>
      </c>
      <c r="H26" s="30">
        <v>46</v>
      </c>
      <c r="I26" s="30">
        <v>45</v>
      </c>
      <c r="J26" s="43"/>
      <c r="K26" s="43"/>
      <c r="L26" s="36">
        <f t="shared" si="0"/>
        <v>150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2</v>
      </c>
      <c r="E40" s="30">
        <v>2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>
        <v>2</v>
      </c>
      <c r="E41" s="30">
        <v>2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>
        <v>2</v>
      </c>
      <c r="E42" s="30">
        <v>2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>
        <v>2</v>
      </c>
      <c r="E43" s="30">
        <v>2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>
        <v>2</v>
      </c>
      <c r="E44" s="30">
        <v>2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>
        <v>2</v>
      </c>
      <c r="E45" s="30">
        <v>2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>
        <v>2</v>
      </c>
      <c r="E46" s="30">
        <v>2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>
        <v>1</v>
      </c>
      <c r="E47" s="30">
        <v>1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>
        <v>1</v>
      </c>
      <c r="E48" s="30">
        <v>1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>
        <v>1</v>
      </c>
      <c r="E49" s="30">
        <v>1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>
        <v>1</v>
      </c>
      <c r="E50" s="30">
        <v>1</v>
      </c>
      <c r="F50" s="30"/>
      <c r="G50" s="30"/>
      <c r="H50" s="30"/>
      <c r="I50" s="30"/>
      <c r="J50" s="43"/>
      <c r="K50" s="43"/>
      <c r="L50" s="36">
        <f t="shared" si="0"/>
        <v>2</v>
      </c>
    </row>
    <row r="51" spans="2:12">
      <c r="B51" s="11">
        <v>1111068</v>
      </c>
      <c r="C51" s="15" t="s">
        <v>41</v>
      </c>
      <c r="D51" s="30">
        <v>1</v>
      </c>
      <c r="E51" s="30">
        <v>1</v>
      </c>
      <c r="F51" s="30"/>
      <c r="G51" s="30"/>
      <c r="H51" s="30"/>
      <c r="I51" s="30"/>
      <c r="J51" s="43"/>
      <c r="K51" s="43"/>
      <c r="L51" s="36">
        <f t="shared" si="0"/>
        <v>2</v>
      </c>
    </row>
    <row r="52" spans="2:12">
      <c r="B52" s="11">
        <v>1111069</v>
      </c>
      <c r="C52" s="15" t="s">
        <v>42</v>
      </c>
      <c r="D52" s="30">
        <v>1</v>
      </c>
      <c r="E52" s="30">
        <v>1</v>
      </c>
      <c r="F52" s="30"/>
      <c r="G52" s="30"/>
      <c r="H52" s="30"/>
      <c r="I52" s="30"/>
      <c r="J52" s="43"/>
      <c r="K52" s="43"/>
      <c r="L52" s="36">
        <f t="shared" si="0"/>
        <v>2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253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4</v>
      </c>
      <c r="E69" s="30">
        <v>4</v>
      </c>
      <c r="F69" s="30">
        <v>7</v>
      </c>
      <c r="G69" s="30">
        <v>2</v>
      </c>
      <c r="H69" s="30">
        <v>3</v>
      </c>
      <c r="I69" s="30"/>
      <c r="J69" s="43"/>
      <c r="K69" s="43"/>
      <c r="L69" s="36">
        <f t="shared" ref="L69:L76" si="1">SUM(D69:K69)</f>
        <v>20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9</v>
      </c>
      <c r="E87" s="30">
        <v>15</v>
      </c>
      <c r="F87" s="30"/>
      <c r="G87" s="30">
        <v>30</v>
      </c>
      <c r="H87" s="30">
        <v>36</v>
      </c>
      <c r="I87" s="30">
        <v>66</v>
      </c>
      <c r="J87" s="43"/>
      <c r="K87" s="43"/>
      <c r="L87" s="36">
        <f t="shared" si="2"/>
        <v>156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156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3</v>
      </c>
      <c r="E90" s="30">
        <v>1</v>
      </c>
      <c r="F90" s="30"/>
      <c r="G90" s="30">
        <v>15</v>
      </c>
      <c r="H90" s="30">
        <v>18</v>
      </c>
      <c r="I90" s="30">
        <v>68</v>
      </c>
      <c r="J90" s="43"/>
      <c r="K90" s="43">
        <v>5</v>
      </c>
      <c r="L90" s="36">
        <f t="shared" ref="L90:L99" si="3">SUM(D90:K90)</f>
        <v>110</v>
      </c>
    </row>
    <row r="91" spans="2:12">
      <c r="B91" s="11">
        <v>1112011</v>
      </c>
      <c r="C91" s="19" t="s">
        <v>76</v>
      </c>
      <c r="D91" s="30">
        <v>3</v>
      </c>
      <c r="E91" s="30">
        <v>1</v>
      </c>
      <c r="F91" s="30">
        <v>14</v>
      </c>
      <c r="G91" s="30">
        <v>14</v>
      </c>
      <c r="H91" s="30">
        <v>16</v>
      </c>
      <c r="I91" s="30">
        <v>55</v>
      </c>
      <c r="J91" s="43"/>
      <c r="K91" s="43">
        <v>5</v>
      </c>
      <c r="L91" s="36">
        <f t="shared" si="3"/>
        <v>108</v>
      </c>
    </row>
    <row r="92" spans="2:12">
      <c r="B92" s="11">
        <v>1112003</v>
      </c>
      <c r="C92" s="19" t="s">
        <v>77</v>
      </c>
      <c r="D92" s="30">
        <v>9</v>
      </c>
      <c r="E92" s="30"/>
      <c r="F92" s="30"/>
      <c r="G92" s="30">
        <v>14</v>
      </c>
      <c r="H92" s="30">
        <v>16</v>
      </c>
      <c r="I92" s="30">
        <v>68</v>
      </c>
      <c r="J92" s="43"/>
      <c r="K92" s="43"/>
      <c r="L92" s="36">
        <f t="shared" si="3"/>
        <v>107</v>
      </c>
    </row>
    <row r="93" spans="2:12">
      <c r="B93" s="11">
        <v>1112005</v>
      </c>
      <c r="C93" s="19" t="s">
        <v>78</v>
      </c>
      <c r="D93" s="30">
        <v>3</v>
      </c>
      <c r="E93" s="30">
        <v>1</v>
      </c>
      <c r="F93" s="30"/>
      <c r="G93" s="30">
        <v>14</v>
      </c>
      <c r="H93" s="30">
        <v>15</v>
      </c>
      <c r="I93" s="30">
        <v>67</v>
      </c>
      <c r="J93" s="43"/>
      <c r="K93" s="43">
        <v>5</v>
      </c>
      <c r="L93" s="36">
        <f t="shared" si="3"/>
        <v>105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>
        <v>9</v>
      </c>
      <c r="E96" s="30">
        <v>1</v>
      </c>
      <c r="F96" s="30"/>
      <c r="G96" s="30">
        <v>16</v>
      </c>
      <c r="H96" s="30">
        <v>8</v>
      </c>
      <c r="I96" s="30"/>
      <c r="J96" s="43"/>
      <c r="K96" s="43"/>
      <c r="L96" s="36">
        <f t="shared" si="3"/>
        <v>34</v>
      </c>
    </row>
    <row r="97" spans="2:12">
      <c r="B97" s="11">
        <v>1112015</v>
      </c>
      <c r="C97" s="19" t="s">
        <v>82</v>
      </c>
      <c r="D97" s="30">
        <v>3</v>
      </c>
      <c r="E97" s="30">
        <v>1</v>
      </c>
      <c r="F97" s="30"/>
      <c r="G97" s="30">
        <v>14</v>
      </c>
      <c r="H97" s="30">
        <v>18</v>
      </c>
      <c r="I97" s="30">
        <v>23</v>
      </c>
      <c r="J97" s="43"/>
      <c r="K97" s="43"/>
      <c r="L97" s="36">
        <f t="shared" si="3"/>
        <v>59</v>
      </c>
    </row>
    <row r="98" spans="2:12">
      <c r="B98" s="11">
        <v>1112013</v>
      </c>
      <c r="C98" s="19" t="s">
        <v>83</v>
      </c>
      <c r="D98" s="30">
        <v>5</v>
      </c>
      <c r="E98" s="30"/>
      <c r="F98" s="30"/>
      <c r="G98" s="30">
        <v>14</v>
      </c>
      <c r="H98" s="30">
        <v>18</v>
      </c>
      <c r="I98" s="30">
        <v>74</v>
      </c>
      <c r="J98" s="43"/>
      <c r="K98" s="43">
        <v>5</v>
      </c>
      <c r="L98" s="36">
        <f t="shared" si="3"/>
        <v>116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639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3</v>
      </c>
      <c r="F120" s="30"/>
      <c r="G120" s="30">
        <v>1</v>
      </c>
      <c r="H120" s="30"/>
      <c r="I120" s="30"/>
      <c r="J120" s="43"/>
      <c r="K120" s="43"/>
      <c r="L120" s="36">
        <f t="shared" si="5"/>
        <v>4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>
        <v>18</v>
      </c>
      <c r="F123" s="30"/>
      <c r="G123" s="30">
        <v>246</v>
      </c>
      <c r="H123" s="30">
        <v>254</v>
      </c>
      <c r="I123" s="30">
        <v>52</v>
      </c>
      <c r="J123" s="43"/>
      <c r="K123" s="43"/>
      <c r="L123" s="36">
        <f t="shared" si="5"/>
        <v>571</v>
      </c>
    </row>
    <row r="124" spans="2:12">
      <c r="B124" s="11">
        <v>1114502</v>
      </c>
      <c r="C124" s="21" t="s">
        <v>96</v>
      </c>
      <c r="D124" s="30">
        <v>5</v>
      </c>
      <c r="E124" s="30">
        <v>8</v>
      </c>
      <c r="F124" s="30">
        <v>1</v>
      </c>
      <c r="G124" s="30">
        <v>207</v>
      </c>
      <c r="H124" s="30">
        <v>194</v>
      </c>
      <c r="I124" s="30">
        <v>58</v>
      </c>
      <c r="J124" s="43"/>
      <c r="K124" s="43"/>
      <c r="L124" s="36">
        <f t="shared" si="5"/>
        <v>473</v>
      </c>
    </row>
    <row r="125" spans="2:12">
      <c r="B125" s="11">
        <v>1114503</v>
      </c>
      <c r="C125" s="21" t="s">
        <v>97</v>
      </c>
      <c r="D125" s="30">
        <v>1</v>
      </c>
      <c r="E125" s="30">
        <v>9</v>
      </c>
      <c r="F125" s="30">
        <v>3</v>
      </c>
      <c r="G125" s="30">
        <v>207</v>
      </c>
      <c r="H125" s="30">
        <v>191</v>
      </c>
      <c r="I125" s="30">
        <v>49</v>
      </c>
      <c r="J125" s="43"/>
      <c r="K125" s="43"/>
      <c r="L125" s="36">
        <f t="shared" si="5"/>
        <v>460</v>
      </c>
    </row>
    <row r="126" spans="2:12">
      <c r="B126" s="11">
        <v>1124021</v>
      </c>
      <c r="C126" s="21" t="s">
        <v>98</v>
      </c>
      <c r="D126" s="30"/>
      <c r="E126" s="30">
        <v>26</v>
      </c>
      <c r="F126" s="30">
        <v>12</v>
      </c>
      <c r="G126" s="30">
        <v>3</v>
      </c>
      <c r="H126" s="30"/>
      <c r="I126" s="30"/>
      <c r="J126" s="43"/>
      <c r="K126" s="43"/>
      <c r="L126" s="36">
        <f t="shared" si="5"/>
        <v>41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P129" sqref="P12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16</v>
      </c>
      <c r="F7" s="30">
        <f>'เย็น '!F7+'เช้า '!F7+บ่าย!F7</f>
        <v>11</v>
      </c>
      <c r="G7" s="30">
        <f>'เย็น '!G7+'เช้า '!G7+บ่าย!G7</f>
        <v>0</v>
      </c>
      <c r="H7" s="30">
        <f>'เย็น '!H7+'เช้า '!H7+บ่าย!H7</f>
        <v>2</v>
      </c>
      <c r="I7" s="30">
        <f>'เย็น '!I7+'เช้า '!I7+บ่าย!I7</f>
        <v>15</v>
      </c>
      <c r="J7" s="30">
        <f>'เย็น '!J7+'เช้า '!J7+บ่าย!J7</f>
        <v>0</v>
      </c>
      <c r="K7" s="30">
        <f>'เย็น '!K7+'เช้า '!K7+บ่าย!K7</f>
        <v>10</v>
      </c>
      <c r="L7" s="36">
        <f>SUM(D7:K7)</f>
        <v>56</v>
      </c>
      <c r="M7" s="11">
        <v>100</v>
      </c>
      <c r="N7" s="11">
        <v>178</v>
      </c>
      <c r="O7" s="11"/>
      <c r="P7" s="11">
        <v>50</v>
      </c>
      <c r="Q7" s="44">
        <f>(M7+N7+O7+P7)-L7</f>
        <v>272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>
        <v>50</v>
      </c>
      <c r="N25" s="11">
        <v>31</v>
      </c>
      <c r="O25" s="11"/>
      <c r="P25" s="11">
        <v>15</v>
      </c>
      <c r="Q25" s="44">
        <f t="shared" si="1"/>
        <v>89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11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48</v>
      </c>
      <c r="H26" s="30">
        <f>'เย็น '!H26+'เช้า '!H26+บ่าย!H26</f>
        <v>46</v>
      </c>
      <c r="I26" s="30">
        <f>'เย็น '!I26+'เช้า '!I26+บ่าย!I26</f>
        <v>45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150</v>
      </c>
      <c r="M26" s="11">
        <v>90</v>
      </c>
      <c r="N26" s="11">
        <v>96</v>
      </c>
      <c r="O26" s="11"/>
      <c r="P26" s="11">
        <v>90</v>
      </c>
      <c r="Q26" s="44">
        <f t="shared" si="1"/>
        <v>126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2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2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2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2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2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2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2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1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1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1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1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2</v>
      </c>
      <c r="M50" s="11"/>
      <c r="N50" s="11"/>
      <c r="O50" s="11"/>
      <c r="P50" s="11"/>
      <c r="Q50" s="44">
        <f t="shared" si="1"/>
        <v>-2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1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2</v>
      </c>
      <c r="M51" s="11"/>
      <c r="N51" s="11"/>
      <c r="O51" s="11"/>
      <c r="P51" s="11"/>
      <c r="Q51" s="44">
        <f t="shared" si="1"/>
        <v>-2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1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2</v>
      </c>
      <c r="M52" s="11"/>
      <c r="N52" s="11"/>
      <c r="O52" s="11"/>
      <c r="P52" s="11"/>
      <c r="Q52" s="44">
        <f t="shared" si="1"/>
        <v>-2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4</v>
      </c>
      <c r="F69" s="30">
        <f>'เย็น '!F69+'เช้า '!F69+บ่าย!F69</f>
        <v>7</v>
      </c>
      <c r="G69" s="30">
        <f>'เย็น '!G69+'เช้า '!G69+บ่าย!G69</f>
        <v>2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20</v>
      </c>
      <c r="M69" s="11">
        <v>30</v>
      </c>
      <c r="N69" s="11">
        <v>13</v>
      </c>
      <c r="O69" s="11"/>
      <c r="P69" s="11">
        <v>15</v>
      </c>
      <c r="Q69" s="44">
        <f t="shared" ref="Q69:Q76" si="5">(M69+N69+O69+P69)-L69</f>
        <v>38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9</v>
      </c>
      <c r="E87" s="30">
        <f>'เย็น '!E87+'เช้า '!E87+บ่าย!E87</f>
        <v>15</v>
      </c>
      <c r="F87" s="30">
        <f>'เย็น '!F87+'เช้า '!F87+บ่าย!F87</f>
        <v>0</v>
      </c>
      <c r="G87" s="30">
        <f>'เย็น '!G87+'เช้า '!G87+บ่าย!G87</f>
        <v>30</v>
      </c>
      <c r="H87" s="30">
        <f>'เย็น '!H87+'เช้า '!H87+บ่าย!H87</f>
        <v>36</v>
      </c>
      <c r="I87" s="30">
        <f>'เย็น '!I87+'เช้า '!I87+บ่าย!I87</f>
        <v>66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156</v>
      </c>
      <c r="M87" s="11">
        <v>90</v>
      </c>
      <c r="N87" s="11">
        <v>26</v>
      </c>
      <c r="O87" s="11"/>
      <c r="P87" s="11">
        <v>90</v>
      </c>
      <c r="Q87" s="44">
        <f t="shared" si="8"/>
        <v>50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15</v>
      </c>
      <c r="H90" s="30">
        <f>'เย็น '!H90+'เช้า '!H90+บ่าย!H90</f>
        <v>18</v>
      </c>
      <c r="I90" s="30">
        <f>'เย็น '!I90+'เช้า '!I90+บ่าย!I90</f>
        <v>68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110</v>
      </c>
      <c r="M90" s="11">
        <v>110</v>
      </c>
      <c r="N90" s="11"/>
      <c r="O90" s="11">
        <v>30</v>
      </c>
      <c r="P90" s="11">
        <v>50</v>
      </c>
      <c r="Q90" s="44">
        <f t="shared" ref="Q90:Q100" si="10">(M90+N90+O90+P90)-L90</f>
        <v>80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1</v>
      </c>
      <c r="F91" s="30">
        <f>'เย็น '!F91+'เช้า '!F91+บ่าย!F91</f>
        <v>14</v>
      </c>
      <c r="G91" s="30">
        <f>'เย็น '!G91+'เช้า '!G91+บ่าย!G91</f>
        <v>14</v>
      </c>
      <c r="H91" s="30">
        <f>'เย็น '!H91+'เช้า '!H91+บ่าย!H91</f>
        <v>16</v>
      </c>
      <c r="I91" s="30">
        <f>'เย็น '!I91+'เช้า '!I91+บ่าย!I91</f>
        <v>55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108</v>
      </c>
      <c r="M91" s="11">
        <v>105</v>
      </c>
      <c r="N91" s="11">
        <v>3</v>
      </c>
      <c r="O91" s="11">
        <v>30</v>
      </c>
      <c r="P91" s="11">
        <v>50</v>
      </c>
      <c r="Q91" s="44">
        <f t="shared" si="10"/>
        <v>80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9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14</v>
      </c>
      <c r="H92" s="30">
        <f>'เย็น '!H92+'เช้า '!H92+บ่าย!H92</f>
        <v>16</v>
      </c>
      <c r="I92" s="30">
        <f>'เย็น '!I92+'เช้า '!I92+บ่าย!I92</f>
        <v>68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107</v>
      </c>
      <c r="M92" s="11">
        <v>100</v>
      </c>
      <c r="N92" s="11"/>
      <c r="O92" s="11">
        <v>37</v>
      </c>
      <c r="P92" s="11">
        <v>50</v>
      </c>
      <c r="Q92" s="44">
        <f t="shared" si="10"/>
        <v>80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14</v>
      </c>
      <c r="H93" s="30">
        <f>'เย็น '!H93+'เช้า '!H93+บ่าย!H93</f>
        <v>15</v>
      </c>
      <c r="I93" s="30">
        <f>'เย็น '!I93+'เช้า '!I93+บ่าย!I93</f>
        <v>67</v>
      </c>
      <c r="J93" s="30">
        <f>'เย็น '!J93+'เช้า '!J93+บ่าย!J93</f>
        <v>0</v>
      </c>
      <c r="K93" s="30">
        <f>'เย็น '!K93+'เช้า '!K93+บ่าย!K93</f>
        <v>5</v>
      </c>
      <c r="L93" s="36">
        <f t="shared" si="9"/>
        <v>105</v>
      </c>
      <c r="M93" s="11">
        <v>105</v>
      </c>
      <c r="N93" s="11"/>
      <c r="O93" s="11">
        <v>30</v>
      </c>
      <c r="P93" s="11">
        <v>50</v>
      </c>
      <c r="Q93" s="44">
        <f t="shared" si="10"/>
        <v>80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9</v>
      </c>
      <c r="E96" s="30">
        <f>'เย็น '!E96+'เช้า '!E96+บ่าย!E96</f>
        <v>1</v>
      </c>
      <c r="F96" s="30">
        <f>'เย็น '!F96+'เช้า '!F96+บ่าย!F96</f>
        <v>0</v>
      </c>
      <c r="G96" s="30">
        <f>'เย็น '!G96+'เช้า '!G96+บ่าย!G96</f>
        <v>16</v>
      </c>
      <c r="H96" s="30">
        <f>'เย็น '!H96+'เช้า '!H96+บ่าย!H96</f>
        <v>8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34</v>
      </c>
      <c r="M96" s="11"/>
      <c r="N96" s="11">
        <v>34</v>
      </c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14</v>
      </c>
      <c r="H97" s="30">
        <f>'เย็น '!H97+'เช้า '!H97+บ่าย!H97</f>
        <v>18</v>
      </c>
      <c r="I97" s="30">
        <f>'เย็น '!I97+'เช้า '!I97+บ่าย!I97</f>
        <v>23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59</v>
      </c>
      <c r="M97" s="11">
        <v>59</v>
      </c>
      <c r="N97" s="11"/>
      <c r="O97" s="11">
        <v>30</v>
      </c>
      <c r="P97" s="11">
        <v>50</v>
      </c>
      <c r="Q97" s="44">
        <f t="shared" si="10"/>
        <v>80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5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14</v>
      </c>
      <c r="H98" s="30">
        <f>'เย็น '!H98+'เช้า '!H98+บ่าย!H98</f>
        <v>18</v>
      </c>
      <c r="I98" s="30">
        <f>'เย็น '!I98+'เช้า '!I98+บ่าย!I98</f>
        <v>74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116</v>
      </c>
      <c r="M98" s="11">
        <v>105</v>
      </c>
      <c r="N98" s="11">
        <v>11</v>
      </c>
      <c r="O98" s="11">
        <v>30</v>
      </c>
      <c r="P98" s="11">
        <v>50</v>
      </c>
      <c r="Q98" s="44">
        <f t="shared" si="10"/>
        <v>80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639</v>
      </c>
      <c r="M100" s="11">
        <f>SUM(M90:M99)</f>
        <v>584</v>
      </c>
      <c r="N100" s="11">
        <f>SUM(N90:N99)</f>
        <v>48</v>
      </c>
      <c r="O100" s="11">
        <f>SUM(O90:O99)</f>
        <v>187</v>
      </c>
      <c r="P100" s="11">
        <f>SUM(P90:P99)</f>
        <v>300</v>
      </c>
      <c r="Q100" s="44">
        <f t="shared" si="10"/>
        <v>480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3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4</v>
      </c>
      <c r="M120" s="11"/>
      <c r="N120" s="11">
        <v>9</v>
      </c>
      <c r="O120" s="11"/>
      <c r="P120" s="11"/>
      <c r="Q120" s="44">
        <f t="shared" si="14"/>
        <v>5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2</v>
      </c>
      <c r="O121" s="11"/>
      <c r="P121" s="11"/>
      <c r="Q121" s="44">
        <f t="shared" si="14"/>
        <v>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</v>
      </c>
      <c r="E123" s="30">
        <f>'เย็น '!E123+'เช้า '!E123+บ่าย!E123</f>
        <v>18</v>
      </c>
      <c r="F123" s="30">
        <f>'เย็น '!F123+'เช้า '!F123+บ่าย!F123</f>
        <v>0</v>
      </c>
      <c r="G123" s="30">
        <f>'เย็น '!G123+'เช้า '!G123+บ่าย!G123</f>
        <v>246</v>
      </c>
      <c r="H123" s="30">
        <f>'เย็น '!H123+'เช้า '!H123+บ่าย!H123</f>
        <v>254</v>
      </c>
      <c r="I123" s="30">
        <f>'เย็น '!I123+'เช้า '!I123+บ่าย!I123</f>
        <v>52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571</v>
      </c>
      <c r="M123" s="11">
        <v>781</v>
      </c>
      <c r="N123" s="11">
        <v>212</v>
      </c>
      <c r="O123" s="11"/>
      <c r="P123" s="11">
        <v>350</v>
      </c>
      <c r="Q123" s="44">
        <f t="shared" si="14"/>
        <v>772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5</v>
      </c>
      <c r="E124" s="30">
        <f>'เย็น '!E124+'เช้า '!E124+บ่าย!E124</f>
        <v>8</v>
      </c>
      <c r="F124" s="30">
        <f>'เย็น '!F124+'เช้า '!F124+บ่าย!F124</f>
        <v>1</v>
      </c>
      <c r="G124" s="30">
        <f>'เย็น '!G124+'เช้า '!G124+บ่าย!G124</f>
        <v>207</v>
      </c>
      <c r="H124" s="30">
        <f>'เย็น '!H124+'เช้า '!H124+บ่าย!H124</f>
        <v>194</v>
      </c>
      <c r="I124" s="30">
        <f>'เย็น '!I124+'เช้า '!I124+บ่าย!I124</f>
        <v>58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473</v>
      </c>
      <c r="M124" s="11">
        <v>599</v>
      </c>
      <c r="N124" s="11">
        <v>304</v>
      </c>
      <c r="O124" s="11"/>
      <c r="P124" s="11">
        <v>300</v>
      </c>
      <c r="Q124" s="44">
        <f t="shared" si="14"/>
        <v>730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9</v>
      </c>
      <c r="F125" s="30">
        <f>'เย็น '!F125+'เช้า '!F125+บ่าย!F125</f>
        <v>3</v>
      </c>
      <c r="G125" s="30">
        <f>'เย็น '!G125+'เช้า '!G125+บ่าย!G125</f>
        <v>207</v>
      </c>
      <c r="H125" s="30">
        <f>'เย็น '!H125+'เช้า '!H125+บ่าย!H125</f>
        <v>191</v>
      </c>
      <c r="I125" s="30">
        <f>'เย็น '!I125+'เช้า '!I125+บ่าย!I125</f>
        <v>49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460</v>
      </c>
      <c r="M125" s="11">
        <v>303</v>
      </c>
      <c r="N125" s="11">
        <v>179</v>
      </c>
      <c r="O125" s="11"/>
      <c r="P125" s="11">
        <v>300</v>
      </c>
      <c r="Q125" s="44">
        <f t="shared" si="14"/>
        <v>322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26</v>
      </c>
      <c r="F126" s="30">
        <f>'เย็น '!F126+'เช้า '!F126+บ่าย!F126</f>
        <v>12</v>
      </c>
      <c r="G126" s="30">
        <f>'เย็น '!G126+'เช้า '!G126+บ่าย!G126</f>
        <v>3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41</v>
      </c>
      <c r="M126" s="11">
        <v>20</v>
      </c>
      <c r="N126" s="11">
        <v>11</v>
      </c>
      <c r="O126" s="11">
        <v>10</v>
      </c>
      <c r="P126" s="11">
        <v>15</v>
      </c>
      <c r="Q126" s="44">
        <f t="shared" si="14"/>
        <v>15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>
        <v>6</v>
      </c>
      <c r="O137" s="11"/>
      <c r="P137" s="11"/>
      <c r="Q137" s="44">
        <f t="shared" si="14"/>
        <v>6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88</v>
      </c>
      <c r="E141" s="36">
        <f t="shared" ref="E141:K141" si="15">SUM(E114:E140,E90:E99,E79:E87,E69:E76,E7:E66,E102:E111)</f>
        <v>131</v>
      </c>
      <c r="F141" s="36">
        <f t="shared" si="15"/>
        <v>48</v>
      </c>
      <c r="G141" s="36">
        <f t="shared" si="15"/>
        <v>845</v>
      </c>
      <c r="H141" s="36">
        <f t="shared" si="15"/>
        <v>835</v>
      </c>
      <c r="I141" s="36">
        <f t="shared" si="15"/>
        <v>640</v>
      </c>
      <c r="J141" s="36">
        <f t="shared" si="15"/>
        <v>0</v>
      </c>
      <c r="K141" s="36">
        <f t="shared" si="15"/>
        <v>30</v>
      </c>
      <c r="L141" s="36">
        <f>SUM(L114:L140,L90:L99,L79:L87,L69:L76,L7:L66,L102:L111)</f>
        <v>2617</v>
      </c>
      <c r="M141" s="36">
        <f>SUM(M114:M140,M90:M99,M79:M87,M69:M76,M7:M66,M102:M111)</f>
        <v>2647</v>
      </c>
      <c r="N141" s="36">
        <f t="shared" ref="N141" si="16">SUM(N114:N140,N90:N99,N79:N87,N69:N76,N7:N66,N102:N111)</f>
        <v>1115</v>
      </c>
      <c r="O141" s="36">
        <f t="shared" ref="O141" si="17">SUM(O114:O140,O90:O99,O79:O87,O69:O76,O7:O66,O102:O111)</f>
        <v>197</v>
      </c>
      <c r="P141" s="36">
        <f t="shared" ref="P141" si="18">SUM(P114:P140,P90:P99,P79:P87,P69:P76,P7:P66,P102:P111)</f>
        <v>1525</v>
      </c>
      <c r="Q141" s="36">
        <f t="shared" ref="Q141" si="19">SUM(Q114:Q140,Q90:Q99,Q79:Q87,Q69:Q76,Q7:Q66,Q102:Q111)</f>
        <v>2867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2025-04-15T00:41:14Z</dcterms:modified>
</cp:coreProperties>
</file>