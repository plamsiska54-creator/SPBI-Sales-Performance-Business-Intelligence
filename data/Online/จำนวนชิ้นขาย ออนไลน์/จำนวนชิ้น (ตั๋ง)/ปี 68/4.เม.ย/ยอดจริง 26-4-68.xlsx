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4.เม.ย\"/>
    </mc:Choice>
  </mc:AlternateContent>
  <xr:revisionPtr revIDLastSave="0" documentId="13_ncr:1_{6D37C4B8-7016-4A79-8D4D-F5D677D64C5A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77" i="6" s="1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77" i="4" l="1"/>
  <c r="L88" i="4"/>
  <c r="L100" i="4"/>
  <c r="L77" i="3"/>
  <c r="L112" i="3"/>
  <c r="L100" i="6"/>
  <c r="L112" i="4"/>
  <c r="L67" i="6"/>
  <c r="L88" i="6"/>
  <c r="L112" i="6"/>
  <c r="L67" i="4"/>
  <c r="R131" i="5"/>
  <c r="R137" i="5"/>
  <c r="R135" i="5"/>
  <c r="L88" i="3"/>
  <c r="R139" i="5"/>
  <c r="R134" i="5"/>
  <c r="R138" i="5"/>
  <c r="L141" i="5"/>
  <c r="R136" i="5"/>
  <c r="L67" i="3"/>
  <c r="L100" i="3"/>
  <c r="R140" i="5"/>
  <c r="R130" i="5"/>
  <c r="R129" i="5"/>
  <c r="R93" i="5"/>
  <c r="R95" i="5"/>
  <c r="R127" i="5"/>
  <c r="R118" i="5"/>
  <c r="R133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32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I99" i="5"/>
  <c r="K99" i="5"/>
  <c r="D66" i="5"/>
  <c r="E66" i="5"/>
  <c r="F66" i="5"/>
  <c r="G66" i="5"/>
  <c r="H66" i="5"/>
  <c r="I66" i="5"/>
  <c r="K66" i="5"/>
  <c r="I141" i="5" l="1"/>
  <c r="K141" i="5"/>
  <c r="H141" i="5"/>
  <c r="G141" i="5"/>
  <c r="F141" i="5"/>
  <c r="E141" i="5"/>
  <c r="R114" i="5"/>
  <c r="R9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0" i="5" l="1"/>
  <c r="R102" i="5"/>
  <c r="R141" i="5" s="1"/>
  <c r="R112" i="5"/>
  <c r="M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<sst xmlns="http://schemas.openxmlformats.org/spreadsheetml/2006/main" count="618" uniqueCount="147">
  <si>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</si>
  <si>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</si>
  <si>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</si>
  <si>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</si>
  <si>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</si>
  <si>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</si>
  <si>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</si>
  <si>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</si>
  <si>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</si>
  <si>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</si>
  <si>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</si>
  <si>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</si>
  <si>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</si>
  <si>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</si>
  <si>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</si>
  <si>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</si>
  <si>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</si>
  <si>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</si>
  <si>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</si>
  <si>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</si>
  <si>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</si>
  <si>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</si>
  <si>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</si>
  <si>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</si>
  <si>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</si>
  <si>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</si>
  <si>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</si>
  <si>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</si>
  <si>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</si>
  <si>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</si>
  <si>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</si>
  <si>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</si>
  <si>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</si>
  <si>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</si>
  <si>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</si>
  <si>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</si>
  <si>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</si>
  <si>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</si>
  <si>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</si>
  <si>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</si>
  <si>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</si>
  <si>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</si>
  <si>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</si>
  <si>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</si>
  <si>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</si>
  <si>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</si>
  <si>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</si>
  <si>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</si>
  <si>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</si>
  <si>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</si>
  <si>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</si>
  <si>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</si>
  <si>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</si>
  <si>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</si>
  <si>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</si>
  <si>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</si>
  <si>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</si>
  <si>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</si>
  <si>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</si>
  <si>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</si>
  <si>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</si>
  <si>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</si>
  <si>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</si>
  <si>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</si>
  <si>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</si>
  <si>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</si>
  <si>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</si>
  <si>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</si>
  <si>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</si>
  <si>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</si>
  <si>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</si>
  <si>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</si>
  <si>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</si>
  <si>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</si>
  <si>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</si>
  <si>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</si>
  <si>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</si>
  <si>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</si>
  <si>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</si>
  <si>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</si>
  <si>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</si>
  <si>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</si>
  <si>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</si>
  <si>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</si>
  <si>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</si>
  <si>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</si>
  <si>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</si>
  <si>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</si>
  <si>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</si>
  <si>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</si>
  <si>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</si>
  <si>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</si>
  <si>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</si>
  <si>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</si>
  <si>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</si>
  <si>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</si>
  <si>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</si>
  <si>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</si>
  <si>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</si>
  <si>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</si>
  <si>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</si>
  <si>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</si>
  <si>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</si>
  <si>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</si>
  <si>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</si>
  <si>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</si>
  <si>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</si>
  <si>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</si>
  <si>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</si>
  <si>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</si>
  <si>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</si>
  <si>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</si>
  <si>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</si>
  <si>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</si>
  <si>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</si>
  <si>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</si>
  <si>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</si>
  <si>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</si>
  <si>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</si>
  <si>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</si>
  <si>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</si>
  <si>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</si>
  <si>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</si>
  <si>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</si>
  <si>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</si>
  <si>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</si>
  <si>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</si>
  <si>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</si>
  <si>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</si>
  <si>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</si>
  <si>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</si>
  <si>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</si>
  <si>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</si>
  <si>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</si>
  <si>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</si>
  <si>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</si>
  <si>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</si>
  <si>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</si>
  <si>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</si>
  <si>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</si>
  <si>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</si>
  <si>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</si>
  <si>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</si>
  <si>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</si>
  <si>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วันที่26/4/68  รวม</t>
  </si>
  <si>
    <t>ยอดจริง ออนไลน์ วันที่  26/4/68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</si>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</sst>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activeCell="G122" sqref="G12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2</v>
      </c>
      <c r="E7" s="30">
        <v>33</v>
      </c>
      <c r="F7" s="30">
        <v>53</v>
      </c>
      <c r="G7" s="30">
        <v>3</v>
      </c>
      <c r="H7" s="30"/>
      <c r="I7" s="30"/>
      <c r="J7" s="43"/>
      <c r="K7" s="43"/>
      <c r="L7" s="36">
        <f>SUM(D7:K7)</f>
        <v>91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29</v>
      </c>
      <c r="F25" s="30"/>
      <c r="G25" s="30"/>
      <c r="H25" s="30"/>
      <c r="I25" s="30"/>
      <c r="J25" s="43"/>
      <c r="K25" s="43"/>
      <c r="L25" s="36">
        <f t="shared" si="0"/>
        <v>29</v>
      </c>
    </row>
    <row r="26" spans="2:12" x14ac:dyDescent="0.25">
      <c r="B26" s="11">
        <v>1004055</v>
      </c>
      <c r="C26" s="15" t="s">
        <v>108</v>
      </c>
      <c r="D26" s="30">
        <v>4</v>
      </c>
      <c r="E26" s="30">
        <v>14</v>
      </c>
      <c r="F26" s="30"/>
      <c r="G26" s="30">
        <v>60</v>
      </c>
      <c r="H26" s="30"/>
      <c r="I26" s="30"/>
      <c r="J26" s="43"/>
      <c r="K26" s="43"/>
      <c r="L26" s="36">
        <f t="shared" si="0"/>
        <v>78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 x14ac:dyDescent="0.25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 x14ac:dyDescent="0.25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 x14ac:dyDescent="0.25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 x14ac:dyDescent="0.25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/>
      <c r="E47" s="30">
        <v>2</v>
      </c>
      <c r="F47" s="30"/>
      <c r="G47" s="30"/>
      <c r="H47" s="30"/>
      <c r="I47" s="30"/>
      <c r="J47" s="43"/>
      <c r="K47" s="43"/>
      <c r="L47" s="36">
        <f t="shared" si="0"/>
        <v>2</v>
      </c>
    </row>
    <row r="48" spans="2:12" x14ac:dyDescent="0.25">
      <c r="B48" s="11">
        <v>1111065</v>
      </c>
      <c r="C48" s="15" t="s">
        <v>38</v>
      </c>
      <c r="D48" s="30"/>
      <c r="E48" s="30">
        <v>2</v>
      </c>
      <c r="F48" s="30"/>
      <c r="G48" s="30"/>
      <c r="H48" s="30"/>
      <c r="I48" s="30"/>
      <c r="J48" s="43"/>
      <c r="K48" s="43"/>
      <c r="L48" s="36">
        <f t="shared" si="0"/>
        <v>2</v>
      </c>
    </row>
    <row r="49" spans="2:12" x14ac:dyDescent="0.25">
      <c r="B49" s="11">
        <v>1111066</v>
      </c>
      <c r="C49" s="15" t="s">
        <v>39</v>
      </c>
      <c r="D49" s="30"/>
      <c r="E49" s="30">
        <v>2</v>
      </c>
      <c r="F49" s="30"/>
      <c r="G49" s="30"/>
      <c r="H49" s="30"/>
      <c r="I49" s="30"/>
      <c r="J49" s="43"/>
      <c r="K49" s="43"/>
      <c r="L49" s="36">
        <f t="shared" si="0"/>
        <v>2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218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1</v>
      </c>
      <c r="E69" s="30">
        <v>11</v>
      </c>
      <c r="F69" s="30">
        <v>4</v>
      </c>
      <c r="G69" s="30">
        <v>1</v>
      </c>
      <c r="H69" s="30"/>
      <c r="I69" s="30"/>
      <c r="J69" s="43"/>
      <c r="K69" s="43"/>
      <c r="L69" s="36">
        <f t="shared" ref="L69:L76" si="1">SUM(D69:K69)</f>
        <v>17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14</v>
      </c>
      <c r="E87" s="30">
        <v>12</v>
      </c>
      <c r="F87" s="30"/>
      <c r="G87" s="30">
        <v>48</v>
      </c>
      <c r="H87" s="30"/>
      <c r="I87" s="30"/>
      <c r="J87" s="43"/>
      <c r="K87" s="43"/>
      <c r="L87" s="36">
        <f t="shared" si="2"/>
        <v>74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74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6</v>
      </c>
      <c r="E90" s="30"/>
      <c r="F90" s="30">
        <v>3</v>
      </c>
      <c r="G90" s="30">
        <v>22</v>
      </c>
      <c r="H90" s="30"/>
      <c r="I90" s="30"/>
      <c r="J90" s="43"/>
      <c r="K90" s="43"/>
      <c r="L90" s="36">
        <f t="shared" ref="L90:L99" si="3">SUM(D90:K90)</f>
        <v>31</v>
      </c>
    </row>
    <row r="91" spans="2:12" x14ac:dyDescent="0.25">
      <c r="B91" s="11">
        <v>1112011</v>
      </c>
      <c r="C91" s="19" t="s">
        <v>76</v>
      </c>
      <c r="D91" s="30">
        <v>8</v>
      </c>
      <c r="E91" s="30"/>
      <c r="F91" s="30">
        <v>7</v>
      </c>
      <c r="G91" s="30">
        <v>22</v>
      </c>
      <c r="H91" s="30"/>
      <c r="I91" s="30"/>
      <c r="J91" s="43"/>
      <c r="K91" s="43"/>
      <c r="L91" s="36">
        <f t="shared" si="3"/>
        <v>37</v>
      </c>
    </row>
    <row r="92" spans="2:12" x14ac:dyDescent="0.25">
      <c r="B92" s="11">
        <v>1112003</v>
      </c>
      <c r="C92" s="19" t="s">
        <v>77</v>
      </c>
      <c r="D92" s="30">
        <v>2</v>
      </c>
      <c r="E92" s="30"/>
      <c r="F92" s="30">
        <v>1</v>
      </c>
      <c r="G92" s="30">
        <v>23</v>
      </c>
      <c r="H92" s="30"/>
      <c r="I92" s="30"/>
      <c r="J92" s="43"/>
      <c r="K92" s="43"/>
      <c r="L92" s="36">
        <f t="shared" si="3"/>
        <v>26</v>
      </c>
    </row>
    <row r="93" spans="2:12" x14ac:dyDescent="0.25">
      <c r="B93" s="11">
        <v>1112005</v>
      </c>
      <c r="C93" s="19" t="s">
        <v>78</v>
      </c>
      <c r="D93" s="30">
        <v>2</v>
      </c>
      <c r="E93" s="30"/>
      <c r="F93" s="30"/>
      <c r="G93" s="30">
        <v>23</v>
      </c>
      <c r="H93" s="30"/>
      <c r="I93" s="30"/>
      <c r="J93" s="43"/>
      <c r="K93" s="43"/>
      <c r="L93" s="36">
        <f t="shared" si="3"/>
        <v>25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2</v>
      </c>
      <c r="E97" s="30"/>
      <c r="F97" s="30"/>
      <c r="G97" s="30">
        <v>23</v>
      </c>
      <c r="H97" s="30"/>
      <c r="I97" s="30"/>
      <c r="J97" s="43"/>
      <c r="K97" s="43"/>
      <c r="L97" s="36">
        <f t="shared" si="3"/>
        <v>25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>
        <v>23</v>
      </c>
      <c r="H98" s="30"/>
      <c r="I98" s="30"/>
      <c r="J98" s="43"/>
      <c r="K98" s="43"/>
      <c r="L98" s="36">
        <f t="shared" si="3"/>
        <v>23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167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>
        <v>1</v>
      </c>
      <c r="E114" s="30"/>
      <c r="F114" s="30"/>
      <c r="G114" s="30">
        <v>4</v>
      </c>
      <c r="H114" s="30"/>
      <c r="I114" s="30"/>
      <c r="J114" s="43"/>
      <c r="K114" s="43"/>
      <c r="L114" s="36">
        <f t="shared" ref="L114:L140" si="5">SUM(D114:K114)</f>
        <v>5</v>
      </c>
    </row>
    <row r="115" spans="2:12" x14ac:dyDescent="0.25">
      <c r="B115" s="11">
        <v>1113171</v>
      </c>
      <c r="C115" s="21" t="s">
        <v>88</v>
      </c>
      <c r="D115" s="30">
        <v>1</v>
      </c>
      <c r="E115" s="30"/>
      <c r="F115" s="30"/>
      <c r="G115" s="30"/>
      <c r="H115" s="30"/>
      <c r="I115" s="30"/>
      <c r="J115" s="43"/>
      <c r="K115" s="43"/>
      <c r="L115" s="36">
        <f t="shared" si="5"/>
        <v>1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>
        <v>1</v>
      </c>
      <c r="H121" s="30"/>
      <c r="I121" s="30"/>
      <c r="J121" s="43"/>
      <c r="K121" s="43"/>
      <c r="L121" s="36">
        <f t="shared" si="5"/>
        <v>1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10</v>
      </c>
      <c r="E123" s="30">
        <v>4</v>
      </c>
      <c r="F123" s="30">
        <v>6</v>
      </c>
      <c r="G123" s="30">
        <v>156</v>
      </c>
      <c r="H123" s="30"/>
      <c r="I123" s="30"/>
      <c r="J123" s="43"/>
      <c r="K123" s="43"/>
      <c r="L123" s="36">
        <f t="shared" si="5"/>
        <v>176</v>
      </c>
    </row>
    <row r="124" spans="2:12" x14ac:dyDescent="0.25">
      <c r="B124" s="11">
        <v>1114502</v>
      </c>
      <c r="C124" s="21" t="s">
        <v>96</v>
      </c>
      <c r="D124" s="30">
        <v>5</v>
      </c>
      <c r="E124" s="30">
        <v>4</v>
      </c>
      <c r="F124" s="30">
        <v>4</v>
      </c>
      <c r="G124" s="30">
        <v>107</v>
      </c>
      <c r="H124" s="30"/>
      <c r="I124" s="30"/>
      <c r="J124" s="43"/>
      <c r="K124" s="43"/>
      <c r="L124" s="36">
        <f t="shared" si="5"/>
        <v>120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/>
      <c r="F125" s="30">
        <v>3</v>
      </c>
      <c r="G125" s="30">
        <v>104</v>
      </c>
      <c r="H125" s="30"/>
      <c r="I125" s="30"/>
      <c r="J125" s="43"/>
      <c r="K125" s="43"/>
      <c r="L125" s="36">
        <f t="shared" si="5"/>
        <v>109</v>
      </c>
    </row>
    <row r="126" spans="2:12" x14ac:dyDescent="0.25">
      <c r="B126" s="11">
        <v>1124021</v>
      </c>
      <c r="C126" s="21" t="s">
        <v>98</v>
      </c>
      <c r="D126" s="30">
        <v>1</v>
      </c>
      <c r="E126" s="30">
        <v>18</v>
      </c>
      <c r="F126" s="30">
        <v>15</v>
      </c>
      <c r="G126" s="30">
        <v>6</v>
      </c>
      <c r="H126" s="30"/>
      <c r="I126" s="30"/>
      <c r="J126" s="43"/>
      <c r="K126" s="43"/>
      <c r="L126" s="36">
        <f t="shared" si="5"/>
        <v>40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>
        <v>2</v>
      </c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25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topLeftCell="A98" zoomScale="50" zoomScaleNormal="50" workbookViewId="0">
      <selection activeCell="A98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3" t="s">
        <v>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140</v>
      </c>
      <c r="Q2" s="70" t="s">
        <v>141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33</v>
      </c>
      <c r="F7" s="30">
        <f>'เย็น '!F7+'เช้า '!F7+บ่าย!F7</f>
        <v>53</v>
      </c>
      <c r="G7" s="30">
        <f>'เย็น '!G7+'เช้า '!G7+บ่าย!G7</f>
        <v>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3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91</v>
      </c>
      <c r="N7" s="11"/>
      <c r="O7" s="11"/>
      <c r="P7" s="11"/>
      <c r="Q7" s="11"/>
      <c r="R7" s="44">
        <f>(N7+O7+P7+Q7)-M7</f>
        <v>-91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29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29</v>
      </c>
      <c r="N25" s="11"/>
      <c r="O25" s="11"/>
      <c r="P25" s="11"/>
      <c r="Q25" s="11"/>
      <c r="R25" s="44">
        <f t="shared" si="2"/>
        <v>-29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4</v>
      </c>
      <c r="E26" s="30">
        <f>'เย็น '!E26+'เช้า '!E26+บ่าย!E26</f>
        <v>14</v>
      </c>
      <c r="F26" s="30">
        <f>'เย็น '!F26+'เช้า '!F26+บ่าย!F26</f>
        <v>0</v>
      </c>
      <c r="G26" s="30">
        <f>'เย็น '!G26+'เช้า '!G26+บ่าย!G26</f>
        <v>60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60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78</v>
      </c>
      <c r="N26" s="11"/>
      <c r="O26" s="11"/>
      <c r="P26" s="11"/>
      <c r="Q26" s="11"/>
      <c r="R26" s="44">
        <f t="shared" si="2"/>
        <v>-78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</v>
      </c>
      <c r="N40" s="11"/>
      <c r="O40" s="11"/>
      <c r="P40" s="11"/>
      <c r="Q40" s="11"/>
      <c r="R40" s="44">
        <f t="shared" si="2"/>
        <v>-2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</v>
      </c>
      <c r="N41" s="11"/>
      <c r="O41" s="11"/>
      <c r="P41" s="11"/>
      <c r="Q41" s="11"/>
      <c r="R41" s="44">
        <f t="shared" si="2"/>
        <v>-2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2</v>
      </c>
      <c r="N42" s="11"/>
      <c r="O42" s="11"/>
      <c r="P42" s="11"/>
      <c r="Q42" s="11"/>
      <c r="R42" s="44">
        <f t="shared" si="2"/>
        <v>-2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2</v>
      </c>
      <c r="N43" s="11"/>
      <c r="O43" s="11"/>
      <c r="P43" s="11"/>
      <c r="Q43" s="11"/>
      <c r="R43" s="44">
        <f t="shared" si="2"/>
        <v>-2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2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2</v>
      </c>
      <c r="N47" s="11"/>
      <c r="O47" s="11"/>
      <c r="P47" s="11"/>
      <c r="Q47" s="11"/>
      <c r="R47" s="44">
        <f t="shared" si="2"/>
        <v>-2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2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2</v>
      </c>
      <c r="N48" s="11"/>
      <c r="O48" s="11"/>
      <c r="P48" s="11"/>
      <c r="Q48" s="11"/>
      <c r="R48" s="44">
        <f t="shared" si="2"/>
        <v>-2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2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2</v>
      </c>
      <c r="N49" s="11"/>
      <c r="O49" s="11"/>
      <c r="P49" s="11"/>
      <c r="Q49" s="11"/>
      <c r="R49" s="44">
        <f t="shared" si="2"/>
        <v>-2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11</v>
      </c>
      <c r="F69" s="30">
        <f>'เย็น '!F69+'เช้า '!F69+บ่าย!F69</f>
        <v>4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17</v>
      </c>
      <c r="N69" s="11"/>
      <c r="O69" s="11"/>
      <c r="P69" s="11"/>
      <c r="Q69" s="11"/>
      <c r="R69" s="44">
        <f t="shared" ref="R69:R76" si="4">(N69+O69+P69+Q69)-M69</f>
        <v>-17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14</v>
      </c>
      <c r="E87" s="30">
        <f>'เย็น '!E87+'เช้า '!E87+บ่าย!E87</f>
        <v>12</v>
      </c>
      <c r="F87" s="30">
        <f>'เย็น '!F87+'เช้า '!F87+บ่าย!F87</f>
        <v>0</v>
      </c>
      <c r="G87" s="30">
        <f>'เย็น '!G87+'เช้า '!G87+บ่าย!G87</f>
        <v>48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48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74</v>
      </c>
      <c r="N87" s="11"/>
      <c r="O87" s="11"/>
      <c r="P87" s="11"/>
      <c r="Q87" s="11"/>
      <c r="R87" s="44">
        <f t="shared" si="8"/>
        <v>-74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6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22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22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31</v>
      </c>
      <c r="N90" s="11"/>
      <c r="O90" s="11"/>
      <c r="P90" s="11"/>
      <c r="Q90" s="11"/>
      <c r="R90" s="44">
        <f t="shared" ref="R90:R100" si="9">(N90+O90+P90+Q90)-M90</f>
        <v>-31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0</v>
      </c>
      <c r="F91" s="30">
        <f>'เย็น '!F91+'เช้า '!F91+บ่าย!F91</f>
        <v>7</v>
      </c>
      <c r="G91" s="30">
        <f>'เย็น '!G91+'เช้า '!G91+บ่าย!G91</f>
        <v>22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22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37</v>
      </c>
      <c r="N91" s="11"/>
      <c r="O91" s="11"/>
      <c r="P91" s="11"/>
      <c r="Q91" s="11"/>
      <c r="R91" s="44">
        <f t="shared" si="9"/>
        <v>-37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23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23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26</v>
      </c>
      <c r="N92" s="11"/>
      <c r="O92" s="11"/>
      <c r="P92" s="11"/>
      <c r="Q92" s="11"/>
      <c r="R92" s="44">
        <f t="shared" si="9"/>
        <v>-26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23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25</v>
      </c>
      <c r="N93" s="11"/>
      <c r="O93" s="11"/>
      <c r="P93" s="11"/>
      <c r="Q93" s="11"/>
      <c r="R93" s="44">
        <f t="shared" si="9"/>
        <v>-25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23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25</v>
      </c>
      <c r="N97" s="11"/>
      <c r="O97" s="11"/>
      <c r="P97" s="11"/>
      <c r="Q97" s="11"/>
      <c r="R97" s="44">
        <f t="shared" si="9"/>
        <v>-25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23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23</v>
      </c>
      <c r="N98" s="11"/>
      <c r="O98" s="11"/>
      <c r="P98" s="11"/>
      <c r="Q98" s="11"/>
      <c r="R98" s="44">
        <f t="shared" si="9"/>
        <v>-23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/>
      <c r="O100" s="11"/>
      <c r="P100" s="11"/>
      <c r="Q100" s="11"/>
      <c r="R100" s="44">
        <f t="shared" si="9"/>
        <v>0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/>
      <c r="O112" s="11"/>
      <c r="P112" s="11"/>
      <c r="Q112" s="11"/>
      <c r="R112" s="44">
        <f t="shared" si="10"/>
        <v>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1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4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4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5</v>
      </c>
      <c r="N114" s="11"/>
      <c r="O114" s="11"/>
      <c r="P114" s="11"/>
      <c r="Q114" s="11"/>
      <c r="R114" s="44">
        <f t="shared" ref="R114:R140" si="11">(N114+O114+P114+Q114)-M114</f>
        <v>-5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1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1</v>
      </c>
      <c r="N115" s="11"/>
      <c r="O115" s="11"/>
      <c r="P115" s="11"/>
      <c r="Q115" s="11"/>
      <c r="R115" s="44">
        <f t="shared" si="11"/>
        <v>-1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1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1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1</v>
      </c>
      <c r="N121" s="11"/>
      <c r="O121" s="11"/>
      <c r="P121" s="11"/>
      <c r="Q121" s="11"/>
      <c r="R121" s="44">
        <f t="shared" si="11"/>
        <v>-1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10</v>
      </c>
      <c r="E123" s="30">
        <f>'เย็น '!E123+'เช้า '!E123+บ่าย!E123</f>
        <v>4</v>
      </c>
      <c r="F123" s="30">
        <f>'เย็น '!F123+'เช้า '!F123+บ่าย!F123</f>
        <v>6</v>
      </c>
      <c r="G123" s="30">
        <f>'เย็น '!G123+'เช้า '!G123+บ่าย!G123</f>
        <v>156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 t="shared" si="5"/>
        <v>156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176</v>
      </c>
      <c r="N123" s="11"/>
      <c r="O123" s="11"/>
      <c r="P123" s="11"/>
      <c r="Q123" s="11"/>
      <c r="R123" s="44">
        <f t="shared" si="11"/>
        <v>-176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4</v>
      </c>
      <c r="F124" s="30">
        <f>'เย็น '!F124+'เช้า '!F124+บ่าย!F124</f>
        <v>4</v>
      </c>
      <c r="G124" s="30">
        <f>'เย็น '!G124+'เช้า '!G124+บ่าย!G124</f>
        <v>107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 t="shared" si="5"/>
        <v>107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120</v>
      </c>
      <c r="N124" s="11"/>
      <c r="O124" s="11"/>
      <c r="P124" s="11"/>
      <c r="Q124" s="11"/>
      <c r="R124" s="44">
        <f t="shared" si="11"/>
        <v>-120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0</v>
      </c>
      <c r="F125" s="30">
        <f>'เย็น '!F125+'เช้า '!F125+บ่าย!F125</f>
        <v>3</v>
      </c>
      <c r="G125" s="30">
        <f>'เย็น '!G125+'เช้า '!G125+บ่าย!G125</f>
        <v>104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 t="shared" si="5"/>
        <v>104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109</v>
      </c>
      <c r="N125" s="11"/>
      <c r="O125" s="11"/>
      <c r="P125" s="11"/>
      <c r="Q125" s="11"/>
      <c r="R125" s="44">
        <f t="shared" si="11"/>
        <v>-109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1</v>
      </c>
      <c r="E126" s="30">
        <f>'เย็น '!E126+'เช้า '!E126+บ่าย!E126</f>
        <v>18</v>
      </c>
      <c r="F126" s="30">
        <f>'เย็น '!F126+'เช้า '!F126+บ่าย!F126</f>
        <v>15</v>
      </c>
      <c r="G126" s="30">
        <f>'เย็น '!G126+'เช้า '!G126+บ่าย!G126</f>
        <v>6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6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40</v>
      </c>
      <c r="N126" s="11"/>
      <c r="O126" s="11"/>
      <c r="P126" s="11"/>
      <c r="Q126" s="11"/>
      <c r="R126" s="44">
        <f t="shared" si="11"/>
        <v>-40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2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4</v>
      </c>
      <c r="N136" s="11"/>
      <c r="O136" s="11"/>
      <c r="P136" s="11"/>
      <c r="Q136" s="11"/>
      <c r="R136" s="44">
        <f t="shared" si="11"/>
        <v>-4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63</v>
      </c>
      <c r="E141" s="36">
        <f t="shared" ref="E141:L141" si="14">SUM(E114:E140,E90:E99,E79:E87,E69:E76,E7:E66,E102:E111)</f>
        <v>147</v>
      </c>
      <c r="F141" s="36">
        <f t="shared" si="14"/>
        <v>96</v>
      </c>
      <c r="G141" s="36">
        <f t="shared" si="14"/>
        <v>626</v>
      </c>
      <c r="H141" s="36">
        <f t="shared" si="14"/>
        <v>0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0</v>
      </c>
      <c r="M141" s="36">
        <f>SUM(M114:M140,M90:M99,M79:M87,M69:M76,M7:M66,M102:M111)</f>
        <v>932</v>
      </c>
      <c r="N141" s="36">
        <f>SUM(N114:N140,N90:N99,N79:N87,N69:N76,N7:N66,N102:N111)</f>
        <v>0</v>
      </c>
      <c r="O141" s="36">
        <f t="shared" ref="O141" si="15">SUM(O114:O140,O90:O99,O79:O87,O69:O76,O7:O66,O102:O111)</f>
        <v>0</v>
      </c>
      <c r="P141" s="36">
        <f t="shared" ref="P141" si="16">SUM(P114:P140,P90:P99,P79:P87,P69:P76,P7:P66,P102:P111)</f>
        <v>0</v>
      </c>
      <c r="Q141" s="36">
        <f t="shared" ref="Q141" si="17">SUM(Q114:Q140,Q90:Q99,Q79:Q87,Q69:Q76,Q7:Q66,Q102:Q111)</f>
        <v>0</v>
      </c>
      <c r="R141" s="36">
        <f t="shared" ref="R141" si="18">SUM(R114:R140,R90:R99,R79:R87,R69:R76,R7:R66,R102:R111)</f>
        <v>-932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2025-04-26T00:45:25Z</cp:lastPrinted>
  <dcterms:created xsi:type="dcterms:W3CDTF">2024-04-30T05:21:27Z</dcterms:created>
  <dcterms:modified xsi:type="dcterms:W3CDTF">2025-04-27T04:56:15Z</dcterms:modified>
</cp:coreProperties>
</file>