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จำนวนชิ้นขาย ออนไลน์\จำนวนชิ้น (ตั๋ง)\ปี 68\4.เม.ย\"/>
    </mc:Choice>
  </mc:AlternateContent>
  <xr:revisionPtr revIDLastSave="0" documentId="13_ncr:1_{8EAEA68F-9394-4A1C-A6AC-0B9CD1E7BB0E}" xr6:coauthVersionLast="36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L77" i="6" l="1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M135" i="5" s="1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M137" i="5" s="1"/>
  <c r="R137" i="5" s="1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M131" i="5" s="1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M139" i="5" l="1"/>
  <c r="M134" i="5"/>
  <c r="M132" i="5"/>
  <c r="M136" i="5"/>
  <c r="R136" i="5" s="1"/>
  <c r="M133" i="5"/>
  <c r="M138" i="5"/>
  <c r="R138" i="5" s="1"/>
  <c r="L88" i="4"/>
  <c r="L100" i="4"/>
  <c r="L67" i="4"/>
  <c r="L141" i="5"/>
  <c r="L67" i="3"/>
  <c r="L100" i="3"/>
  <c r="R139" i="5"/>
  <c r="R135" i="5"/>
  <c r="M140" i="5"/>
  <c r="R140" i="5" s="1"/>
  <c r="M130" i="5"/>
  <c r="R130" i="5" s="1"/>
  <c r="M129" i="5"/>
  <c r="R129" i="5" s="1"/>
  <c r="M90" i="5"/>
  <c r="M93" i="5"/>
  <c r="R93" i="5" s="1"/>
  <c r="M95" i="5"/>
  <c r="R95" i="5" s="1"/>
  <c r="M127" i="5"/>
  <c r="R127" i="5" s="1"/>
  <c r="M118" i="5"/>
  <c r="R118" i="5" s="1"/>
  <c r="R131" i="5"/>
  <c r="R133" i="5"/>
  <c r="M126" i="5"/>
  <c r="R126" i="5" s="1"/>
  <c r="M119" i="5"/>
  <c r="R119" i="5" s="1"/>
  <c r="M124" i="5"/>
  <c r="R124" i="5" s="1"/>
  <c r="M117" i="5"/>
  <c r="R117" i="5" s="1"/>
  <c r="M94" i="5"/>
  <c r="R94" i="5" s="1"/>
  <c r="M128" i="5"/>
  <c r="R128" i="5" s="1"/>
  <c r="M96" i="5"/>
  <c r="R96" i="5" s="1"/>
  <c r="M125" i="5"/>
  <c r="R125" i="5" s="1"/>
  <c r="M121" i="5"/>
  <c r="R121" i="5" s="1"/>
  <c r="R134" i="5"/>
  <c r="M120" i="5"/>
  <c r="R120" i="5" s="1"/>
  <c r="M87" i="5"/>
  <c r="R87" i="5" s="1"/>
  <c r="M115" i="5"/>
  <c r="R115" i="5" s="1"/>
  <c r="M92" i="5"/>
  <c r="R92" i="5" s="1"/>
  <c r="M98" i="5"/>
  <c r="R98" i="5" s="1"/>
  <c r="M97" i="5"/>
  <c r="R97" i="5" s="1"/>
  <c r="M91" i="5"/>
  <c r="R91" i="5" s="1"/>
  <c r="M123" i="5"/>
  <c r="R123" i="5" s="1"/>
  <c r="R132" i="5"/>
  <c r="M122" i="5"/>
  <c r="R122" i="5" s="1"/>
  <c r="M116" i="5"/>
  <c r="R116" i="5" s="1"/>
  <c r="M114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G141" i="5" s="1"/>
  <c r="H99" i="5"/>
  <c r="I99" i="5"/>
  <c r="I141" i="5" s="1"/>
  <c r="K99" i="5"/>
  <c r="D66" i="5"/>
  <c r="E66" i="5"/>
  <c r="F66" i="5"/>
  <c r="G66" i="5"/>
  <c r="H66" i="5"/>
  <c r="I66" i="5"/>
  <c r="K66" i="5"/>
  <c r="F141" i="5" l="1"/>
  <c r="K141" i="5"/>
  <c r="H141" i="5"/>
  <c r="E141" i="5"/>
  <c r="R114" i="5"/>
  <c r="R90" i="5"/>
  <c r="D141" i="5"/>
  <c r="M102" i="5"/>
  <c r="M79" i="5"/>
  <c r="R79" i="5" s="1"/>
  <c r="M70" i="5"/>
  <c r="R70" i="5" s="1"/>
  <c r="M75" i="5"/>
  <c r="R75" i="5" s="1"/>
  <c r="M73" i="5"/>
  <c r="R73" i="5" s="1"/>
  <c r="R27" i="5"/>
  <c r="M109" i="5"/>
  <c r="R109" i="5" s="1"/>
  <c r="M72" i="5"/>
  <c r="R72" i="5" s="1"/>
  <c r="R11" i="5"/>
  <c r="M76" i="5"/>
  <c r="R76" i="5" s="1"/>
  <c r="R59" i="5"/>
  <c r="R43" i="5"/>
  <c r="R7" i="5"/>
  <c r="M111" i="5"/>
  <c r="R111" i="5" s="1"/>
  <c r="R54" i="5"/>
  <c r="R38" i="5"/>
  <c r="M71" i="5"/>
  <c r="R71" i="5" s="1"/>
  <c r="R47" i="5"/>
  <c r="R15" i="5"/>
  <c r="R8" i="5"/>
  <c r="R49" i="5"/>
  <c r="R33" i="5"/>
  <c r="R17" i="5"/>
  <c r="M81" i="5"/>
  <c r="R81" i="5" s="1"/>
  <c r="R58" i="5"/>
  <c r="R42" i="5"/>
  <c r="R26" i="5"/>
  <c r="R10" i="5"/>
  <c r="M69" i="5"/>
  <c r="R69" i="5" s="1"/>
  <c r="M108" i="5"/>
  <c r="R108" i="5" s="1"/>
  <c r="R20" i="5"/>
  <c r="R52" i="5"/>
  <c r="R61" i="5"/>
  <c r="R28" i="5"/>
  <c r="R12" i="5"/>
  <c r="M110" i="5"/>
  <c r="R110" i="5" s="1"/>
  <c r="R53" i="5"/>
  <c r="R37" i="5"/>
  <c r="R21" i="5"/>
  <c r="M85" i="5"/>
  <c r="R85" i="5" s="1"/>
  <c r="M103" i="5"/>
  <c r="R103" i="5" s="1"/>
  <c r="M84" i="5"/>
  <c r="R84" i="5" s="1"/>
  <c r="R29" i="5"/>
  <c r="M105" i="5"/>
  <c r="R105" i="5" s="1"/>
  <c r="R31" i="5"/>
  <c r="R56" i="5"/>
  <c r="M106" i="5"/>
  <c r="R106" i="5" s="1"/>
  <c r="R51" i="5"/>
  <c r="R19" i="5"/>
  <c r="M83" i="5"/>
  <c r="R83" i="5" s="1"/>
  <c r="R46" i="5"/>
  <c r="R30" i="5"/>
  <c r="R55" i="5"/>
  <c r="R39" i="5"/>
  <c r="R64" i="5"/>
  <c r="R48" i="5"/>
  <c r="R32" i="5"/>
  <c r="R16" i="5"/>
  <c r="M74" i="5"/>
  <c r="R74" i="5" s="1"/>
  <c r="M80" i="5"/>
  <c r="R80" i="5" s="1"/>
  <c r="R13" i="5"/>
  <c r="M86" i="5"/>
  <c r="R86" i="5" s="1"/>
  <c r="R40" i="5"/>
  <c r="R24" i="5"/>
  <c r="R65" i="5"/>
  <c r="R60" i="5"/>
  <c r="R14" i="5"/>
  <c r="R57" i="5"/>
  <c r="R41" i="5"/>
  <c r="R25" i="5"/>
  <c r="R9" i="5"/>
  <c r="M107" i="5"/>
  <c r="R107" i="5" s="1"/>
  <c r="R36" i="5"/>
  <c r="R45" i="5"/>
  <c r="R22" i="5"/>
  <c r="M104" i="5"/>
  <c r="R104" i="5" s="1"/>
  <c r="R63" i="5"/>
  <c r="M99" i="5"/>
  <c r="R99" i="5" s="1"/>
  <c r="R35" i="5"/>
  <c r="R44" i="5"/>
  <c r="R62" i="5"/>
  <c r="R23" i="5"/>
  <c r="R66" i="5"/>
  <c r="R50" i="5"/>
  <c r="R34" i="5"/>
  <c r="R18" i="5"/>
  <c r="M82" i="5"/>
  <c r="R82" i="5" s="1"/>
  <c r="M100" i="5" l="1"/>
  <c r="R100" i="5" s="1"/>
  <c r="R102" i="5"/>
  <c r="R141" i="5" s="1"/>
  <c r="M112" i="5"/>
  <c r="R112" i="5" s="1"/>
  <c r="M141" i="5"/>
  <c r="M88" i="5"/>
  <c r="R88" i="5" s="1"/>
  <c r="R67" i="5"/>
</calcChain>
</file>

<file path=xl/sharedStrings.xml><?xml version="1.0" encoding="utf-8"?>
<sst xmlns="http://schemas.openxmlformats.org/spreadsheetml/2006/main" count="620" uniqueCount="148">
  <si>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</si>
  <si>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</si>
  <si>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</si>
  <si>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</si>
  <si>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</si>
  <si>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</si>
  <si>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</si>
  <si>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</si>
  <si>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</si>
  <si>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</si>
  <si>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</si>
  <si>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</si>
  <si>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</si>
  <si>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</si>
  <si>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</si>
  <si>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</si>
  <si>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</si>
  <si>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</si>
  <si>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</si>
  <si>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</si>
  <si>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</si>
  <si>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</si>
  <si>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</si>
  <si>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</si>
  <si>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</si>
  <si>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</si>
  <si>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</si>
  <si>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</si>
  <si>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</si>
  <si>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</si>
  <si>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</si>
  <si>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</si>
  <si>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</si>
  <si>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</si>
  <si>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</si>
  <si>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</si>
  <si>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</si>
  <si>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</si>
  <si>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</si>
  <si>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</si>
  <si>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</si>
  <si>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</si>
  <si>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</si>
  <si>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</si>
  <si>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</si>
  <si>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</si>
  <si>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</si>
  <si>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</si>
  <si>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</si>
  <si>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</si>
  <si>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</si>
  <si>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</si>
  <si>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</si>
  <si>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</si>
  <si>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</si>
  <si>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</si>
  <si>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</si>
  <si>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</si>
  <si>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</si>
  <si>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</si>
  <si>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</si>
  <si>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</si>
  <si>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</si>
  <si>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</si>
  <si>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</si>
  <si>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</si>
  <si>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</si>
  <si>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</si>
  <si>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</si>
  <si>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</si>
  <si>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</si>
  <si>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</si>
  <si>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</si>
  <si>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</si>
  <si>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</si>
  <si>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</si>
  <si>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</si>
  <si>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</si>
  <si>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</si>
  <si>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</si>
  <si>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</si>
  <si>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</si>
  <si>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</si>
  <si>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</si>
  <si>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</si>
  <si>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</si>
  <si>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</si>
  <si>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</si>
  <si>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</si>
  <si>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</si>
  <si>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</si>
  <si>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</si>
  <si>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</si>
  <si>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</si>
  <si>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</si>
  <si>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</si>
  <si>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</si>
  <si>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</si>
  <si>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</si>
  <si>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</si>
  <si>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</si>
  <si>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</si>
  <si>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</si>
  <si>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</si>
  <si>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</si>
  <si>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</si>
  <si>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</si>
  <si>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</si>
  <si>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</si>
  <si>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</si>
  <si>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</si>
  <si>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</si>
  <si>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</si>
  <si>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</si>
  <si>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</si>
  <si>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</si>
  <si>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</si>
  <si>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</si>
  <si>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</si>
  <si>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</si>
  <si>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</si>
  <si>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</si>
  <si>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</si>
  <si>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</si>
  <si>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</si>
  <si>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</si>
  <si>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</si>
  <si>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</si>
  <si>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</si>
  <si>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</si>
  <si>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</si>
  <si>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</si>
  <si>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</si>
  <si>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</si>
  <si>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</si>
  <si>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</si>
  <si>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</si>
  <si>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</si>
  <si>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</si>
  <si>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</si>
  <si>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</si>
  <si>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</si>
  <si>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</si>
  <si>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28/4/68 รวม</t>
  </si>
  <si>
    <t>ยอดจริง ออนไลน์ วันที่  28/4/68 เช้า</t>
  </si>
  <si>
    <t>***บิลไตรทศครีมฮอร์นไม่ยิงวันหมดอายุ</t>
  </si>
  <si>
    <t>ยอดจริง ออนไลน์ วันที่ 28/4/68บ่าย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</si>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</sst>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M161"/>
  <sheetViews>
    <sheetView topLeftCell="A102" zoomScale="60" zoomScaleNormal="60" workbookViewId="0">
      <selection activeCell="M120" sqref="M120"/>
    </sheetView>
  </sheetViews>
  <sheetFormatPr defaultRowHeight="23.4"/>
  <cols>
    <col min="2" max="2" width="22.109375" style="23" customWidth="1"/>
    <col min="3" max="3" width="59.109375" style="23" customWidth="1"/>
    <col min="4" max="7" width="14.44140625" style="16" customWidth="1"/>
    <col min="8" max="10" width="14.44140625" style="16" hidden="1" customWidth="1"/>
    <col min="11" max="11" width="14.44140625" style="16" customWidth="1"/>
    <col min="12" max="12" width="17.5546875" style="25" customWidth="1"/>
    <col min="13" max="13" width="53.109375" customWidth="1"/>
  </cols>
  <sheetData>
    <row r="1" spans="2:12">
      <c r="B1" s="62" t="s">
        <v>144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2:12">
      <c r="B2" s="66"/>
      <c r="C2" s="67"/>
      <c r="D2" s="1"/>
      <c r="E2" s="68"/>
      <c r="F2" s="68"/>
      <c r="G2" s="2"/>
      <c r="H2" s="2"/>
      <c r="I2" s="2"/>
      <c r="J2" s="2"/>
      <c r="K2" s="2"/>
      <c r="L2" s="3" t="s">
        <v>0</v>
      </c>
    </row>
    <row r="3" spans="2:12">
      <c r="B3" s="66"/>
      <c r="C3" s="67"/>
      <c r="D3" s="4"/>
      <c r="E3" s="69"/>
      <c r="F3" s="69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3" t="s">
        <v>11</v>
      </c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2:12">
      <c r="B7" s="11">
        <v>1111002</v>
      </c>
      <c r="C7" s="15" t="s">
        <v>107</v>
      </c>
      <c r="D7" s="30">
        <v>2</v>
      </c>
      <c r="E7" s="30">
        <v>16</v>
      </c>
      <c r="F7" s="30">
        <v>28</v>
      </c>
      <c r="G7" s="30">
        <v>9</v>
      </c>
      <c r="H7" s="30"/>
      <c r="I7" s="30"/>
      <c r="J7" s="43"/>
      <c r="K7" s="43"/>
      <c r="L7" s="36">
        <f>SUM(D7:K7)</f>
        <v>55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5</v>
      </c>
      <c r="F25" s="30">
        <v>2</v>
      </c>
      <c r="G25" s="30">
        <v>9</v>
      </c>
      <c r="H25" s="30"/>
      <c r="I25" s="30"/>
      <c r="J25" s="43"/>
      <c r="K25" s="43"/>
      <c r="L25" s="36">
        <f t="shared" si="0"/>
        <v>16</v>
      </c>
    </row>
    <row r="26" spans="2:12">
      <c r="B26" s="11">
        <v>1004055</v>
      </c>
      <c r="C26" s="15" t="s">
        <v>108</v>
      </c>
      <c r="D26" s="30">
        <v>2</v>
      </c>
      <c r="E26" s="30"/>
      <c r="F26" s="30">
        <v>1</v>
      </c>
      <c r="G26" s="30">
        <v>51</v>
      </c>
      <c r="H26" s="30"/>
      <c r="I26" s="30"/>
      <c r="J26" s="43"/>
      <c r="K26" s="43"/>
      <c r="L26" s="36">
        <f t="shared" si="0"/>
        <v>54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20</v>
      </c>
      <c r="F40" s="30"/>
      <c r="G40" s="30"/>
      <c r="H40" s="30"/>
      <c r="I40" s="30"/>
      <c r="J40" s="43"/>
      <c r="K40" s="43"/>
      <c r="L40" s="36">
        <f t="shared" si="0"/>
        <v>20</v>
      </c>
    </row>
    <row r="41" spans="2:12">
      <c r="B41" s="11">
        <v>1111058</v>
      </c>
      <c r="C41" s="15" t="s">
        <v>31</v>
      </c>
      <c r="D41" s="30"/>
      <c r="E41" s="30">
        <v>20</v>
      </c>
      <c r="F41" s="30"/>
      <c r="G41" s="30"/>
      <c r="H41" s="30"/>
      <c r="I41" s="30"/>
      <c r="J41" s="43"/>
      <c r="K41" s="43"/>
      <c r="L41" s="36">
        <f t="shared" si="0"/>
        <v>20</v>
      </c>
    </row>
    <row r="42" spans="2:12">
      <c r="B42" s="11">
        <v>1111059</v>
      </c>
      <c r="C42" s="15" t="s">
        <v>32</v>
      </c>
      <c r="D42" s="30"/>
      <c r="E42" s="30">
        <v>20</v>
      </c>
      <c r="F42" s="30"/>
      <c r="G42" s="30"/>
      <c r="H42" s="30"/>
      <c r="I42" s="30"/>
      <c r="J42" s="43"/>
      <c r="K42" s="43"/>
      <c r="L42" s="36">
        <f t="shared" si="0"/>
        <v>20</v>
      </c>
    </row>
    <row r="43" spans="2:12">
      <c r="B43" s="11">
        <v>1111060</v>
      </c>
      <c r="C43" s="15" t="s">
        <v>33</v>
      </c>
      <c r="D43" s="30"/>
      <c r="E43" s="30">
        <v>19</v>
      </c>
      <c r="F43" s="30"/>
      <c r="G43" s="30"/>
      <c r="H43" s="30"/>
      <c r="I43" s="30"/>
      <c r="J43" s="43"/>
      <c r="K43" s="43"/>
      <c r="L43" s="36">
        <f t="shared" si="0"/>
        <v>19</v>
      </c>
    </row>
    <row r="44" spans="2:12">
      <c r="B44" s="11">
        <v>1111061</v>
      </c>
      <c r="C44" s="15" t="s">
        <v>34</v>
      </c>
      <c r="D44" s="30"/>
      <c r="E44" s="30">
        <v>19</v>
      </c>
      <c r="F44" s="30"/>
      <c r="G44" s="30"/>
      <c r="H44" s="30"/>
      <c r="I44" s="30"/>
      <c r="J44" s="43"/>
      <c r="K44" s="43"/>
      <c r="L44" s="36">
        <f t="shared" si="0"/>
        <v>19</v>
      </c>
    </row>
    <row r="45" spans="2:12">
      <c r="B45" s="11">
        <v>1111062</v>
      </c>
      <c r="C45" s="15" t="s">
        <v>35</v>
      </c>
      <c r="D45" s="30"/>
      <c r="E45" s="30">
        <v>19</v>
      </c>
      <c r="F45" s="30"/>
      <c r="G45" s="30"/>
      <c r="H45" s="30"/>
      <c r="I45" s="30"/>
      <c r="J45" s="43"/>
      <c r="K45" s="43"/>
      <c r="L45" s="36">
        <f t="shared" si="0"/>
        <v>19</v>
      </c>
    </row>
    <row r="46" spans="2:12">
      <c r="B46" s="11">
        <v>1111063</v>
      </c>
      <c r="C46" s="15" t="s">
        <v>36</v>
      </c>
      <c r="D46" s="30"/>
      <c r="E46" s="30">
        <v>19</v>
      </c>
      <c r="F46" s="30"/>
      <c r="G46" s="30"/>
      <c r="H46" s="30"/>
      <c r="I46" s="30"/>
      <c r="J46" s="43"/>
      <c r="K46" s="43"/>
      <c r="L46" s="36">
        <f t="shared" si="0"/>
        <v>19</v>
      </c>
    </row>
    <row r="47" spans="2:12">
      <c r="B47" s="11">
        <v>1111064</v>
      </c>
      <c r="C47" s="15" t="s">
        <v>37</v>
      </c>
      <c r="D47" s="30"/>
      <c r="E47" s="30">
        <v>19</v>
      </c>
      <c r="F47" s="30"/>
      <c r="G47" s="30"/>
      <c r="H47" s="30"/>
      <c r="I47" s="30"/>
      <c r="J47" s="43"/>
      <c r="K47" s="43"/>
      <c r="L47" s="36">
        <f t="shared" si="0"/>
        <v>19</v>
      </c>
    </row>
    <row r="48" spans="2:12">
      <c r="B48" s="11">
        <v>1111065</v>
      </c>
      <c r="C48" s="15" t="s">
        <v>38</v>
      </c>
      <c r="D48" s="30"/>
      <c r="E48" s="30">
        <v>19</v>
      </c>
      <c r="F48" s="30"/>
      <c r="G48" s="30"/>
      <c r="H48" s="30"/>
      <c r="I48" s="30"/>
      <c r="J48" s="43"/>
      <c r="K48" s="43"/>
      <c r="L48" s="36">
        <f t="shared" si="0"/>
        <v>19</v>
      </c>
    </row>
    <row r="49" spans="2:12">
      <c r="B49" s="11">
        <v>1111066</v>
      </c>
      <c r="C49" s="15" t="s">
        <v>39</v>
      </c>
      <c r="D49" s="30"/>
      <c r="E49" s="30">
        <v>19</v>
      </c>
      <c r="F49" s="30"/>
      <c r="G49" s="30"/>
      <c r="H49" s="30"/>
      <c r="I49" s="30"/>
      <c r="J49" s="43"/>
      <c r="K49" s="43"/>
      <c r="L49" s="36">
        <f t="shared" si="0"/>
        <v>19</v>
      </c>
    </row>
    <row r="50" spans="2:12">
      <c r="B50" s="11">
        <v>1111067</v>
      </c>
      <c r="C50" s="15" t="s">
        <v>40</v>
      </c>
      <c r="D50" s="30"/>
      <c r="E50" s="30">
        <v>19</v>
      </c>
      <c r="F50" s="30"/>
      <c r="G50" s="30"/>
      <c r="H50" s="30"/>
      <c r="I50" s="30"/>
      <c r="J50" s="43"/>
      <c r="K50" s="43"/>
      <c r="L50" s="36">
        <f t="shared" si="0"/>
        <v>19</v>
      </c>
    </row>
    <row r="51" spans="2:12">
      <c r="B51" s="11">
        <v>1111068</v>
      </c>
      <c r="C51" s="15" t="s">
        <v>41</v>
      </c>
      <c r="D51" s="30"/>
      <c r="E51" s="30">
        <v>19</v>
      </c>
      <c r="F51" s="30"/>
      <c r="G51" s="30"/>
      <c r="H51" s="30"/>
      <c r="I51" s="30"/>
      <c r="J51" s="43"/>
      <c r="K51" s="43"/>
      <c r="L51" s="36">
        <f t="shared" si="0"/>
        <v>19</v>
      </c>
    </row>
    <row r="52" spans="2:12">
      <c r="B52" s="11">
        <v>1111069</v>
      </c>
      <c r="C52" s="15" t="s">
        <v>42</v>
      </c>
      <c r="D52" s="30"/>
      <c r="E52" s="30">
        <v>19</v>
      </c>
      <c r="F52" s="30"/>
      <c r="G52" s="30"/>
      <c r="H52" s="30"/>
      <c r="I52" s="30"/>
      <c r="J52" s="43"/>
      <c r="K52" s="43"/>
      <c r="L52" s="36">
        <f t="shared" si="0"/>
        <v>19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375</v>
      </c>
    </row>
    <row r="68" spans="2:12" ht="21">
      <c r="B68" s="63" t="s">
        <v>55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</row>
    <row r="69" spans="2:12">
      <c r="B69" s="11">
        <v>1111009</v>
      </c>
      <c r="C69" s="19" t="s">
        <v>56</v>
      </c>
      <c r="D69" s="30"/>
      <c r="E69" s="30">
        <v>6</v>
      </c>
      <c r="F69" s="30">
        <v>3</v>
      </c>
      <c r="G69" s="30">
        <v>3</v>
      </c>
      <c r="H69" s="30"/>
      <c r="I69" s="30"/>
      <c r="J69" s="43"/>
      <c r="K69" s="43"/>
      <c r="L69" s="36">
        <f t="shared" ref="L69:L76" si="1">SUM(D69:K69)</f>
        <v>12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1">
      <c r="B78" s="63" t="s">
        <v>64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4</v>
      </c>
      <c r="E87" s="30">
        <v>3</v>
      </c>
      <c r="F87" s="30"/>
      <c r="G87" s="30">
        <v>57</v>
      </c>
      <c r="H87" s="30"/>
      <c r="I87" s="30"/>
      <c r="J87" s="43"/>
      <c r="K87" s="43"/>
      <c r="L87" s="36">
        <f t="shared" si="2"/>
        <v>64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64</v>
      </c>
    </row>
    <row r="89" spans="2:12" ht="21">
      <c r="B89" s="63" t="s">
        <v>74</v>
      </c>
      <c r="C89" s="64"/>
      <c r="D89" s="64"/>
      <c r="E89" s="64"/>
      <c r="F89" s="64"/>
      <c r="G89" s="64"/>
      <c r="H89" s="64"/>
      <c r="I89" s="64"/>
      <c r="J89" s="64"/>
      <c r="K89" s="64"/>
      <c r="L89" s="64"/>
    </row>
    <row r="90" spans="2:12">
      <c r="B90" s="11">
        <v>1112009</v>
      </c>
      <c r="C90" s="19" t="s">
        <v>75</v>
      </c>
      <c r="D90" s="30">
        <v>2</v>
      </c>
      <c r="E90" s="30"/>
      <c r="F90" s="30">
        <v>1</v>
      </c>
      <c r="G90" s="30">
        <v>21</v>
      </c>
      <c r="H90" s="30"/>
      <c r="I90" s="30"/>
      <c r="J90" s="43"/>
      <c r="K90" s="43"/>
      <c r="L90" s="36">
        <f t="shared" ref="L90:L99" si="3">SUM(D90:K90)</f>
        <v>24</v>
      </c>
    </row>
    <row r="91" spans="2:12">
      <c r="B91" s="11">
        <v>1112011</v>
      </c>
      <c r="C91" s="19" t="s">
        <v>76</v>
      </c>
      <c r="D91" s="30"/>
      <c r="E91" s="30"/>
      <c r="F91" s="30">
        <v>5</v>
      </c>
      <c r="G91" s="30">
        <v>21</v>
      </c>
      <c r="H91" s="30"/>
      <c r="I91" s="30"/>
      <c r="J91" s="43"/>
      <c r="K91" s="43"/>
      <c r="L91" s="36">
        <f t="shared" si="3"/>
        <v>26</v>
      </c>
    </row>
    <row r="92" spans="2:12">
      <c r="B92" s="11">
        <v>1112003</v>
      </c>
      <c r="C92" s="19" t="s">
        <v>77</v>
      </c>
      <c r="D92" s="30">
        <v>1</v>
      </c>
      <c r="E92" s="30"/>
      <c r="F92" s="30">
        <v>1</v>
      </c>
      <c r="G92" s="30">
        <v>23</v>
      </c>
      <c r="H92" s="30"/>
      <c r="I92" s="30"/>
      <c r="J92" s="43"/>
      <c r="K92" s="43"/>
      <c r="L92" s="36">
        <f t="shared" si="3"/>
        <v>25</v>
      </c>
    </row>
    <row r="93" spans="2:12">
      <c r="B93" s="11">
        <v>1112005</v>
      </c>
      <c r="C93" s="19" t="s">
        <v>78</v>
      </c>
      <c r="D93" s="30">
        <v>1</v>
      </c>
      <c r="E93" s="30"/>
      <c r="F93" s="30">
        <v>1</v>
      </c>
      <c r="G93" s="30">
        <v>40</v>
      </c>
      <c r="H93" s="30"/>
      <c r="I93" s="30"/>
      <c r="J93" s="43"/>
      <c r="K93" s="43"/>
      <c r="L93" s="36">
        <f t="shared" si="3"/>
        <v>42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1</v>
      </c>
      <c r="G97" s="30">
        <v>21</v>
      </c>
      <c r="H97" s="30"/>
      <c r="I97" s="30"/>
      <c r="J97" s="43"/>
      <c r="K97" s="43"/>
      <c r="L97" s="36">
        <f t="shared" si="3"/>
        <v>22</v>
      </c>
    </row>
    <row r="98" spans="2:12">
      <c r="B98" s="11">
        <v>1112013</v>
      </c>
      <c r="C98" s="19" t="s">
        <v>83</v>
      </c>
      <c r="D98" s="30"/>
      <c r="E98" s="30"/>
      <c r="F98" s="30">
        <v>1</v>
      </c>
      <c r="G98" s="30">
        <v>21</v>
      </c>
      <c r="H98" s="30"/>
      <c r="I98" s="30"/>
      <c r="J98" s="43"/>
      <c r="K98" s="43"/>
      <c r="L98" s="36">
        <f t="shared" si="3"/>
        <v>22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161</v>
      </c>
    </row>
    <row r="101" spans="2:12" ht="21">
      <c r="B101" s="63" t="s">
        <v>85</v>
      </c>
      <c r="C101" s="64"/>
      <c r="D101" s="64"/>
      <c r="E101" s="64"/>
      <c r="F101" s="64"/>
      <c r="G101" s="64"/>
      <c r="H101" s="64"/>
      <c r="I101" s="64"/>
      <c r="J101" s="64"/>
      <c r="K101" s="64"/>
      <c r="L101" s="64"/>
    </row>
    <row r="102" spans="2:12">
      <c r="B102" s="11">
        <v>1112008</v>
      </c>
      <c r="C102" s="19" t="s">
        <v>75</v>
      </c>
      <c r="D102" s="30"/>
      <c r="E102" s="30">
        <v>1</v>
      </c>
      <c r="F102" s="30"/>
      <c r="G102" s="30"/>
      <c r="H102" s="30"/>
      <c r="I102" s="30"/>
      <c r="J102" s="43"/>
      <c r="K102" s="43"/>
      <c r="L102" s="36">
        <f t="shared" ref="L102:L111" si="4">SUM(D102:K102)</f>
        <v>1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</v>
      </c>
    </row>
    <row r="113" spans="2:13" ht="21">
      <c r="B113" s="63" t="s">
        <v>86</v>
      </c>
      <c r="C113" s="64"/>
      <c r="D113" s="64"/>
      <c r="E113" s="64"/>
      <c r="F113" s="64"/>
      <c r="G113" s="64"/>
      <c r="H113" s="64"/>
      <c r="I113" s="64"/>
      <c r="J113" s="64"/>
      <c r="K113" s="64"/>
      <c r="L113" s="64"/>
    </row>
    <row r="114" spans="2:13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3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3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3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3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3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3">
      <c r="B120" s="11">
        <v>1100002</v>
      </c>
      <c r="C120" s="21" t="s">
        <v>123</v>
      </c>
      <c r="D120" s="30"/>
      <c r="E120" s="30"/>
      <c r="F120" s="30"/>
      <c r="G120" s="30">
        <v>3</v>
      </c>
      <c r="H120" s="30"/>
      <c r="I120" s="30"/>
      <c r="J120" s="43"/>
      <c r="K120" s="43"/>
      <c r="L120" s="36">
        <f t="shared" si="5"/>
        <v>3</v>
      </c>
    </row>
    <row r="121" spans="2:13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36">
        <f t="shared" si="5"/>
        <v>1</v>
      </c>
    </row>
    <row r="122" spans="2:13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3">
      <c r="B123" s="11">
        <v>1114501</v>
      </c>
      <c r="C123" s="21" t="s">
        <v>95</v>
      </c>
      <c r="D123" s="30">
        <v>5</v>
      </c>
      <c r="E123" s="30">
        <v>18</v>
      </c>
      <c r="F123" s="30">
        <v>7</v>
      </c>
      <c r="G123" s="30">
        <v>173</v>
      </c>
      <c r="H123" s="30"/>
      <c r="I123" s="30"/>
      <c r="J123" s="43"/>
      <c r="K123" s="43">
        <v>15</v>
      </c>
      <c r="L123" s="36">
        <f t="shared" si="5"/>
        <v>218</v>
      </c>
      <c r="M123" s="54" t="s">
        <v>145</v>
      </c>
    </row>
    <row r="124" spans="2:13">
      <c r="B124" s="11">
        <v>1114502</v>
      </c>
      <c r="C124" s="21" t="s">
        <v>96</v>
      </c>
      <c r="D124" s="30">
        <v>1</v>
      </c>
      <c r="E124" s="30">
        <v>6</v>
      </c>
      <c r="F124" s="30">
        <v>4</v>
      </c>
      <c r="G124" s="30">
        <v>139</v>
      </c>
      <c r="H124" s="30"/>
      <c r="I124" s="30"/>
      <c r="J124" s="43"/>
      <c r="K124" s="43">
        <v>15</v>
      </c>
      <c r="L124" s="36">
        <f t="shared" si="5"/>
        <v>165</v>
      </c>
      <c r="M124" s="54" t="s">
        <v>145</v>
      </c>
    </row>
    <row r="125" spans="2:13">
      <c r="B125" s="11">
        <v>1114503</v>
      </c>
      <c r="C125" s="21" t="s">
        <v>97</v>
      </c>
      <c r="D125" s="30"/>
      <c r="E125" s="30">
        <v>3</v>
      </c>
      <c r="F125" s="30">
        <v>5</v>
      </c>
      <c r="G125" s="30">
        <v>133</v>
      </c>
      <c r="H125" s="30"/>
      <c r="I125" s="30"/>
      <c r="J125" s="43"/>
      <c r="K125" s="43"/>
      <c r="L125" s="36">
        <f t="shared" si="5"/>
        <v>141</v>
      </c>
    </row>
    <row r="126" spans="2:13">
      <c r="B126" s="11">
        <v>1124021</v>
      </c>
      <c r="C126" s="21" t="s">
        <v>98</v>
      </c>
      <c r="D126" s="30"/>
      <c r="E126" s="30">
        <v>17</v>
      </c>
      <c r="F126" s="30">
        <v>16</v>
      </c>
      <c r="G126" s="30"/>
      <c r="H126" s="30"/>
      <c r="I126" s="30"/>
      <c r="J126" s="43"/>
      <c r="K126" s="43"/>
      <c r="L126" s="36">
        <f t="shared" si="5"/>
        <v>33</v>
      </c>
    </row>
    <row r="127" spans="2:13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3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>
        <v>12</v>
      </c>
      <c r="H137" s="30"/>
      <c r="I137" s="30"/>
      <c r="J137" s="43"/>
      <c r="K137" s="43"/>
      <c r="L137" s="36">
        <f t="shared" si="5"/>
        <v>12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5" t="s">
        <v>104</v>
      </c>
      <c r="C143" s="65"/>
      <c r="D143" s="32"/>
      <c r="E143" s="61"/>
      <c r="F143" s="61"/>
      <c r="G143" s="27"/>
      <c r="H143" s="26"/>
      <c r="I143" s="65" t="s">
        <v>104</v>
      </c>
      <c r="J143" s="65"/>
      <c r="K143" s="65"/>
      <c r="L143" s="65"/>
    </row>
    <row r="144" spans="2:12">
      <c r="B144" s="61" t="s">
        <v>105</v>
      </c>
      <c r="C144" s="61"/>
      <c r="D144" s="33"/>
      <c r="E144" s="33"/>
      <c r="F144" s="33"/>
      <c r="G144" s="33"/>
      <c r="H144" s="33"/>
      <c r="I144" s="61" t="s">
        <v>106</v>
      </c>
      <c r="J144" s="61"/>
      <c r="K144" s="61"/>
      <c r="L144" s="61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4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4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4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4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4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4"/>
  <cols>
    <col min="2" max="2" width="22.109375" style="23" customWidth="1"/>
    <col min="3" max="3" width="59.109375" style="23" customWidth="1"/>
    <col min="4" max="11" width="14.44140625" style="16" customWidth="1"/>
    <col min="12" max="12" width="17.5546875" style="25" customWidth="1"/>
  </cols>
  <sheetData>
    <row r="1" spans="2:12">
      <c r="B1" s="62" t="s">
        <v>136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2:12">
      <c r="B2" s="66"/>
      <c r="C2" s="67"/>
      <c r="D2" s="1"/>
      <c r="E2" s="68"/>
      <c r="F2" s="68"/>
      <c r="G2" s="2"/>
      <c r="H2" s="2"/>
      <c r="I2" s="2"/>
      <c r="J2" s="2"/>
      <c r="K2" s="2"/>
      <c r="L2" s="3" t="s">
        <v>0</v>
      </c>
    </row>
    <row r="3" spans="2:12">
      <c r="B3" s="66"/>
      <c r="C3" s="67"/>
      <c r="D3" s="4"/>
      <c r="E3" s="69"/>
      <c r="F3" s="69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3" t="s">
        <v>11</v>
      </c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3" t="s">
        <v>55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3" t="s">
        <v>64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3" t="s">
        <v>74</v>
      </c>
      <c r="C89" s="64"/>
      <c r="D89" s="64"/>
      <c r="E89" s="64"/>
      <c r="F89" s="64"/>
      <c r="G89" s="64"/>
      <c r="H89" s="64"/>
      <c r="I89" s="64"/>
      <c r="J89" s="64"/>
      <c r="K89" s="64"/>
      <c r="L89" s="64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3" t="s">
        <v>85</v>
      </c>
      <c r="C101" s="64"/>
      <c r="D101" s="64"/>
      <c r="E101" s="64"/>
      <c r="F101" s="64"/>
      <c r="G101" s="64"/>
      <c r="H101" s="64"/>
      <c r="I101" s="64"/>
      <c r="J101" s="64"/>
      <c r="K101" s="64"/>
      <c r="L101" s="64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3" t="s">
        <v>86</v>
      </c>
      <c r="C113" s="64"/>
      <c r="D113" s="64"/>
      <c r="E113" s="64"/>
      <c r="F113" s="64"/>
      <c r="G113" s="64"/>
      <c r="H113" s="64"/>
      <c r="I113" s="64"/>
      <c r="J113" s="64"/>
      <c r="K113" s="64"/>
      <c r="L113" s="64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5" t="s">
        <v>104</v>
      </c>
      <c r="C143" s="65"/>
      <c r="D143" s="32"/>
      <c r="E143" s="61"/>
      <c r="F143" s="61"/>
      <c r="G143" s="27"/>
      <c r="H143" s="26"/>
      <c r="I143" s="65" t="s">
        <v>104</v>
      </c>
      <c r="J143" s="65"/>
      <c r="K143" s="65"/>
      <c r="L143" s="65"/>
    </row>
    <row r="144" spans="2:12">
      <c r="B144" s="61" t="s">
        <v>105</v>
      </c>
      <c r="C144" s="61"/>
      <c r="D144" s="33"/>
      <c r="E144" s="33"/>
      <c r="F144" s="33"/>
      <c r="G144" s="33"/>
      <c r="H144" s="33"/>
      <c r="I144" s="61" t="s">
        <v>106</v>
      </c>
      <c r="J144" s="61"/>
      <c r="K144" s="61"/>
      <c r="L144" s="61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4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4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4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4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4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W131" sqref="W131"/>
    </sheetView>
  </sheetViews>
  <sheetFormatPr defaultRowHeight="23.4"/>
  <cols>
    <col min="2" max="2" width="22.109375" style="23" customWidth="1"/>
    <col min="3" max="3" width="59.109375" style="23" customWidth="1"/>
    <col min="4" max="7" width="14.44140625" style="16" customWidth="1"/>
    <col min="8" max="11" width="14.44140625" style="16" hidden="1" customWidth="1"/>
    <col min="12" max="12" width="17.5546875" style="25" customWidth="1"/>
  </cols>
  <sheetData>
    <row r="1" spans="2:12">
      <c r="B1" s="62" t="s">
        <v>146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2:12">
      <c r="B2" s="66"/>
      <c r="C2" s="67"/>
      <c r="D2" s="1"/>
      <c r="E2" s="68"/>
      <c r="F2" s="68"/>
      <c r="G2" s="2"/>
      <c r="H2" s="2"/>
      <c r="I2" s="2"/>
      <c r="J2" s="2"/>
      <c r="K2" s="2"/>
      <c r="L2" s="3" t="s">
        <v>0</v>
      </c>
    </row>
    <row r="3" spans="2:12">
      <c r="B3" s="66"/>
      <c r="C3" s="67"/>
      <c r="D3" s="4"/>
      <c r="E3" s="69"/>
      <c r="F3" s="69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3" t="s">
        <v>11</v>
      </c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2:12">
      <c r="B7" s="11">
        <v>1111002</v>
      </c>
      <c r="C7" s="15" t="s">
        <v>107</v>
      </c>
      <c r="D7" s="30">
        <v>5</v>
      </c>
      <c r="E7" s="30">
        <v>3</v>
      </c>
      <c r="F7" s="30"/>
      <c r="G7" s="30">
        <v>6</v>
      </c>
      <c r="H7" s="30"/>
      <c r="I7" s="30"/>
      <c r="J7" s="43"/>
      <c r="K7" s="43"/>
      <c r="L7" s="36">
        <f>SUM(D7:K7)</f>
        <v>14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</v>
      </c>
      <c r="F25" s="30"/>
      <c r="G25" s="30"/>
      <c r="H25" s="30"/>
      <c r="I25" s="30"/>
      <c r="J25" s="43"/>
      <c r="K25" s="43"/>
      <c r="L25" s="36">
        <f t="shared" si="0"/>
        <v>3</v>
      </c>
    </row>
    <row r="26" spans="2:12">
      <c r="B26" s="11">
        <v>1004055</v>
      </c>
      <c r="C26" s="15" t="s">
        <v>108</v>
      </c>
      <c r="D26" s="30">
        <v>1</v>
      </c>
      <c r="E26" s="30"/>
      <c r="F26" s="30"/>
      <c r="G26" s="30">
        <v>15</v>
      </c>
      <c r="H26" s="30"/>
      <c r="I26" s="30"/>
      <c r="J26" s="43"/>
      <c r="K26" s="43"/>
      <c r="L26" s="36">
        <f t="shared" si="0"/>
        <v>16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33</v>
      </c>
    </row>
    <row r="68" spans="2:12" ht="21">
      <c r="B68" s="63" t="s">
        <v>55</v>
      </c>
      <c r="C68" s="64"/>
      <c r="D68" s="64"/>
      <c r="E68" s="64"/>
      <c r="F68" s="64"/>
      <c r="G68" s="64"/>
      <c r="H68" s="64"/>
      <c r="I68" s="64"/>
      <c r="J68" s="64"/>
      <c r="K68" s="64"/>
      <c r="L68" s="64"/>
    </row>
    <row r="69" spans="2:12">
      <c r="B69" s="11">
        <v>1111009</v>
      </c>
      <c r="C69" s="19" t="s">
        <v>56</v>
      </c>
      <c r="D69" s="30"/>
      <c r="E69" s="30"/>
      <c r="F69" s="30"/>
      <c r="G69" s="30">
        <v>12</v>
      </c>
      <c r="H69" s="30"/>
      <c r="I69" s="30"/>
      <c r="J69" s="43"/>
      <c r="K69" s="43"/>
      <c r="L69" s="36">
        <f t="shared" ref="L69:L76" si="1">SUM(D69:K69)</f>
        <v>12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1">
      <c r="B78" s="63" t="s">
        <v>64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6</v>
      </c>
      <c r="E87" s="30">
        <v>3</v>
      </c>
      <c r="F87" s="30"/>
      <c r="G87" s="30">
        <v>30</v>
      </c>
      <c r="H87" s="30"/>
      <c r="I87" s="30"/>
      <c r="J87" s="43"/>
      <c r="K87" s="43"/>
      <c r="L87" s="36">
        <f t="shared" si="2"/>
        <v>39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39</v>
      </c>
    </row>
    <row r="89" spans="2:12" ht="21">
      <c r="B89" s="63" t="s">
        <v>74</v>
      </c>
      <c r="C89" s="64"/>
      <c r="D89" s="64"/>
      <c r="E89" s="64"/>
      <c r="F89" s="64"/>
      <c r="G89" s="64"/>
      <c r="H89" s="64"/>
      <c r="I89" s="64"/>
      <c r="J89" s="64"/>
      <c r="K89" s="64"/>
      <c r="L89" s="64"/>
    </row>
    <row r="90" spans="2:12">
      <c r="B90" s="11">
        <v>1112009</v>
      </c>
      <c r="C90" s="19" t="s">
        <v>75</v>
      </c>
      <c r="D90" s="30">
        <v>2</v>
      </c>
      <c r="E90" s="30">
        <v>1</v>
      </c>
      <c r="F90" s="30"/>
      <c r="G90" s="30">
        <v>9</v>
      </c>
      <c r="H90" s="30"/>
      <c r="I90" s="30"/>
      <c r="J90" s="43"/>
      <c r="K90" s="43"/>
      <c r="L90" s="36">
        <f t="shared" ref="L90:L99" si="3">SUM(D90:K90)</f>
        <v>12</v>
      </c>
    </row>
    <row r="91" spans="2:12">
      <c r="B91" s="11">
        <v>1112011</v>
      </c>
      <c r="C91" s="19" t="s">
        <v>76</v>
      </c>
      <c r="D91" s="30">
        <v>8</v>
      </c>
      <c r="E91" s="30"/>
      <c r="F91" s="30"/>
      <c r="G91" s="30">
        <v>9</v>
      </c>
      <c r="H91" s="30"/>
      <c r="I91" s="30"/>
      <c r="J91" s="43"/>
      <c r="K91" s="43"/>
      <c r="L91" s="36">
        <f t="shared" si="3"/>
        <v>17</v>
      </c>
    </row>
    <row r="92" spans="2:12">
      <c r="B92" s="11">
        <v>1112003</v>
      </c>
      <c r="C92" s="19" t="s">
        <v>77</v>
      </c>
      <c r="D92" s="30">
        <v>3</v>
      </c>
      <c r="E92" s="30"/>
      <c r="F92" s="30"/>
      <c r="G92" s="30">
        <v>9</v>
      </c>
      <c r="H92" s="30"/>
      <c r="I92" s="30"/>
      <c r="J92" s="43"/>
      <c r="K92" s="43"/>
      <c r="L92" s="36">
        <f t="shared" si="3"/>
        <v>12</v>
      </c>
    </row>
    <row r="93" spans="2:12">
      <c r="B93" s="11">
        <v>1112005</v>
      </c>
      <c r="C93" s="19" t="s">
        <v>78</v>
      </c>
      <c r="D93" s="30">
        <v>6</v>
      </c>
      <c r="E93" s="30"/>
      <c r="F93" s="30"/>
      <c r="G93" s="30">
        <v>9</v>
      </c>
      <c r="H93" s="30"/>
      <c r="I93" s="30"/>
      <c r="J93" s="43"/>
      <c r="K93" s="43"/>
      <c r="L93" s="36">
        <f t="shared" si="3"/>
        <v>15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1</v>
      </c>
      <c r="F97" s="30"/>
      <c r="G97" s="30">
        <v>10</v>
      </c>
      <c r="H97" s="30"/>
      <c r="I97" s="30"/>
      <c r="J97" s="43"/>
      <c r="K97" s="43"/>
      <c r="L97" s="36">
        <f t="shared" si="3"/>
        <v>13</v>
      </c>
    </row>
    <row r="98" spans="2:12">
      <c r="B98" s="11">
        <v>1112013</v>
      </c>
      <c r="C98" s="19" t="s">
        <v>83</v>
      </c>
      <c r="D98" s="30">
        <v>1</v>
      </c>
      <c r="E98" s="30"/>
      <c r="F98" s="30"/>
      <c r="G98" s="30">
        <v>9</v>
      </c>
      <c r="H98" s="30"/>
      <c r="I98" s="30"/>
      <c r="J98" s="43"/>
      <c r="K98" s="43"/>
      <c r="L98" s="36">
        <f t="shared" si="3"/>
        <v>10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79</v>
      </c>
    </row>
    <row r="101" spans="2:12" ht="21">
      <c r="B101" s="63" t="s">
        <v>85</v>
      </c>
      <c r="C101" s="64"/>
      <c r="D101" s="64"/>
      <c r="E101" s="64"/>
      <c r="F101" s="64"/>
      <c r="G101" s="64"/>
      <c r="H101" s="64"/>
      <c r="I101" s="64"/>
      <c r="J101" s="64"/>
      <c r="K101" s="64"/>
      <c r="L101" s="64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3" t="s">
        <v>86</v>
      </c>
      <c r="C113" s="64"/>
      <c r="D113" s="64"/>
      <c r="E113" s="64"/>
      <c r="F113" s="64"/>
      <c r="G113" s="64"/>
      <c r="H113" s="64"/>
      <c r="I113" s="64"/>
      <c r="J113" s="64"/>
      <c r="K113" s="64"/>
      <c r="L113" s="64"/>
    </row>
    <row r="114" spans="2:12">
      <c r="B114" s="11">
        <v>1113170</v>
      </c>
      <c r="C114" s="21" t="s">
        <v>87</v>
      </c>
      <c r="D114" s="30">
        <v>2</v>
      </c>
      <c r="E114" s="30"/>
      <c r="F114" s="30"/>
      <c r="G114" s="30">
        <v>2</v>
      </c>
      <c r="H114" s="30"/>
      <c r="I114" s="30"/>
      <c r="J114" s="43"/>
      <c r="K114" s="43"/>
      <c r="L114" s="36">
        <f t="shared" ref="L114:L140" si="5">SUM(D114:K114)</f>
        <v>4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9</v>
      </c>
      <c r="E123" s="30">
        <v>2</v>
      </c>
      <c r="F123" s="30"/>
      <c r="G123" s="30">
        <v>99</v>
      </c>
      <c r="H123" s="30"/>
      <c r="I123" s="30"/>
      <c r="J123" s="43"/>
      <c r="K123" s="43"/>
      <c r="L123" s="36">
        <f t="shared" si="5"/>
        <v>110</v>
      </c>
    </row>
    <row r="124" spans="2:12">
      <c r="B124" s="11">
        <v>1114502</v>
      </c>
      <c r="C124" s="21" t="s">
        <v>96</v>
      </c>
      <c r="D124" s="30">
        <v>5</v>
      </c>
      <c r="E124" s="30">
        <v>2</v>
      </c>
      <c r="F124" s="30"/>
      <c r="G124" s="30">
        <v>75</v>
      </c>
      <c r="H124" s="30"/>
      <c r="I124" s="30"/>
      <c r="J124" s="43"/>
      <c r="K124" s="43"/>
      <c r="L124" s="36">
        <f t="shared" si="5"/>
        <v>82</v>
      </c>
    </row>
    <row r="125" spans="2:12">
      <c r="B125" s="11">
        <v>1114503</v>
      </c>
      <c r="C125" s="21" t="s">
        <v>97</v>
      </c>
      <c r="D125" s="30">
        <v>3</v>
      </c>
      <c r="E125" s="30">
        <v>2</v>
      </c>
      <c r="F125" s="30"/>
      <c r="G125" s="30">
        <v>75</v>
      </c>
      <c r="H125" s="30"/>
      <c r="I125" s="30"/>
      <c r="J125" s="43"/>
      <c r="K125" s="43"/>
      <c r="L125" s="36">
        <f t="shared" si="5"/>
        <v>80</v>
      </c>
    </row>
    <row r="126" spans="2:12">
      <c r="B126" s="11">
        <v>1124021</v>
      </c>
      <c r="C126" s="21" t="s">
        <v>98</v>
      </c>
      <c r="D126" s="30"/>
      <c r="E126" s="30">
        <v>12</v>
      </c>
      <c r="F126" s="30"/>
      <c r="G126" s="30"/>
      <c r="H126" s="30"/>
      <c r="I126" s="30"/>
      <c r="J126" s="43"/>
      <c r="K126" s="43"/>
      <c r="L126" s="36">
        <f t="shared" si="5"/>
        <v>12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137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138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5" t="s">
        <v>104</v>
      </c>
      <c r="C143" s="65"/>
      <c r="D143" s="32"/>
      <c r="E143" s="61"/>
      <c r="F143" s="61"/>
      <c r="G143" s="27"/>
      <c r="H143" s="26"/>
      <c r="I143" s="65" t="s">
        <v>104</v>
      </c>
      <c r="J143" s="65"/>
      <c r="K143" s="65"/>
      <c r="L143" s="65"/>
    </row>
    <row r="144" spans="2:12">
      <c r="B144" s="61" t="s">
        <v>105</v>
      </c>
      <c r="C144" s="61"/>
      <c r="D144" s="33"/>
      <c r="E144" s="33"/>
      <c r="F144" s="33"/>
      <c r="G144" s="33"/>
      <c r="H144" s="33"/>
      <c r="I144" s="61" t="s">
        <v>106</v>
      </c>
      <c r="J144" s="61"/>
      <c r="K144" s="61"/>
      <c r="L144" s="61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4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4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4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4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4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zoomScale="50" zoomScaleNormal="50" workbookViewId="0">
      <selection activeCell="Q30" sqref="Q30"/>
    </sheetView>
  </sheetViews>
  <sheetFormatPr defaultRowHeight="23.4"/>
  <cols>
    <col min="2" max="2" width="22.109375" style="23" customWidth="1"/>
    <col min="3" max="3" width="59.109375" style="23" customWidth="1"/>
    <col min="4" max="12" width="14.44140625" style="16" customWidth="1"/>
    <col min="13" max="13" width="17.5546875" style="25" customWidth="1"/>
    <col min="14" max="14" width="16.109375" style="23" customWidth="1"/>
    <col min="15" max="16" width="15.44140625" style="23" customWidth="1"/>
    <col min="17" max="17" width="25.44140625" style="23" customWidth="1"/>
    <col min="18" max="18" width="14.44140625" style="28" customWidth="1"/>
    <col min="19" max="19" width="9.109375" customWidth="1"/>
    <col min="20" max="20" width="7.44140625" customWidth="1"/>
    <col min="21" max="21" width="22.6640625" customWidth="1"/>
  </cols>
  <sheetData>
    <row r="1" spans="2:18">
      <c r="B1" s="77" t="s">
        <v>143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2:18">
      <c r="B2" s="78"/>
      <c r="C2" s="79"/>
      <c r="D2" s="1"/>
      <c r="E2" s="80"/>
      <c r="F2" s="80"/>
      <c r="G2" s="59"/>
      <c r="H2" s="59"/>
      <c r="I2" s="59"/>
      <c r="J2" s="59"/>
      <c r="K2" s="59"/>
      <c r="L2" s="59"/>
      <c r="M2" s="3" t="s">
        <v>0</v>
      </c>
      <c r="N2" s="74" t="s">
        <v>127</v>
      </c>
      <c r="O2" s="74" t="s">
        <v>130</v>
      </c>
      <c r="P2" s="74" t="s">
        <v>139</v>
      </c>
      <c r="Q2" s="74" t="s">
        <v>140</v>
      </c>
      <c r="R2" s="82" t="s">
        <v>1</v>
      </c>
    </row>
    <row r="3" spans="2:18">
      <c r="B3" s="78"/>
      <c r="C3" s="79"/>
      <c r="D3" s="4"/>
      <c r="E3" s="81"/>
      <c r="F3" s="81"/>
      <c r="G3" s="60"/>
      <c r="H3" s="60"/>
      <c r="I3" s="60"/>
      <c r="J3" s="70"/>
      <c r="K3" s="41"/>
      <c r="L3" s="41"/>
      <c r="M3" s="6" t="s">
        <v>2</v>
      </c>
      <c r="N3" s="75"/>
      <c r="O3" s="75"/>
      <c r="P3" s="75"/>
      <c r="Q3" s="75"/>
      <c r="R3" s="83"/>
    </row>
    <row r="4" spans="2:18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147</v>
      </c>
      <c r="K4" s="42" t="s">
        <v>133</v>
      </c>
      <c r="L4" s="42" t="s">
        <v>135</v>
      </c>
      <c r="M4" s="10" t="s">
        <v>10</v>
      </c>
      <c r="N4" s="76"/>
      <c r="O4" s="76"/>
      <c r="P4" s="76"/>
      <c r="Q4" s="76"/>
      <c r="R4" s="84"/>
    </row>
    <row r="5" spans="2:18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1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/>
    </row>
    <row r="7" spans="2:18">
      <c r="B7" s="11">
        <v>1111002</v>
      </c>
      <c r="C7" s="15" t="s">
        <v>107</v>
      </c>
      <c r="D7" s="30">
        <f>'เย็น '!D7+'เช้า '!D7+บ่าย!D7</f>
        <v>7</v>
      </c>
      <c r="E7" s="30">
        <f>'เย็น '!E7+'เช้า '!E7+บ่าย!E7</f>
        <v>19</v>
      </c>
      <c r="F7" s="30">
        <f>'เย็น '!F7+'เช้า '!F7+บ่าย!F7</f>
        <v>28</v>
      </c>
      <c r="G7" s="30">
        <f>'เย็น '!G7+'เช้า '!G7+บ่าย!G7</f>
        <v>15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15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69</v>
      </c>
      <c r="N7" s="11">
        <v>70</v>
      </c>
      <c r="O7" s="11"/>
      <c r="P7" s="11"/>
      <c r="Q7" s="11">
        <v>70</v>
      </c>
      <c r="R7" s="44">
        <f>(N7+O7+P7+Q7)-M7</f>
        <v>71</v>
      </c>
    </row>
    <row r="8" spans="2:18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67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8</v>
      </c>
      <c r="F25" s="30">
        <f>'เย็น '!F25+'เช้า '!F25+บ่าย!F25</f>
        <v>2</v>
      </c>
      <c r="G25" s="30">
        <f>'เย็น '!G25+'เช้า '!G25+บ่าย!G25</f>
        <v>9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9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19</v>
      </c>
      <c r="N25" s="11">
        <v>15</v>
      </c>
      <c r="O25" s="11">
        <v>2</v>
      </c>
      <c r="P25" s="11"/>
      <c r="Q25" s="11">
        <v>15</v>
      </c>
      <c r="R25" s="44">
        <f t="shared" si="2"/>
        <v>13</v>
      </c>
    </row>
    <row r="26" spans="2:18">
      <c r="B26" s="11">
        <v>1004055</v>
      </c>
      <c r="C26" s="15" t="s">
        <v>108</v>
      </c>
      <c r="D26" s="30">
        <f>'เย็น '!D26+'เช้า '!D26+บ่าย!D26</f>
        <v>3</v>
      </c>
      <c r="E26" s="30">
        <f>'เย็น '!E26+'เช้า '!E26+บ่าย!E26</f>
        <v>0</v>
      </c>
      <c r="F26" s="30">
        <f>'เย็น '!F26+'เช้า '!F26+บ่าย!F26</f>
        <v>1</v>
      </c>
      <c r="G26" s="30">
        <f>'เย็น '!G26+'เช้า '!G26+บ่าย!G26</f>
        <v>66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66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70</v>
      </c>
      <c r="N26" s="11">
        <v>90</v>
      </c>
      <c r="O26" s="11">
        <v>65</v>
      </c>
      <c r="P26" s="11"/>
      <c r="Q26" s="11">
        <v>90</v>
      </c>
      <c r="R26" s="44">
        <f t="shared" si="2"/>
        <v>175</v>
      </c>
    </row>
    <row r="27" spans="2:18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20</v>
      </c>
      <c r="N40" s="11"/>
      <c r="O40" s="11"/>
      <c r="P40" s="11"/>
      <c r="Q40" s="11"/>
      <c r="R40" s="44">
        <f t="shared" si="2"/>
        <v>-20</v>
      </c>
    </row>
    <row r="41" spans="2:18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20</v>
      </c>
      <c r="N41" s="11"/>
      <c r="O41" s="11"/>
      <c r="P41" s="11"/>
      <c r="Q41" s="11"/>
      <c r="R41" s="44">
        <f t="shared" si="2"/>
        <v>-20</v>
      </c>
    </row>
    <row r="42" spans="2:18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20</v>
      </c>
      <c r="N42" s="11"/>
      <c r="O42" s="11"/>
      <c r="P42" s="11"/>
      <c r="Q42" s="11"/>
      <c r="R42" s="44">
        <f t="shared" si="2"/>
        <v>-20</v>
      </c>
    </row>
    <row r="43" spans="2:18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19</v>
      </c>
      <c r="N43" s="11"/>
      <c r="O43" s="11"/>
      <c r="P43" s="11"/>
      <c r="Q43" s="11"/>
      <c r="R43" s="44">
        <f t="shared" si="2"/>
        <v>-19</v>
      </c>
    </row>
    <row r="44" spans="2:18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19</v>
      </c>
      <c r="N44" s="11"/>
      <c r="O44" s="11"/>
      <c r="P44" s="11"/>
      <c r="Q44" s="11"/>
      <c r="R44" s="44">
        <f t="shared" si="2"/>
        <v>-19</v>
      </c>
    </row>
    <row r="45" spans="2:18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19</v>
      </c>
      <c r="N45" s="11"/>
      <c r="O45" s="11"/>
      <c r="P45" s="11"/>
      <c r="Q45" s="11"/>
      <c r="R45" s="44">
        <f t="shared" si="2"/>
        <v>-19</v>
      </c>
    </row>
    <row r="46" spans="2:18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19</v>
      </c>
      <c r="N46" s="11"/>
      <c r="O46" s="11"/>
      <c r="P46" s="11"/>
      <c r="Q46" s="11"/>
      <c r="R46" s="44">
        <f t="shared" si="2"/>
        <v>-19</v>
      </c>
    </row>
    <row r="47" spans="2:18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19</v>
      </c>
      <c r="N47" s="11"/>
      <c r="O47" s="11"/>
      <c r="P47" s="11"/>
      <c r="Q47" s="11"/>
      <c r="R47" s="44">
        <f t="shared" si="2"/>
        <v>-19</v>
      </c>
    </row>
    <row r="48" spans="2:18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19</v>
      </c>
      <c r="N48" s="11"/>
      <c r="O48" s="11"/>
      <c r="P48" s="11"/>
      <c r="Q48" s="11"/>
      <c r="R48" s="44">
        <f t="shared" si="2"/>
        <v>-19</v>
      </c>
    </row>
    <row r="49" spans="2:21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19</v>
      </c>
      <c r="N49" s="11"/>
      <c r="O49" s="11"/>
      <c r="P49" s="11"/>
      <c r="Q49" s="11"/>
      <c r="R49" s="44">
        <f t="shared" si="2"/>
        <v>-19</v>
      </c>
    </row>
    <row r="50" spans="2:21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19</v>
      </c>
      <c r="N50" s="11"/>
      <c r="O50" s="11"/>
      <c r="P50" s="11"/>
      <c r="Q50" s="11"/>
      <c r="R50" s="44">
        <f t="shared" si="2"/>
        <v>-19</v>
      </c>
    </row>
    <row r="51" spans="2:21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19</v>
      </c>
      <c r="N51" s="11"/>
      <c r="O51" s="11"/>
      <c r="P51" s="11"/>
      <c r="Q51" s="11"/>
      <c r="R51" s="44">
        <f t="shared" si="2"/>
        <v>-19</v>
      </c>
    </row>
    <row r="52" spans="2:21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19</v>
      </c>
      <c r="N52" s="11"/>
      <c r="O52" s="11"/>
      <c r="P52" s="11"/>
      <c r="Q52" s="11"/>
      <c r="R52" s="44">
        <f t="shared" si="2"/>
        <v>-19</v>
      </c>
      <c r="T52" s="46"/>
      <c r="U52" s="45"/>
    </row>
    <row r="53" spans="2:21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ht="21">
      <c r="B68" s="71" t="s">
        <v>55</v>
      </c>
      <c r="C68" s="72"/>
      <c r="D68" s="72"/>
      <c r="E68" s="72"/>
      <c r="F68" s="72"/>
      <c r="G68" s="72"/>
      <c r="H68" s="72"/>
      <c r="I68" s="72"/>
      <c r="J68" s="30">
        <f t="shared" si="0"/>
        <v>0</v>
      </c>
      <c r="K68" s="72"/>
      <c r="L68" s="72"/>
      <c r="M68" s="72"/>
      <c r="N68" s="72"/>
      <c r="O68" s="72"/>
      <c r="P68" s="72"/>
      <c r="Q68" s="72"/>
      <c r="R68" s="73"/>
    </row>
    <row r="69" spans="2:21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6</v>
      </c>
      <c r="F69" s="30">
        <f>'เย็น '!F69+'เช้า '!F69+บ่าย!F69</f>
        <v>3</v>
      </c>
      <c r="G69" s="30">
        <f>'เย็น '!G69+'เช้า '!G69+บ่าย!G69</f>
        <v>15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15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ref="M69:M76" si="4">SUM(D69:L69)</f>
        <v>39</v>
      </c>
      <c r="N69" s="11">
        <v>15</v>
      </c>
      <c r="O69" s="11">
        <v>27</v>
      </c>
      <c r="P69" s="11"/>
      <c r="Q69" s="11">
        <v>15</v>
      </c>
      <c r="R69" s="44">
        <f t="shared" ref="R69:R76" si="5">(N69+O69+P69+Q69)-M69</f>
        <v>18</v>
      </c>
    </row>
    <row r="70" spans="2:21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4"/>
        <v>0</v>
      </c>
      <c r="N70" s="11"/>
      <c r="O70" s="11"/>
      <c r="P70" s="11"/>
      <c r="Q70" s="11"/>
      <c r="R70" s="44">
        <f t="shared" si="5"/>
        <v>0</v>
      </c>
    </row>
    <row r="71" spans="2:21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4"/>
        <v>0</v>
      </c>
      <c r="N71" s="11"/>
      <c r="O71" s="11"/>
      <c r="P71" s="11"/>
      <c r="Q71" s="11"/>
      <c r="R71" s="44">
        <f t="shared" si="5"/>
        <v>0</v>
      </c>
    </row>
    <row r="72" spans="2:21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6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si="4"/>
        <v>0</v>
      </c>
      <c r="N72" s="11"/>
      <c r="O72" s="11"/>
      <c r="P72" s="11"/>
      <c r="Q72" s="11"/>
      <c r="R72" s="44">
        <f t="shared" si="5"/>
        <v>0</v>
      </c>
    </row>
    <row r="73" spans="2:21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6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4"/>
        <v>0</v>
      </c>
      <c r="N73" s="11"/>
      <c r="O73" s="11"/>
      <c r="P73" s="11"/>
      <c r="Q73" s="11"/>
      <c r="R73" s="44">
        <f t="shared" si="5"/>
        <v>0</v>
      </c>
    </row>
    <row r="74" spans="2:21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6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4"/>
        <v>0</v>
      </c>
      <c r="N74" s="11"/>
      <c r="O74" s="11"/>
      <c r="P74" s="11"/>
      <c r="Q74" s="11"/>
      <c r="R74" s="44">
        <f t="shared" si="5"/>
        <v>0</v>
      </c>
    </row>
    <row r="75" spans="2:21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6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4"/>
        <v>0</v>
      </c>
      <c r="N75" s="11"/>
      <c r="O75" s="11"/>
      <c r="P75" s="11"/>
      <c r="Q75" s="11"/>
      <c r="R75" s="44">
        <f t="shared" si="5"/>
        <v>0</v>
      </c>
    </row>
    <row r="76" spans="2:21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6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4"/>
        <v>0</v>
      </c>
      <c r="N76" s="11"/>
      <c r="O76" s="11"/>
      <c r="P76" s="11"/>
      <c r="Q76" s="11"/>
      <c r="R76" s="44">
        <f t="shared" si="5"/>
        <v>0</v>
      </c>
    </row>
    <row r="77" spans="2:21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6"/>
        <v>0</v>
      </c>
      <c r="K77" s="20"/>
      <c r="L77" s="20"/>
      <c r="M77" s="36"/>
      <c r="N77" s="11"/>
      <c r="O77" s="11"/>
      <c r="P77" s="11"/>
      <c r="Q77" s="11"/>
      <c r="R77" s="44">
        <f t="shared" ref="R77:R88" si="7">(N77+O77+P77+Q77)-M77</f>
        <v>0</v>
      </c>
    </row>
    <row r="78" spans="2:21" ht="21">
      <c r="B78" s="71" t="s">
        <v>64</v>
      </c>
      <c r="C78" s="72"/>
      <c r="D78" s="72"/>
      <c r="E78" s="72"/>
      <c r="F78" s="72"/>
      <c r="G78" s="72"/>
      <c r="H78" s="72"/>
      <c r="I78" s="72"/>
      <c r="J78" s="30">
        <f t="shared" si="6"/>
        <v>0</v>
      </c>
      <c r="K78" s="72"/>
      <c r="L78" s="72"/>
      <c r="M78" s="72"/>
      <c r="N78" s="72"/>
      <c r="O78" s="72"/>
      <c r="P78" s="72"/>
      <c r="Q78" s="72"/>
      <c r="R78" s="73"/>
    </row>
    <row r="79" spans="2:21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6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ref="M79:M87" si="8">SUM(D79:L79)</f>
        <v>0</v>
      </c>
      <c r="N79" s="11"/>
      <c r="O79" s="11"/>
      <c r="P79" s="11"/>
      <c r="Q79" s="11"/>
      <c r="R79" s="44">
        <f t="shared" ref="R79:R87" si="9">(N79+O79+P79+Q79)-M79</f>
        <v>0</v>
      </c>
    </row>
    <row r="80" spans="2:21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6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8"/>
        <v>0</v>
      </c>
      <c r="N80" s="11"/>
      <c r="O80" s="11"/>
      <c r="P80" s="11"/>
      <c r="Q80" s="11"/>
      <c r="R80" s="44">
        <f t="shared" si="9"/>
        <v>0</v>
      </c>
    </row>
    <row r="81" spans="2:18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6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8"/>
        <v>0</v>
      </c>
      <c r="N81" s="11"/>
      <c r="O81" s="11"/>
      <c r="P81" s="11"/>
      <c r="Q81" s="11"/>
      <c r="R81" s="44">
        <f t="shared" si="9"/>
        <v>0</v>
      </c>
    </row>
    <row r="82" spans="2:18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6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8"/>
        <v>0</v>
      </c>
      <c r="N82" s="11"/>
      <c r="O82" s="11"/>
      <c r="P82" s="11"/>
      <c r="Q82" s="11"/>
      <c r="R82" s="44">
        <f t="shared" si="9"/>
        <v>0</v>
      </c>
    </row>
    <row r="83" spans="2:18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6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8"/>
        <v>0</v>
      </c>
      <c r="N83" s="11"/>
      <c r="O83" s="11"/>
      <c r="P83" s="11"/>
      <c r="Q83" s="11"/>
      <c r="R83" s="44">
        <f t="shared" si="9"/>
        <v>0</v>
      </c>
    </row>
    <row r="84" spans="2:18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6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8"/>
        <v>0</v>
      </c>
      <c r="N84" s="11"/>
      <c r="O84" s="11"/>
      <c r="P84" s="11"/>
      <c r="Q84" s="11"/>
      <c r="R84" s="44">
        <f t="shared" si="9"/>
        <v>0</v>
      </c>
    </row>
    <row r="85" spans="2:18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6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8"/>
        <v>0</v>
      </c>
      <c r="N85" s="11"/>
      <c r="O85" s="11"/>
      <c r="P85" s="11"/>
      <c r="Q85" s="11"/>
      <c r="R85" s="44">
        <f t="shared" si="9"/>
        <v>0</v>
      </c>
    </row>
    <row r="86" spans="2:18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6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8"/>
        <v>0</v>
      </c>
      <c r="N86" s="11"/>
      <c r="O86" s="11"/>
      <c r="P86" s="11"/>
      <c r="Q86" s="11"/>
      <c r="R86" s="44">
        <f t="shared" si="9"/>
        <v>0</v>
      </c>
    </row>
    <row r="87" spans="2:18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87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6"/>
        <v>87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8"/>
        <v>190</v>
      </c>
      <c r="N87" s="11">
        <v>90</v>
      </c>
      <c r="O87" s="11">
        <v>57</v>
      </c>
      <c r="P87" s="11"/>
      <c r="Q87" s="11">
        <v>90</v>
      </c>
      <c r="R87" s="44">
        <f t="shared" si="9"/>
        <v>47</v>
      </c>
    </row>
    <row r="88" spans="2:18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6"/>
        <v>0</v>
      </c>
      <c r="K88" s="20"/>
      <c r="L88" s="20"/>
      <c r="M88" s="36">
        <f>SUM(D88:K88)</f>
        <v>0</v>
      </c>
      <c r="N88" s="11"/>
      <c r="O88" s="11"/>
      <c r="P88" s="11"/>
      <c r="Q88" s="11"/>
      <c r="R88" s="44">
        <f t="shared" si="7"/>
        <v>0</v>
      </c>
    </row>
    <row r="89" spans="2:18" ht="21">
      <c r="B89" s="71" t="s">
        <v>74</v>
      </c>
      <c r="C89" s="72"/>
      <c r="D89" s="72"/>
      <c r="E89" s="72"/>
      <c r="F89" s="72"/>
      <c r="G89" s="72"/>
      <c r="H89" s="72"/>
      <c r="I89" s="72"/>
      <c r="J89" s="30">
        <f t="shared" si="6"/>
        <v>0</v>
      </c>
      <c r="K89" s="72"/>
      <c r="L89" s="72"/>
      <c r="M89" s="72"/>
      <c r="N89" s="72"/>
      <c r="O89" s="72"/>
      <c r="P89" s="72"/>
      <c r="Q89" s="72"/>
      <c r="R89" s="73"/>
    </row>
    <row r="90" spans="2:18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30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6"/>
        <v>30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ref="M90:M99" si="10">SUM(D90:L90)</f>
        <v>66</v>
      </c>
      <c r="N90" s="11">
        <v>50</v>
      </c>
      <c r="O90" s="11">
        <v>55</v>
      </c>
      <c r="P90" s="11"/>
      <c r="Q90" s="11">
        <v>50</v>
      </c>
      <c r="R90" s="44">
        <f t="shared" ref="R90:R100" si="11">(N90+O90+P90+Q90)-M90</f>
        <v>89</v>
      </c>
    </row>
    <row r="91" spans="2:18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f>'เย็น '!G91+'เช้า '!G91+บ่าย!G91</f>
        <v>30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6"/>
        <v>30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10"/>
        <v>73</v>
      </c>
      <c r="N91" s="11">
        <v>50</v>
      </c>
      <c r="O91" s="11">
        <v>55</v>
      </c>
      <c r="P91" s="11"/>
      <c r="Q91" s="11">
        <v>50</v>
      </c>
      <c r="R91" s="44">
        <f t="shared" si="11"/>
        <v>82</v>
      </c>
    </row>
    <row r="92" spans="2:18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32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6"/>
        <v>32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10"/>
        <v>69</v>
      </c>
      <c r="N92" s="11">
        <v>50</v>
      </c>
      <c r="O92" s="11">
        <v>53</v>
      </c>
      <c r="P92" s="11"/>
      <c r="Q92" s="11">
        <v>50</v>
      </c>
      <c r="R92" s="44">
        <f t="shared" si="11"/>
        <v>84</v>
      </c>
    </row>
    <row r="93" spans="2:18">
      <c r="B93" s="11">
        <v>1112005</v>
      </c>
      <c r="C93" s="19" t="s">
        <v>78</v>
      </c>
      <c r="D93" s="30">
        <f>'เย็น '!D93+'เช้า '!D93+บ่าย!D93</f>
        <v>7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49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6"/>
        <v>49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10"/>
        <v>106</v>
      </c>
      <c r="N93" s="11">
        <v>50</v>
      </c>
      <c r="O93" s="11">
        <v>60</v>
      </c>
      <c r="P93" s="11"/>
      <c r="Q93" s="11">
        <v>50</v>
      </c>
      <c r="R93" s="44">
        <f t="shared" si="11"/>
        <v>54</v>
      </c>
    </row>
    <row r="94" spans="2:18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6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10"/>
        <v>0</v>
      </c>
      <c r="N94" s="11"/>
      <c r="O94" s="11"/>
      <c r="P94" s="11"/>
      <c r="Q94" s="11"/>
      <c r="R94" s="44">
        <f t="shared" si="11"/>
        <v>0</v>
      </c>
    </row>
    <row r="95" spans="2:18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6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10"/>
        <v>0</v>
      </c>
      <c r="N95" s="11"/>
      <c r="O95" s="11"/>
      <c r="P95" s="11"/>
      <c r="Q95" s="11"/>
      <c r="R95" s="44">
        <f t="shared" si="11"/>
        <v>0</v>
      </c>
    </row>
    <row r="96" spans="2:18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6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10"/>
        <v>0</v>
      </c>
      <c r="N96" s="11"/>
      <c r="O96" s="11"/>
      <c r="P96" s="11"/>
      <c r="Q96" s="11"/>
      <c r="R96" s="44">
        <f t="shared" si="11"/>
        <v>0</v>
      </c>
    </row>
    <row r="97" spans="2:18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31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6"/>
        <v>31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10"/>
        <v>66</v>
      </c>
      <c r="N97" s="11">
        <v>50</v>
      </c>
      <c r="O97" s="11">
        <v>51</v>
      </c>
      <c r="P97" s="11"/>
      <c r="Q97" s="11">
        <v>50</v>
      </c>
      <c r="R97" s="44">
        <f t="shared" si="11"/>
        <v>85</v>
      </c>
    </row>
    <row r="98" spans="2:18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30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6"/>
        <v>30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10"/>
        <v>62</v>
      </c>
      <c r="N98" s="11">
        <v>61</v>
      </c>
      <c r="O98" s="11">
        <v>49</v>
      </c>
      <c r="P98" s="11"/>
      <c r="Q98" s="11">
        <v>50</v>
      </c>
      <c r="R98" s="44">
        <f t="shared" si="11"/>
        <v>98</v>
      </c>
    </row>
    <row r="99" spans="2:18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6"/>
        <v>0</v>
      </c>
      <c r="K99" s="30">
        <f>บ่าย!J99+'เช้า '!J99+'เย็น '!J99</f>
        <v>0</v>
      </c>
      <c r="L99" s="43"/>
      <c r="M99" s="36">
        <f t="shared" si="10"/>
        <v>0</v>
      </c>
      <c r="N99" s="11"/>
      <c r="O99" s="11"/>
      <c r="P99" s="11"/>
      <c r="Q99" s="11"/>
      <c r="R99" s="44">
        <f t="shared" si="11"/>
        <v>0</v>
      </c>
    </row>
    <row r="100" spans="2:18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6"/>
        <v>0</v>
      </c>
      <c r="K100" s="20"/>
      <c r="L100" s="20"/>
      <c r="M100" s="36">
        <f>SUM(M90:M99)</f>
        <v>442</v>
      </c>
      <c r="N100" s="11">
        <f>SUM(N90:N99)</f>
        <v>311</v>
      </c>
      <c r="O100" s="11">
        <f>SUM(O90:O99)</f>
        <v>323</v>
      </c>
      <c r="P100" s="11">
        <f>SUM(P90:P99)</f>
        <v>0</v>
      </c>
      <c r="Q100" s="11">
        <f>SUM(Q90:Q99)</f>
        <v>300</v>
      </c>
      <c r="R100" s="44">
        <f t="shared" si="11"/>
        <v>492</v>
      </c>
    </row>
    <row r="101" spans="2:18" ht="21">
      <c r="B101" s="71" t="s">
        <v>85</v>
      </c>
      <c r="C101" s="72"/>
      <c r="D101" s="72"/>
      <c r="E101" s="72"/>
      <c r="F101" s="72"/>
      <c r="G101" s="72"/>
      <c r="H101" s="72"/>
      <c r="I101" s="72"/>
      <c r="J101" s="30">
        <f t="shared" si="6"/>
        <v>0</v>
      </c>
      <c r="K101" s="72"/>
      <c r="L101" s="72"/>
      <c r="M101" s="72"/>
      <c r="N101" s="72"/>
      <c r="O101" s="72"/>
      <c r="P101" s="72"/>
      <c r="Q101" s="72"/>
      <c r="R101" s="73"/>
    </row>
    <row r="102" spans="2:18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1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6"/>
        <v>0</v>
      </c>
      <c r="K102" s="30">
        <f>บ่าย!J102+'เช้า '!J102+'เย็น '!J102</f>
        <v>0</v>
      </c>
      <c r="L102" s="43"/>
      <c r="M102" s="36">
        <f t="shared" ref="M102:M111" si="12">SUM(D102:L102)</f>
        <v>1</v>
      </c>
      <c r="N102" s="11"/>
      <c r="O102" s="11"/>
      <c r="P102" s="11"/>
      <c r="Q102" s="11"/>
      <c r="R102" s="44">
        <f t="shared" ref="R102:R112" si="13">(N102+O102+P102+Q102)-M102</f>
        <v>-1</v>
      </c>
    </row>
    <row r="103" spans="2:18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6"/>
        <v>0</v>
      </c>
      <c r="K103" s="30">
        <f>บ่าย!J103+'เช้า '!J103+'เย็น '!J103</f>
        <v>0</v>
      </c>
      <c r="L103" s="43"/>
      <c r="M103" s="36">
        <f t="shared" si="12"/>
        <v>0</v>
      </c>
      <c r="N103" s="11"/>
      <c r="O103" s="11"/>
      <c r="P103" s="11"/>
      <c r="Q103" s="11"/>
      <c r="R103" s="44">
        <f t="shared" si="13"/>
        <v>0</v>
      </c>
    </row>
    <row r="104" spans="2:18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6"/>
        <v>0</v>
      </c>
      <c r="K104" s="30">
        <f>บ่าย!J104+'เช้า '!J104+'เย็น '!J104</f>
        <v>0</v>
      </c>
      <c r="L104" s="43"/>
      <c r="M104" s="36">
        <f t="shared" si="12"/>
        <v>0</v>
      </c>
      <c r="N104" s="11"/>
      <c r="O104" s="11"/>
      <c r="P104" s="11"/>
      <c r="Q104" s="11"/>
      <c r="R104" s="44">
        <f t="shared" si="13"/>
        <v>0</v>
      </c>
    </row>
    <row r="105" spans="2:18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6"/>
        <v>0</v>
      </c>
      <c r="K105" s="30">
        <f>บ่าย!J105+'เช้า '!J105+'เย็น '!J105</f>
        <v>0</v>
      </c>
      <c r="L105" s="43"/>
      <c r="M105" s="36">
        <f t="shared" si="12"/>
        <v>0</v>
      </c>
      <c r="N105" s="11"/>
      <c r="O105" s="11"/>
      <c r="P105" s="11"/>
      <c r="Q105" s="11"/>
      <c r="R105" s="44">
        <f t="shared" si="13"/>
        <v>0</v>
      </c>
    </row>
    <row r="106" spans="2:18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6"/>
        <v>0</v>
      </c>
      <c r="K106" s="30">
        <f>บ่าย!J106+'เช้า '!J106+'เย็น '!J106</f>
        <v>0</v>
      </c>
      <c r="L106" s="43"/>
      <c r="M106" s="36">
        <f t="shared" si="12"/>
        <v>0</v>
      </c>
      <c r="N106" s="11"/>
      <c r="O106" s="11"/>
      <c r="P106" s="11"/>
      <c r="Q106" s="11"/>
      <c r="R106" s="44">
        <f t="shared" si="13"/>
        <v>0</v>
      </c>
    </row>
    <row r="107" spans="2:18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6"/>
        <v>0</v>
      </c>
      <c r="K107" s="30">
        <f>บ่าย!J107+'เช้า '!J107+'เย็น '!J107</f>
        <v>0</v>
      </c>
      <c r="L107" s="43"/>
      <c r="M107" s="36">
        <f t="shared" si="12"/>
        <v>0</v>
      </c>
      <c r="N107" s="11"/>
      <c r="O107" s="11"/>
      <c r="P107" s="11"/>
      <c r="Q107" s="11"/>
      <c r="R107" s="44">
        <f t="shared" si="13"/>
        <v>0</v>
      </c>
    </row>
    <row r="108" spans="2:18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6"/>
        <v>0</v>
      </c>
      <c r="K108" s="30">
        <f>บ่าย!J108+'เช้า '!J108+'เย็น '!J108</f>
        <v>0</v>
      </c>
      <c r="L108" s="43"/>
      <c r="M108" s="36">
        <f t="shared" si="12"/>
        <v>0</v>
      </c>
      <c r="N108" s="11"/>
      <c r="O108" s="11"/>
      <c r="P108" s="11"/>
      <c r="Q108" s="11"/>
      <c r="R108" s="44">
        <f t="shared" si="13"/>
        <v>0</v>
      </c>
    </row>
    <row r="109" spans="2:18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6"/>
        <v>0</v>
      </c>
      <c r="K109" s="30">
        <f>บ่าย!J109+'เช้า '!J109+'เย็น '!J109</f>
        <v>0</v>
      </c>
      <c r="L109" s="43"/>
      <c r="M109" s="36">
        <f t="shared" si="12"/>
        <v>0</v>
      </c>
      <c r="N109" s="11"/>
      <c r="O109" s="11"/>
      <c r="P109" s="11"/>
      <c r="Q109" s="11"/>
      <c r="R109" s="44">
        <f t="shared" si="13"/>
        <v>0</v>
      </c>
    </row>
    <row r="110" spans="2:18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6"/>
        <v>0</v>
      </c>
      <c r="K110" s="30">
        <f>บ่าย!J110+'เช้า '!J110+'เย็น '!J110</f>
        <v>0</v>
      </c>
      <c r="L110" s="43"/>
      <c r="M110" s="36">
        <f t="shared" si="12"/>
        <v>0</v>
      </c>
      <c r="N110" s="11"/>
      <c r="O110" s="11"/>
      <c r="P110" s="11"/>
      <c r="Q110" s="11"/>
      <c r="R110" s="44">
        <f t="shared" si="13"/>
        <v>0</v>
      </c>
    </row>
    <row r="111" spans="2:18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6"/>
        <v>0</v>
      </c>
      <c r="K111" s="30">
        <f>บ่าย!J111+'เช้า '!J111+'เย็น '!J111</f>
        <v>0</v>
      </c>
      <c r="L111" s="43"/>
      <c r="M111" s="36">
        <f t="shared" si="12"/>
        <v>0</v>
      </c>
      <c r="N111" s="11"/>
      <c r="O111" s="11"/>
      <c r="P111" s="11"/>
      <c r="Q111" s="11"/>
      <c r="R111" s="44">
        <f t="shared" si="13"/>
        <v>0</v>
      </c>
    </row>
    <row r="112" spans="2:18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6"/>
        <v>0</v>
      </c>
      <c r="K112" s="20"/>
      <c r="L112" s="20"/>
      <c r="M112" s="36">
        <f>SUM(M102:M111)</f>
        <v>1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3"/>
        <v>-1</v>
      </c>
    </row>
    <row r="113" spans="2:18" ht="21">
      <c r="B113" s="71" t="s">
        <v>86</v>
      </c>
      <c r="C113" s="72"/>
      <c r="D113" s="72"/>
      <c r="E113" s="72"/>
      <c r="F113" s="72"/>
      <c r="G113" s="72"/>
      <c r="H113" s="72"/>
      <c r="I113" s="72"/>
      <c r="J113" s="30">
        <f t="shared" si="6"/>
        <v>0</v>
      </c>
      <c r="K113" s="72"/>
      <c r="L113" s="72"/>
      <c r="M113" s="72"/>
      <c r="N113" s="72"/>
      <c r="O113" s="72"/>
      <c r="P113" s="72"/>
      <c r="Q113" s="72"/>
      <c r="R113" s="73"/>
    </row>
    <row r="114" spans="2:18">
      <c r="B114" s="11">
        <v>1113170</v>
      </c>
      <c r="C114" s="21" t="s">
        <v>87</v>
      </c>
      <c r="D114" s="30">
        <f>'เย็น '!D114+'เช้า '!D114+บ่าย!D114</f>
        <v>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2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6"/>
        <v>2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ref="M114:M140" si="14">SUM(D114:L114)</f>
        <v>6</v>
      </c>
      <c r="N114" s="11"/>
      <c r="O114" s="11">
        <v>12</v>
      </c>
      <c r="P114" s="11"/>
      <c r="Q114" s="11"/>
      <c r="R114" s="44">
        <f t="shared" ref="R114:R140" si="15">(N114+O114+P114+Q114)-M114</f>
        <v>6</v>
      </c>
    </row>
    <row r="115" spans="2:18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6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14"/>
        <v>2</v>
      </c>
      <c r="N115" s="11"/>
      <c r="O115" s="11">
        <v>22</v>
      </c>
      <c r="P115" s="11"/>
      <c r="Q115" s="11"/>
      <c r="R115" s="44">
        <f t="shared" si="15"/>
        <v>20</v>
      </c>
    </row>
    <row r="116" spans="2:18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6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14"/>
        <v>0</v>
      </c>
      <c r="N116" s="11"/>
      <c r="O116" s="11"/>
      <c r="P116" s="11"/>
      <c r="Q116" s="11"/>
      <c r="R116" s="44">
        <f t="shared" si="15"/>
        <v>0</v>
      </c>
    </row>
    <row r="117" spans="2:18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6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14"/>
        <v>0</v>
      </c>
      <c r="N117" s="11"/>
      <c r="O117" s="11"/>
      <c r="P117" s="11"/>
      <c r="Q117" s="11"/>
      <c r="R117" s="44">
        <f t="shared" si="15"/>
        <v>0</v>
      </c>
    </row>
    <row r="118" spans="2:18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6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14"/>
        <v>0</v>
      </c>
      <c r="N118" s="11"/>
      <c r="O118" s="11"/>
      <c r="P118" s="11"/>
      <c r="Q118" s="11"/>
      <c r="R118" s="44">
        <f t="shared" si="15"/>
        <v>0</v>
      </c>
    </row>
    <row r="119" spans="2:18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6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14"/>
        <v>0</v>
      </c>
      <c r="N119" s="11"/>
      <c r="O119" s="11">
        <v>1</v>
      </c>
      <c r="P119" s="11"/>
      <c r="Q119" s="11"/>
      <c r="R119" s="44">
        <f t="shared" si="15"/>
        <v>1</v>
      </c>
    </row>
    <row r="120" spans="2:18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3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6"/>
        <v>3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14"/>
        <v>6</v>
      </c>
      <c r="N120" s="11"/>
      <c r="O120" s="11">
        <v>49</v>
      </c>
      <c r="P120" s="11"/>
      <c r="Q120" s="11"/>
      <c r="R120" s="44">
        <f t="shared" si="15"/>
        <v>43</v>
      </c>
    </row>
    <row r="121" spans="2:18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6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14"/>
        <v>1</v>
      </c>
      <c r="N121" s="11"/>
      <c r="O121" s="11">
        <v>38</v>
      </c>
      <c r="P121" s="11"/>
      <c r="Q121" s="11"/>
      <c r="R121" s="44">
        <f t="shared" si="15"/>
        <v>37</v>
      </c>
    </row>
    <row r="122" spans="2:18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6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14"/>
        <v>0</v>
      </c>
      <c r="N122" s="11"/>
      <c r="O122" s="11"/>
      <c r="P122" s="11"/>
      <c r="Q122" s="11"/>
      <c r="R122" s="44">
        <f t="shared" si="15"/>
        <v>0</v>
      </c>
    </row>
    <row r="123" spans="2:18">
      <c r="B123" s="11">
        <v>1114501</v>
      </c>
      <c r="C123" s="21" t="s">
        <v>95</v>
      </c>
      <c r="D123" s="30">
        <f>'เย็น '!D123+'เช้า '!D123+บ่าย!D123</f>
        <v>14</v>
      </c>
      <c r="E123" s="30">
        <f>'เย็น '!E123+'เช้า '!E123+บ่าย!E123</f>
        <v>20</v>
      </c>
      <c r="F123" s="30">
        <f>'เย็น '!F123+'เช้า '!F123+บ่าย!F123</f>
        <v>7</v>
      </c>
      <c r="G123" s="30">
        <f>'เย็น '!G123+'เช้า '!G123+บ่าย!G123</f>
        <v>272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 t="shared" si="6"/>
        <v>272</v>
      </c>
      <c r="K123" s="30">
        <f>'เย็น '!J123+'เช้า '!J123+บ่าย!J123</f>
        <v>0</v>
      </c>
      <c r="L123" s="30">
        <f>'เย็น '!K123+'เช้า '!K123+บ่าย!K123</f>
        <v>15</v>
      </c>
      <c r="M123" s="36">
        <f t="shared" si="14"/>
        <v>600</v>
      </c>
      <c r="N123" s="11">
        <v>376</v>
      </c>
      <c r="O123" s="11">
        <v>194</v>
      </c>
      <c r="P123" s="11"/>
      <c r="Q123" s="11">
        <v>400</v>
      </c>
      <c r="R123" s="44">
        <f t="shared" si="15"/>
        <v>370</v>
      </c>
    </row>
    <row r="124" spans="2:18">
      <c r="B124" s="11">
        <v>1114502</v>
      </c>
      <c r="C124" s="21" t="s">
        <v>96</v>
      </c>
      <c r="D124" s="30">
        <f>'เย็น '!D124+'เช้า '!D124+บ่าย!D124</f>
        <v>6</v>
      </c>
      <c r="E124" s="30">
        <f>'เย็น '!E124+'เช้า '!E124+บ่าย!E124</f>
        <v>8</v>
      </c>
      <c r="F124" s="30">
        <f>'เย็น '!F124+'เช้า '!F124+บ่าย!F124</f>
        <v>4</v>
      </c>
      <c r="G124" s="30">
        <f>'เย็น '!G124+'เช้า '!G124+บ่าย!G124</f>
        <v>214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 t="shared" si="6"/>
        <v>214</v>
      </c>
      <c r="K124" s="30">
        <f>'เย็น '!J124+'เช้า '!J124+บ่าย!J124</f>
        <v>0</v>
      </c>
      <c r="L124" s="30">
        <f>'เย็น '!K124+'เช้า '!K124+บ่าย!K124</f>
        <v>15</v>
      </c>
      <c r="M124" s="36">
        <f t="shared" si="14"/>
        <v>461</v>
      </c>
      <c r="N124" s="11">
        <v>97</v>
      </c>
      <c r="O124" s="11">
        <v>429</v>
      </c>
      <c r="P124" s="11"/>
      <c r="Q124" s="11">
        <v>300</v>
      </c>
      <c r="R124" s="44">
        <f t="shared" si="15"/>
        <v>365</v>
      </c>
    </row>
    <row r="125" spans="2:18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5</v>
      </c>
      <c r="F125" s="30">
        <f>'เย็น '!F125+'เช้า '!F125+บ่าย!F125</f>
        <v>5</v>
      </c>
      <c r="G125" s="30">
        <f>'เย็น '!G125+'เช้า '!G125+บ่าย!G125</f>
        <v>208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 t="shared" si="6"/>
        <v>208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14"/>
        <v>429</v>
      </c>
      <c r="N125" s="11">
        <v>193</v>
      </c>
      <c r="O125" s="11">
        <v>314</v>
      </c>
      <c r="P125" s="11"/>
      <c r="Q125" s="11">
        <v>300</v>
      </c>
      <c r="R125" s="44">
        <f t="shared" si="15"/>
        <v>378</v>
      </c>
    </row>
    <row r="126" spans="2:18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29</v>
      </c>
      <c r="F126" s="30">
        <f>'เย็น '!F126+'เช้า '!F126+บ่าย!F126</f>
        <v>16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6"/>
        <v>0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14"/>
        <v>45</v>
      </c>
      <c r="N126" s="11">
        <v>20</v>
      </c>
      <c r="O126" s="11">
        <v>15</v>
      </c>
      <c r="P126" s="11"/>
      <c r="Q126" s="11">
        <v>15</v>
      </c>
      <c r="R126" s="44">
        <f t="shared" si="15"/>
        <v>5</v>
      </c>
    </row>
    <row r="127" spans="2:18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6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14"/>
        <v>0</v>
      </c>
      <c r="N127" s="11"/>
      <c r="O127" s="11"/>
      <c r="P127" s="11"/>
      <c r="Q127" s="11"/>
      <c r="R127" s="44">
        <f t="shared" si="15"/>
        <v>0</v>
      </c>
    </row>
    <row r="128" spans="2:18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6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14"/>
        <v>0</v>
      </c>
      <c r="N128" s="11"/>
      <c r="O128" s="11"/>
      <c r="P128" s="11"/>
      <c r="Q128" s="11"/>
      <c r="R128" s="44">
        <f t="shared" si="15"/>
        <v>0</v>
      </c>
    </row>
    <row r="129" spans="2:18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6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14"/>
        <v>0</v>
      </c>
      <c r="N129" s="11"/>
      <c r="O129" s="11"/>
      <c r="P129" s="11"/>
      <c r="Q129" s="11"/>
      <c r="R129" s="44">
        <f t="shared" si="15"/>
        <v>0</v>
      </c>
    </row>
    <row r="130" spans="2:18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6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14"/>
        <v>0</v>
      </c>
      <c r="N130" s="11"/>
      <c r="O130" s="11"/>
      <c r="P130" s="11"/>
      <c r="Q130" s="11"/>
      <c r="R130" s="44">
        <f t="shared" si="15"/>
        <v>0</v>
      </c>
    </row>
    <row r="131" spans="2:18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6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14"/>
        <v>0</v>
      </c>
      <c r="N131" s="11"/>
      <c r="O131" s="11"/>
      <c r="P131" s="11"/>
      <c r="Q131" s="11"/>
      <c r="R131" s="44">
        <f t="shared" si="15"/>
        <v>0</v>
      </c>
    </row>
    <row r="132" spans="2:18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6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14"/>
        <v>0</v>
      </c>
      <c r="N132" s="11"/>
      <c r="O132" s="11"/>
      <c r="P132" s="11"/>
      <c r="Q132" s="11"/>
      <c r="R132" s="44">
        <f t="shared" si="15"/>
        <v>0</v>
      </c>
    </row>
    <row r="133" spans="2:18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6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14"/>
        <v>0</v>
      </c>
      <c r="N133" s="11"/>
      <c r="O133" s="11"/>
      <c r="P133" s="11"/>
      <c r="Q133" s="11"/>
      <c r="R133" s="44">
        <f t="shared" si="15"/>
        <v>0</v>
      </c>
    </row>
    <row r="134" spans="2:18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6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14"/>
        <v>0</v>
      </c>
      <c r="N134" s="11"/>
      <c r="O134" s="11"/>
      <c r="P134" s="11"/>
      <c r="Q134" s="11"/>
      <c r="R134" s="44">
        <f t="shared" si="15"/>
        <v>0</v>
      </c>
    </row>
    <row r="135" spans="2:18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6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14"/>
        <v>1</v>
      </c>
      <c r="N135" s="11"/>
      <c r="O135" s="11"/>
      <c r="P135" s="11"/>
      <c r="Q135" s="11"/>
      <c r="R135" s="44">
        <f t="shared" si="15"/>
        <v>-1</v>
      </c>
    </row>
    <row r="136" spans="2:18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6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si="14"/>
        <v>0</v>
      </c>
      <c r="N136" s="11"/>
      <c r="O136" s="11"/>
      <c r="P136" s="11"/>
      <c r="Q136" s="11"/>
      <c r="R136" s="44">
        <f t="shared" si="15"/>
        <v>0</v>
      </c>
    </row>
    <row r="137" spans="2:18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12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6"/>
        <v>12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4"/>
        <v>24</v>
      </c>
      <c r="N137" s="11">
        <v>100</v>
      </c>
      <c r="O137" s="11">
        <v>25</v>
      </c>
      <c r="P137" s="11"/>
      <c r="Q137" s="11"/>
      <c r="R137" s="44">
        <f t="shared" si="15"/>
        <v>101</v>
      </c>
    </row>
    <row r="138" spans="2:18">
      <c r="B138" s="50">
        <v>1004046</v>
      </c>
      <c r="C138" s="49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6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4"/>
        <v>0</v>
      </c>
      <c r="N138" s="11"/>
      <c r="O138" s="11"/>
      <c r="P138" s="11"/>
      <c r="Q138" s="11"/>
      <c r="R138" s="44">
        <f t="shared" si="15"/>
        <v>0</v>
      </c>
    </row>
    <row r="139" spans="2:18">
      <c r="B139" s="50"/>
      <c r="C139" s="49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6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4"/>
        <v>0</v>
      </c>
      <c r="N139" s="11"/>
      <c r="O139" s="11"/>
      <c r="P139" s="11"/>
      <c r="Q139" s="11"/>
      <c r="R139" s="44">
        <f t="shared" si="15"/>
        <v>0</v>
      </c>
    </row>
    <row r="140" spans="2:18">
      <c r="B140" s="50"/>
      <c r="C140" s="49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6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4"/>
        <v>0</v>
      </c>
      <c r="N140" s="11"/>
      <c r="O140" s="11"/>
      <c r="P140" s="11"/>
      <c r="Q140" s="11"/>
      <c r="R140" s="44">
        <f t="shared" si="15"/>
        <v>0</v>
      </c>
    </row>
    <row r="141" spans="2:18" ht="40.5" customHeight="1">
      <c r="C141" s="35"/>
      <c r="D141" s="36">
        <f>SUM(D114:D140,D90:D99,D79:D87,D69:D76,D7:D66,D102:D111)</f>
        <v>73</v>
      </c>
      <c r="E141" s="36">
        <f t="shared" ref="E141:L141" si="17">SUM(E114:E140,E90:E99,E79:E87,E69:E76,E7:E66,E102:E111)</f>
        <v>356</v>
      </c>
      <c r="F141" s="36">
        <f t="shared" si="17"/>
        <v>76</v>
      </c>
      <c r="G141" s="36">
        <f t="shared" si="17"/>
        <v>1105</v>
      </c>
      <c r="H141" s="36">
        <f t="shared" si="17"/>
        <v>0</v>
      </c>
      <c r="I141" s="36">
        <f t="shared" si="17"/>
        <v>0</v>
      </c>
      <c r="J141" s="36"/>
      <c r="K141" s="36">
        <f t="shared" si="17"/>
        <v>0</v>
      </c>
      <c r="L141" s="36">
        <f t="shared" si="17"/>
        <v>30</v>
      </c>
      <c r="M141" s="36">
        <f>SUM(M114:M140,M90:M99,M79:M87,M69:M76,M7:M66,M102:M111)</f>
        <v>2655</v>
      </c>
      <c r="N141" s="36">
        <f>SUM(N114:N140,N90:N99,N79:N87,N69:N76,N7:N66,N102:N111)</f>
        <v>1377</v>
      </c>
      <c r="O141" s="36">
        <f t="shared" ref="O141" si="18">SUM(O114:O140,O90:O99,O79:O87,O69:O76,O7:O66,O102:O111)</f>
        <v>1573</v>
      </c>
      <c r="P141" s="36">
        <f t="shared" ref="P141" si="19">SUM(P114:P140,P90:P99,P79:P87,P69:P76,P7:P66,P102:P111)</f>
        <v>0</v>
      </c>
      <c r="Q141" s="36">
        <f t="shared" ref="Q141" si="20">SUM(Q114:Q140,Q90:Q99,Q79:Q87,Q69:Q76,Q7:Q66,Q102:Q111)</f>
        <v>1595</v>
      </c>
      <c r="R141" s="36">
        <f t="shared" ref="R141" si="21">SUM(R114:R140,R90:R99,R79:R87,R69:R76,R7:R66,R102:R111)</f>
        <v>1890</v>
      </c>
    </row>
    <row r="142" spans="2:18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>
      <c r="C144" s="24"/>
      <c r="D144" s="31"/>
      <c r="E144" s="31"/>
      <c r="F144" s="31"/>
      <c r="G144" s="58"/>
      <c r="M144" s="40"/>
    </row>
    <row r="145" spans="2:13">
      <c r="B145" s="31" t="s">
        <v>104</v>
      </c>
      <c r="C145" s="31"/>
      <c r="D145" s="32"/>
      <c r="E145" s="32"/>
      <c r="F145" s="32"/>
      <c r="G145" s="57"/>
      <c r="H145" s="58"/>
      <c r="I145" s="31" t="s">
        <v>104</v>
      </c>
      <c r="J145" s="31"/>
      <c r="K145" s="31"/>
      <c r="L145" s="31"/>
      <c r="M145" s="31"/>
    </row>
    <row r="146" spans="2:13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>
      <c r="D153" s="31"/>
      <c r="E153" s="31"/>
      <c r="F153" s="31"/>
      <c r="G153" s="31"/>
      <c r="H153" s="31"/>
    </row>
    <row r="154" spans="2:13">
      <c r="D154" s="31"/>
      <c r="E154" s="31"/>
      <c r="F154" s="31"/>
      <c r="G154" s="31"/>
      <c r="H154" s="31"/>
    </row>
    <row r="155" spans="2:13">
      <c r="D155" s="31"/>
      <c r="E155" s="31"/>
      <c r="F155" s="31"/>
      <c r="G155" s="31"/>
      <c r="H155" s="31"/>
    </row>
    <row r="156" spans="2:13">
      <c r="D156" s="31"/>
      <c r="E156" s="31"/>
      <c r="F156" s="31"/>
      <c r="G156" s="31"/>
      <c r="H156" s="31"/>
    </row>
    <row r="157" spans="2:13">
      <c r="D157" s="31"/>
      <c r="E157" s="31"/>
      <c r="F157" s="31"/>
      <c r="G157" s="31"/>
      <c r="H157" s="31"/>
    </row>
    <row r="158" spans="2:13">
      <c r="D158" s="31"/>
      <c r="E158" s="31"/>
      <c r="F158" s="31"/>
      <c r="G158" s="31"/>
      <c r="H158" s="31"/>
    </row>
    <row r="159" spans="2:13">
      <c r="D159" s="31"/>
      <c r="E159" s="31"/>
      <c r="F159" s="31"/>
      <c r="G159" s="31"/>
      <c r="H159" s="31"/>
    </row>
    <row r="160" spans="2:13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2025-04-28T05:53:00Z</cp:lastPrinted>
  <dcterms:created xsi:type="dcterms:W3CDTF">2024-04-30T05:21:27Z</dcterms:created>
  <dcterms:modified xsi:type="dcterms:W3CDTF">2025-04-29T15:25:20Z</dcterms:modified>
</cp:coreProperties>
</file>