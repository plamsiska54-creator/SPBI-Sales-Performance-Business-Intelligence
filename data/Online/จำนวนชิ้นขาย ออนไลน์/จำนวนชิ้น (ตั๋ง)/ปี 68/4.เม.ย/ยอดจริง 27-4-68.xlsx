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4.เม.ย\"/>
    </mc:Choice>
  </mc:AlternateContent>
  <xr:revisionPtr revIDLastSave="0" documentId="13_ncr:1_{6F812DBC-2BC1-4CE9-826D-3619C360A2B4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H134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E130" i="5"/>
  <c r="D126" i="5"/>
  <c r="E126" i="5"/>
  <c r="F126" i="5"/>
  <c r="G126" i="5"/>
  <c r="H47" i="5" l="1"/>
  <c r="L77" i="6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R135" i="5" s="1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R137" i="5" s="1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R133" i="5" s="1"/>
  <c r="K133" i="5"/>
  <c r="L133" i="5"/>
  <c r="D134" i="5"/>
  <c r="E134" i="5"/>
  <c r="F134" i="5"/>
  <c r="G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R131" i="5" l="1"/>
  <c r="R136" i="5"/>
  <c r="R138" i="5"/>
  <c r="R134" i="5"/>
  <c r="R132" i="5"/>
  <c r="R139" i="5"/>
  <c r="L141" i="5"/>
  <c r="L100" i="3"/>
  <c r="L67" i="3"/>
  <c r="R140" i="5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G141" i="5" s="1"/>
  <c r="H99" i="5"/>
  <c r="H141" i="5" s="1"/>
  <c r="I99" i="5"/>
  <c r="K99" i="5"/>
  <c r="D66" i="5"/>
  <c r="E66" i="5"/>
  <c r="E141" i="5" s="1"/>
  <c r="F66" i="5"/>
  <c r="G66" i="5"/>
  <c r="H66" i="5"/>
  <c r="I66" i="5"/>
  <c r="K66" i="5"/>
  <c r="F141" i="5" l="1"/>
  <c r="K141" i="5"/>
  <c r="I141" i="5"/>
  <c r="R114" i="5"/>
  <c r="R90" i="5"/>
  <c r="D141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R100" i="5" l="1"/>
  <c r="R102" i="5"/>
  <c r="R112" i="5"/>
  <c r="M141" i="5"/>
  <c r="R141" i="5"/>
  <c r="R88" i="5"/>
  <c r="R67" i="5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<sst xmlns="http://schemas.openxmlformats.org/spreadsheetml/2006/main" count="618" uniqueCount="147">
  <si>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</si>
  <si>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</si>
  <si>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</si>
  <si>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</si>
  <si>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</si>
  <si>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</si>
  <si>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</si>
  <si>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</si>
  <si>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</si>
  <si>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</si>
  <si>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</si>
  <si>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</si>
  <si>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</si>
  <si>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</si>
  <si>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</si>
  <si>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</si>
  <si>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</si>
  <si>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</si>
  <si>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</si>
  <si>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</si>
  <si>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</si>
  <si>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</si>
  <si>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</si>
  <si>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</si>
  <si>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</si>
  <si>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</si>
  <si>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</si>
  <si>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</si>
  <si>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</si>
  <si>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</si>
  <si>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</si>
  <si>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</si>
  <si>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</si>
  <si>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</si>
  <si>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</si>
  <si>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</si>
  <si>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</si>
  <si>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</si>
  <si>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</si>
  <si>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</si>
  <si>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</si>
  <si>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</si>
  <si>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</si>
  <si>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</si>
  <si>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</si>
  <si>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</si>
  <si>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</si>
  <si>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</si>
  <si>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</si>
  <si>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</si>
  <si>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</si>
  <si>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</si>
  <si>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</si>
  <si>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</si>
  <si>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</si>
  <si>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</si>
  <si>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</si>
  <si>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</si>
  <si>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</si>
  <si>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</si>
  <si>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</si>
  <si>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</si>
  <si>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</si>
  <si>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</si>
  <si>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</si>
  <si>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</si>
  <si>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</si>
  <si>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</si>
  <si>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</si>
  <si>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</si>
  <si>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</si>
  <si>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</si>
  <si>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</si>
  <si>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</si>
  <si>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</si>
  <si>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</si>
  <si>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</si>
  <si>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</si>
  <si>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</si>
  <si>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</si>
  <si>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</si>
  <si>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</si>
  <si>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</si>
  <si>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</si>
  <si>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</si>
  <si>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</si>
  <si>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</si>
  <si>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</si>
  <si>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</si>
  <si>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</si>
  <si>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</si>
  <si>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</si>
  <si>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</si>
  <si>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</si>
  <si>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</si>
  <si>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</si>
  <si>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</si>
  <si>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</si>
  <si>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</si>
  <si>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</si>
  <si>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</si>
  <si>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</si>
  <si>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</si>
  <si>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</si>
  <si>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</si>
  <si>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</si>
  <si>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</si>
  <si>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</si>
  <si>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</si>
  <si>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</si>
  <si>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</si>
  <si>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</si>
  <si>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</si>
  <si>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</si>
  <si>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</si>
  <si>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</si>
  <si>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</si>
  <si>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</si>
  <si>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</si>
  <si>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</si>
  <si>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</si>
  <si>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</si>
  <si>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</si>
  <si>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</si>
  <si>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</si>
  <si>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</si>
  <si>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</si>
  <si>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</si>
  <si>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</si>
  <si>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</si>
  <si>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</si>
  <si>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</si>
  <si>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</si>
  <si>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</si>
  <si>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</si>
  <si>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</si>
  <si>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</si>
  <si>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</si>
  <si>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</si>
  <si>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</si>
  <si>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</si>
  <si>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</si>
  <si>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</si>
  <si>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</si>
  <si>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27/4/68 รวม</t>
  </si>
  <si>
    <t>ยอดจริง ออนไลน์ วันที่  27/4/68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</si>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</sst>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67" zoomScale="60" zoomScaleNormal="60" workbookViewId="0">
      <selection activeCell="V89" sqref="V89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7" width="14.3984375" style="16" customWidth="1"/>
    <col min="8" max="10" width="14.3984375" style="16" hidden="1" customWidth="1"/>
    <col min="11" max="11" width="14.3984375" style="16" customWidth="1"/>
    <col min="12" max="12" width="17.59765625" style="25" customWidth="1"/>
  </cols>
  <sheetData>
    <row r="1" spans="2:12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1</v>
      </c>
      <c r="E7" s="30">
        <v>6</v>
      </c>
      <c r="F7" s="30">
        <v>76</v>
      </c>
      <c r="G7" s="30"/>
      <c r="H7" s="30"/>
      <c r="I7" s="30"/>
      <c r="J7" s="43"/>
      <c r="K7" s="43">
        <v>5</v>
      </c>
      <c r="L7" s="36">
        <f>SUM(D7:K7)</f>
        <v>88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6</v>
      </c>
      <c r="F25" s="30">
        <v>6</v>
      </c>
      <c r="G25" s="30">
        <v>2</v>
      </c>
      <c r="H25" s="30"/>
      <c r="I25" s="30"/>
      <c r="J25" s="43"/>
      <c r="K25" s="43"/>
      <c r="L25" s="36">
        <f t="shared" si="0"/>
        <v>14</v>
      </c>
    </row>
    <row r="26" spans="2:12" x14ac:dyDescent="0.25">
      <c r="B26" s="11">
        <v>1004055</v>
      </c>
      <c r="C26" s="15" t="s">
        <v>108</v>
      </c>
      <c r="D26" s="30">
        <v>1</v>
      </c>
      <c r="E26" s="30">
        <v>3</v>
      </c>
      <c r="F26" s="30">
        <v>10</v>
      </c>
      <c r="G26" s="30">
        <v>81</v>
      </c>
      <c r="H26" s="30"/>
      <c r="I26" s="30"/>
      <c r="J26" s="43"/>
      <c r="K26" s="43"/>
      <c r="L26" s="36">
        <f t="shared" si="0"/>
        <v>95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3</v>
      </c>
      <c r="F40" s="30"/>
      <c r="G40" s="30"/>
      <c r="H40" s="30"/>
      <c r="I40" s="30"/>
      <c r="J40" s="43"/>
      <c r="K40" s="43"/>
      <c r="L40" s="36">
        <f t="shared" si="0"/>
        <v>3</v>
      </c>
    </row>
    <row r="41" spans="2:12" x14ac:dyDescent="0.25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 x14ac:dyDescent="0.25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 x14ac:dyDescent="0.25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 x14ac:dyDescent="0.25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 x14ac:dyDescent="0.25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 x14ac:dyDescent="0.25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 x14ac:dyDescent="0.25">
      <c r="B47" s="11">
        <v>1111064</v>
      </c>
      <c r="C47" s="15" t="s">
        <v>37</v>
      </c>
      <c r="D47" s="30"/>
      <c r="E47" s="30">
        <v>2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 x14ac:dyDescent="0.25">
      <c r="B48" s="11">
        <v>1111065</v>
      </c>
      <c r="C48" s="15" t="s">
        <v>38</v>
      </c>
      <c r="D48" s="30"/>
      <c r="E48" s="30">
        <v>2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 x14ac:dyDescent="0.25">
      <c r="B49" s="11">
        <v>1111066</v>
      </c>
      <c r="C49" s="15" t="s">
        <v>39</v>
      </c>
      <c r="D49" s="30"/>
      <c r="E49" s="30">
        <v>2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 x14ac:dyDescent="0.25">
      <c r="B50" s="11">
        <v>1111067</v>
      </c>
      <c r="C50" s="15" t="s">
        <v>40</v>
      </c>
      <c r="D50" s="30"/>
      <c r="E50" s="30">
        <v>2</v>
      </c>
      <c r="F50" s="30"/>
      <c r="G50" s="30"/>
      <c r="H50" s="30"/>
      <c r="I50" s="30"/>
      <c r="J50" s="43"/>
      <c r="K50" s="43"/>
      <c r="L50" s="36">
        <f t="shared" si="0"/>
        <v>2</v>
      </c>
    </row>
    <row r="51" spans="2:12" x14ac:dyDescent="0.25">
      <c r="B51" s="11">
        <v>1111068</v>
      </c>
      <c r="C51" s="15" t="s">
        <v>41</v>
      </c>
      <c r="D51" s="30"/>
      <c r="E51" s="30">
        <v>2</v>
      </c>
      <c r="F51" s="30"/>
      <c r="G51" s="30"/>
      <c r="H51" s="30"/>
      <c r="I51" s="30"/>
      <c r="J51" s="43"/>
      <c r="K51" s="43"/>
      <c r="L51" s="36">
        <f t="shared" si="0"/>
        <v>2</v>
      </c>
    </row>
    <row r="52" spans="2:12" x14ac:dyDescent="0.25">
      <c r="B52" s="11">
        <v>1111069</v>
      </c>
      <c r="C52" s="15" t="s">
        <v>42</v>
      </c>
      <c r="D52" s="30"/>
      <c r="E52" s="30">
        <v>2</v>
      </c>
      <c r="F52" s="30"/>
      <c r="G52" s="30"/>
      <c r="H52" s="30"/>
      <c r="I52" s="30"/>
      <c r="J52" s="43"/>
      <c r="K52" s="43"/>
      <c r="L52" s="36">
        <f t="shared" si="0"/>
        <v>2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>
        <v>20</v>
      </c>
      <c r="E56" s="30"/>
      <c r="F56" s="30"/>
      <c r="G56" s="30"/>
      <c r="H56" s="30"/>
      <c r="I56" s="30"/>
      <c r="J56" s="43"/>
      <c r="K56" s="43"/>
      <c r="L56" s="36">
        <f t="shared" si="0"/>
        <v>20</v>
      </c>
    </row>
    <row r="57" spans="2:12" x14ac:dyDescent="0.25">
      <c r="B57" s="11">
        <v>1111075</v>
      </c>
      <c r="C57" s="15" t="s">
        <v>45</v>
      </c>
      <c r="D57" s="30">
        <v>20</v>
      </c>
      <c r="E57" s="30"/>
      <c r="F57" s="30"/>
      <c r="G57" s="30"/>
      <c r="H57" s="30"/>
      <c r="I57" s="30"/>
      <c r="J57" s="43"/>
      <c r="K57" s="43"/>
      <c r="L57" s="36">
        <f t="shared" si="0"/>
        <v>20</v>
      </c>
    </row>
    <row r="58" spans="2:12" x14ac:dyDescent="0.25">
      <c r="B58" s="11">
        <v>1111076</v>
      </c>
      <c r="C58" s="15" t="s">
        <v>46</v>
      </c>
      <c r="D58" s="30">
        <v>20</v>
      </c>
      <c r="E58" s="30"/>
      <c r="F58" s="30"/>
      <c r="G58" s="30"/>
      <c r="H58" s="30"/>
      <c r="I58" s="30"/>
      <c r="J58" s="43"/>
      <c r="K58" s="43"/>
      <c r="L58" s="36">
        <f t="shared" si="0"/>
        <v>20</v>
      </c>
    </row>
    <row r="59" spans="2:12" x14ac:dyDescent="0.25">
      <c r="B59" s="11">
        <v>1111077</v>
      </c>
      <c r="C59" s="15" t="s">
        <v>47</v>
      </c>
      <c r="D59" s="30">
        <v>20</v>
      </c>
      <c r="E59" s="30"/>
      <c r="F59" s="30"/>
      <c r="G59" s="30"/>
      <c r="H59" s="30"/>
      <c r="I59" s="30"/>
      <c r="J59" s="43"/>
      <c r="K59" s="43"/>
      <c r="L59" s="36">
        <f t="shared" si="0"/>
        <v>20</v>
      </c>
    </row>
    <row r="60" spans="2:12" x14ac:dyDescent="0.25">
      <c r="B60" s="11">
        <v>1111078</v>
      </c>
      <c r="C60" s="15" t="s">
        <v>48</v>
      </c>
      <c r="D60" s="30">
        <v>20</v>
      </c>
      <c r="E60" s="30"/>
      <c r="F60" s="30"/>
      <c r="G60" s="30"/>
      <c r="H60" s="30"/>
      <c r="I60" s="30"/>
      <c r="J60" s="43"/>
      <c r="K60" s="43"/>
      <c r="L60" s="36">
        <f t="shared" si="0"/>
        <v>20</v>
      </c>
    </row>
    <row r="61" spans="2:12" x14ac:dyDescent="0.25">
      <c r="B61" s="11">
        <v>1111079</v>
      </c>
      <c r="C61" s="15" t="s">
        <v>49</v>
      </c>
      <c r="D61" s="30">
        <v>20</v>
      </c>
      <c r="E61" s="30"/>
      <c r="F61" s="30"/>
      <c r="G61" s="30"/>
      <c r="H61" s="30"/>
      <c r="I61" s="30"/>
      <c r="J61" s="43"/>
      <c r="K61" s="43"/>
      <c r="L61" s="36">
        <f t="shared" si="0"/>
        <v>20</v>
      </c>
    </row>
    <row r="62" spans="2:12" x14ac:dyDescent="0.25">
      <c r="B62" s="11">
        <v>1111080</v>
      </c>
      <c r="C62" s="15" t="s">
        <v>50</v>
      </c>
      <c r="D62" s="30">
        <v>20</v>
      </c>
      <c r="E62" s="30"/>
      <c r="F62" s="30"/>
      <c r="G62" s="30"/>
      <c r="H62" s="30"/>
      <c r="I62" s="30"/>
      <c r="J62" s="43"/>
      <c r="K62" s="43"/>
      <c r="L62" s="36">
        <f t="shared" si="0"/>
        <v>20</v>
      </c>
    </row>
    <row r="63" spans="2:12" x14ac:dyDescent="0.25">
      <c r="B63" s="11">
        <v>1111081</v>
      </c>
      <c r="C63" s="15" t="s">
        <v>51</v>
      </c>
      <c r="D63" s="30">
        <v>20</v>
      </c>
      <c r="E63" s="30"/>
      <c r="F63" s="30"/>
      <c r="G63" s="30"/>
      <c r="H63" s="30"/>
      <c r="I63" s="30"/>
      <c r="J63" s="43"/>
      <c r="K63" s="43"/>
      <c r="L63" s="36">
        <f t="shared" si="0"/>
        <v>20</v>
      </c>
    </row>
    <row r="64" spans="2:12" x14ac:dyDescent="0.25">
      <c r="B64" s="11">
        <v>1111082</v>
      </c>
      <c r="C64" s="15" t="s">
        <v>52</v>
      </c>
      <c r="D64" s="30">
        <v>20</v>
      </c>
      <c r="E64" s="30"/>
      <c r="F64" s="30"/>
      <c r="G64" s="30"/>
      <c r="H64" s="30"/>
      <c r="I64" s="30"/>
      <c r="J64" s="43"/>
      <c r="K64" s="43"/>
      <c r="L64" s="36">
        <f t="shared" si="0"/>
        <v>20</v>
      </c>
    </row>
    <row r="65" spans="2:12" x14ac:dyDescent="0.25">
      <c r="B65" s="11">
        <v>1111083</v>
      </c>
      <c r="C65" s="15" t="s">
        <v>53</v>
      </c>
      <c r="D65" s="30">
        <v>20</v>
      </c>
      <c r="E65" s="30"/>
      <c r="F65" s="30"/>
      <c r="G65" s="30"/>
      <c r="H65" s="30"/>
      <c r="I65" s="30"/>
      <c r="J65" s="43"/>
      <c r="K65" s="43"/>
      <c r="L65" s="36">
        <f t="shared" si="0"/>
        <v>20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427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>
        <v>2</v>
      </c>
      <c r="H69" s="30"/>
      <c r="I69" s="30"/>
      <c r="J69" s="43"/>
      <c r="K69" s="43"/>
      <c r="L69" s="36">
        <f t="shared" ref="L69:L76" si="1">SUM(D69:K69)</f>
        <v>2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</v>
      </c>
      <c r="E87" s="30">
        <v>16</v>
      </c>
      <c r="F87" s="30"/>
      <c r="G87" s="30">
        <v>67</v>
      </c>
      <c r="H87" s="30"/>
      <c r="I87" s="30"/>
      <c r="J87" s="43"/>
      <c r="K87" s="43"/>
      <c r="L87" s="36">
        <f t="shared" si="2"/>
        <v>84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84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1</v>
      </c>
      <c r="E90" s="30"/>
      <c r="F90" s="30">
        <v>8</v>
      </c>
      <c r="G90" s="30">
        <v>28</v>
      </c>
      <c r="H90" s="30"/>
      <c r="I90" s="30"/>
      <c r="J90" s="43"/>
      <c r="K90" s="43"/>
      <c r="L90" s="36">
        <f t="shared" ref="L90:L99" si="3">SUM(D90:K90)</f>
        <v>37</v>
      </c>
    </row>
    <row r="91" spans="2:12" x14ac:dyDescent="0.25">
      <c r="B91" s="11">
        <v>1112011</v>
      </c>
      <c r="C91" s="19" t="s">
        <v>76</v>
      </c>
      <c r="D91" s="30"/>
      <c r="E91" s="30"/>
      <c r="F91" s="30">
        <v>1</v>
      </c>
      <c r="G91" s="30">
        <v>28</v>
      </c>
      <c r="H91" s="30"/>
      <c r="I91" s="30"/>
      <c r="J91" s="43"/>
      <c r="K91" s="43"/>
      <c r="L91" s="36">
        <f t="shared" si="3"/>
        <v>29</v>
      </c>
    </row>
    <row r="92" spans="2:12" x14ac:dyDescent="0.25">
      <c r="B92" s="11">
        <v>1112003</v>
      </c>
      <c r="C92" s="19" t="s">
        <v>77</v>
      </c>
      <c r="D92" s="30"/>
      <c r="E92" s="30"/>
      <c r="F92" s="30">
        <v>2</v>
      </c>
      <c r="G92" s="30">
        <v>28</v>
      </c>
      <c r="H92" s="30"/>
      <c r="I92" s="30"/>
      <c r="J92" s="43"/>
      <c r="K92" s="43"/>
      <c r="L92" s="36">
        <f t="shared" si="3"/>
        <v>30</v>
      </c>
    </row>
    <row r="93" spans="2:12" x14ac:dyDescent="0.25">
      <c r="B93" s="11">
        <v>1112005</v>
      </c>
      <c r="C93" s="19" t="s">
        <v>78</v>
      </c>
      <c r="D93" s="30"/>
      <c r="E93" s="30"/>
      <c r="F93" s="30">
        <v>1</v>
      </c>
      <c r="G93" s="30">
        <v>28</v>
      </c>
      <c r="H93" s="30"/>
      <c r="I93" s="30"/>
      <c r="J93" s="43"/>
      <c r="K93" s="43"/>
      <c r="L93" s="36">
        <f t="shared" si="3"/>
        <v>29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>
        <v>1</v>
      </c>
      <c r="G97" s="30">
        <v>28</v>
      </c>
      <c r="H97" s="30"/>
      <c r="I97" s="30"/>
      <c r="J97" s="43"/>
      <c r="K97" s="43"/>
      <c r="L97" s="36">
        <f t="shared" si="3"/>
        <v>29</v>
      </c>
    </row>
    <row r="98" spans="2:12" x14ac:dyDescent="0.25">
      <c r="B98" s="11">
        <v>1112013</v>
      </c>
      <c r="C98" s="19" t="s">
        <v>83</v>
      </c>
      <c r="D98" s="30"/>
      <c r="E98" s="30">
        <v>1</v>
      </c>
      <c r="F98" s="30">
        <v>2</v>
      </c>
      <c r="G98" s="30">
        <v>29</v>
      </c>
      <c r="H98" s="30"/>
      <c r="I98" s="30"/>
      <c r="J98" s="43"/>
      <c r="K98" s="43"/>
      <c r="L98" s="36">
        <f t="shared" si="3"/>
        <v>32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186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1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>
        <v>1</v>
      </c>
      <c r="G115" s="30"/>
      <c r="H115" s="30"/>
      <c r="I115" s="30"/>
      <c r="J115" s="43"/>
      <c r="K115" s="43"/>
      <c r="L115" s="36">
        <f t="shared" si="5"/>
        <v>1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>
        <v>1</v>
      </c>
      <c r="F120" s="30">
        <v>1</v>
      </c>
      <c r="G120" s="30"/>
      <c r="H120" s="30"/>
      <c r="I120" s="30"/>
      <c r="J120" s="43"/>
      <c r="K120" s="43"/>
      <c r="L120" s="36">
        <f t="shared" si="5"/>
        <v>2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>
        <v>2</v>
      </c>
      <c r="H121" s="30"/>
      <c r="I121" s="30"/>
      <c r="J121" s="43"/>
      <c r="K121" s="43"/>
      <c r="L121" s="36">
        <f t="shared" si="5"/>
        <v>2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</v>
      </c>
      <c r="E123" s="30">
        <v>14</v>
      </c>
      <c r="F123" s="30">
        <v>9</v>
      </c>
      <c r="G123" s="30">
        <v>169</v>
      </c>
      <c r="H123" s="30"/>
      <c r="I123" s="30"/>
      <c r="J123" s="43"/>
      <c r="K123" s="43"/>
      <c r="L123" s="36">
        <f t="shared" si="5"/>
        <v>193</v>
      </c>
    </row>
    <row r="124" spans="2:12" x14ac:dyDescent="0.25">
      <c r="B124" s="11">
        <v>1114502</v>
      </c>
      <c r="C124" s="21" t="s">
        <v>96</v>
      </c>
      <c r="D124" s="30"/>
      <c r="E124" s="30">
        <v>1</v>
      </c>
      <c r="F124" s="30">
        <v>1</v>
      </c>
      <c r="G124" s="30">
        <v>139</v>
      </c>
      <c r="H124" s="30"/>
      <c r="I124" s="30"/>
      <c r="J124" s="43"/>
      <c r="K124" s="43"/>
      <c r="L124" s="36">
        <f t="shared" si="5"/>
        <v>141</v>
      </c>
    </row>
    <row r="125" spans="2:12" x14ac:dyDescent="0.25">
      <c r="B125" s="11">
        <v>1114503</v>
      </c>
      <c r="C125" s="21" t="s">
        <v>97</v>
      </c>
      <c r="D125" s="30"/>
      <c r="E125" s="30">
        <v>1</v>
      </c>
      <c r="F125" s="30">
        <v>1</v>
      </c>
      <c r="G125" s="30">
        <v>139</v>
      </c>
      <c r="H125" s="30"/>
      <c r="I125" s="30"/>
      <c r="J125" s="43"/>
      <c r="K125" s="43"/>
      <c r="L125" s="36">
        <f t="shared" si="5"/>
        <v>141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>
        <v>100</v>
      </c>
      <c r="E137" s="30"/>
      <c r="F137" s="30"/>
      <c r="G137" s="30"/>
      <c r="H137" s="30"/>
      <c r="I137" s="30"/>
      <c r="J137" s="43"/>
      <c r="K137" s="43"/>
      <c r="L137" s="36">
        <f t="shared" si="5"/>
        <v>100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topLeftCell="A106" zoomScale="50" zoomScaleNormal="50" workbookViewId="0">
      <selection activeCell="A106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3" t="s">
        <v>144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2:18" x14ac:dyDescent="0.25">
      <c r="B2" s="74"/>
      <c r="C2" s="75"/>
      <c r="D2" s="1"/>
      <c r="E2" s="76"/>
      <c r="F2" s="76"/>
      <c r="G2" s="2"/>
      <c r="H2" s="2"/>
      <c r="I2" s="2"/>
      <c r="J2" s="2"/>
      <c r="K2" s="2"/>
      <c r="L2" s="2"/>
      <c r="M2" s="3" t="s">
        <v>0</v>
      </c>
      <c r="N2" s="70" t="s">
        <v>127</v>
      </c>
      <c r="O2" s="70" t="s">
        <v>130</v>
      </c>
      <c r="P2" s="70" t="s">
        <v>140</v>
      </c>
      <c r="Q2" s="70" t="s">
        <v>141</v>
      </c>
      <c r="R2" s="78" t="s">
        <v>1</v>
      </c>
    </row>
    <row r="3" spans="2:18" x14ac:dyDescent="0.25">
      <c r="B3" s="74"/>
      <c r="C3" s="75"/>
      <c r="D3" s="4"/>
      <c r="E3" s="77"/>
      <c r="F3" s="77"/>
      <c r="G3" s="5"/>
      <c r="H3" s="5"/>
      <c r="I3" s="5"/>
      <c r="J3" s="66"/>
      <c r="K3" s="41"/>
      <c r="L3" s="41"/>
      <c r="M3" s="6" t="s">
        <v>2</v>
      </c>
      <c r="N3" s="71"/>
      <c r="O3" s="71"/>
      <c r="P3" s="71"/>
      <c r="Q3" s="71"/>
      <c r="R3" s="79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146</v>
      </c>
      <c r="K4" s="42" t="s">
        <v>133</v>
      </c>
      <c r="L4" s="42" t="s">
        <v>136</v>
      </c>
      <c r="M4" s="10" t="s">
        <v>10</v>
      </c>
      <c r="N4" s="72"/>
      <c r="O4" s="72"/>
      <c r="P4" s="72"/>
      <c r="Q4" s="72"/>
      <c r="R4" s="80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9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6</v>
      </c>
      <c r="F7" s="30">
        <f>'เย็น '!F7+'เช้า '!F7+บ่าย!F7</f>
        <v>76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0</v>
      </c>
      <c r="K7" s="30">
        <f>'เย็น '!J7+'เช้า '!J7+บ่าย!J7</f>
        <v>0</v>
      </c>
      <c r="L7" s="30">
        <f>'เย็น '!K7+'เช้า '!K7+บ่าย!K7</f>
        <v>5</v>
      </c>
      <c r="M7" s="36">
        <f>+D7+E7+F7+J7+K7+L7</f>
        <v>88</v>
      </c>
      <c r="N7" s="11">
        <v>75</v>
      </c>
      <c r="O7" s="11">
        <v>2</v>
      </c>
      <c r="P7" s="11"/>
      <c r="Q7" s="11">
        <v>70</v>
      </c>
      <c r="R7" s="44">
        <f>(N7+O7+P7+Q7)-M7</f>
        <v>59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6</v>
      </c>
      <c r="F25" s="30">
        <f>'เย็น '!F25+'เช้า '!F25+บ่าย!F25</f>
        <v>6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14</v>
      </c>
      <c r="N25" s="11">
        <v>15</v>
      </c>
      <c r="O25" s="11">
        <v>1</v>
      </c>
      <c r="P25" s="11"/>
      <c r="Q25" s="11">
        <v>15</v>
      </c>
      <c r="R25" s="44">
        <f t="shared" si="2"/>
        <v>17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3</v>
      </c>
      <c r="F26" s="30">
        <f>'เย็น '!F26+'เช้า '!F26+บ่าย!F26</f>
        <v>10</v>
      </c>
      <c r="G26" s="30">
        <f>'เย็น '!G26+'เช้า '!G26+บ่าย!G26</f>
        <v>81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81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95</v>
      </c>
      <c r="N26" s="11">
        <v>90</v>
      </c>
      <c r="O26" s="11">
        <v>123</v>
      </c>
      <c r="P26" s="11"/>
      <c r="Q26" s="11">
        <v>90</v>
      </c>
      <c r="R26" s="44">
        <f t="shared" si="2"/>
        <v>208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3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3</v>
      </c>
      <c r="N40" s="11"/>
      <c r="O40" s="11"/>
      <c r="P40" s="11"/>
      <c r="Q40" s="11"/>
      <c r="R40" s="44">
        <f t="shared" si="2"/>
        <v>-3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3</v>
      </c>
      <c r="N41" s="11"/>
      <c r="O41" s="11"/>
      <c r="P41" s="11"/>
      <c r="Q41" s="11"/>
      <c r="R41" s="44">
        <f t="shared" si="2"/>
        <v>-3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3</v>
      </c>
      <c r="N42" s="11"/>
      <c r="O42" s="11"/>
      <c r="P42" s="11"/>
      <c r="Q42" s="11"/>
      <c r="R42" s="44">
        <f t="shared" si="2"/>
        <v>-3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3</v>
      </c>
      <c r="N43" s="11"/>
      <c r="O43" s="11"/>
      <c r="P43" s="11"/>
      <c r="Q43" s="11"/>
      <c r="R43" s="44">
        <f t="shared" si="2"/>
        <v>-3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2</v>
      </c>
      <c r="N44" s="11"/>
      <c r="O44" s="11"/>
      <c r="P44" s="11"/>
      <c r="Q44" s="11"/>
      <c r="R44" s="44">
        <f t="shared" si="2"/>
        <v>-2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2</v>
      </c>
      <c r="N45" s="11"/>
      <c r="O45" s="11"/>
      <c r="P45" s="11"/>
      <c r="Q45" s="11"/>
      <c r="R45" s="44">
        <f t="shared" si="2"/>
        <v>-2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2</v>
      </c>
      <c r="N46" s="11"/>
      <c r="O46" s="11"/>
      <c r="P46" s="11"/>
      <c r="Q46" s="11"/>
      <c r="R46" s="44">
        <f t="shared" si="2"/>
        <v>-2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2</v>
      </c>
      <c r="N47" s="11"/>
      <c r="O47" s="11"/>
      <c r="P47" s="11"/>
      <c r="Q47" s="11"/>
      <c r="R47" s="44">
        <f t="shared" si="2"/>
        <v>-2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2</v>
      </c>
      <c r="N48" s="11"/>
      <c r="O48" s="11"/>
      <c r="P48" s="11"/>
      <c r="Q48" s="11"/>
      <c r="R48" s="44">
        <f t="shared" si="2"/>
        <v>-2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2</v>
      </c>
      <c r="N49" s="11"/>
      <c r="O49" s="11"/>
      <c r="P49" s="11"/>
      <c r="Q49" s="11"/>
      <c r="R49" s="44">
        <f t="shared" si="2"/>
        <v>-2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2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2</v>
      </c>
      <c r="N50" s="11"/>
      <c r="O50" s="11"/>
      <c r="P50" s="11"/>
      <c r="Q50" s="11"/>
      <c r="R50" s="44">
        <f t="shared" si="2"/>
        <v>-2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2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2</v>
      </c>
      <c r="N51" s="11"/>
      <c r="O51" s="11"/>
      <c r="P51" s="11"/>
      <c r="Q51" s="11"/>
      <c r="R51" s="44">
        <f t="shared" si="2"/>
        <v>-2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2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2</v>
      </c>
      <c r="N52" s="11"/>
      <c r="O52" s="11"/>
      <c r="P52" s="11"/>
      <c r="Q52" s="11"/>
      <c r="R52" s="44">
        <f t="shared" si="2"/>
        <v>-2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20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20</v>
      </c>
      <c r="N56" s="11"/>
      <c r="O56" s="11"/>
      <c r="P56" s="11"/>
      <c r="Q56" s="11"/>
      <c r="R56" s="44">
        <f t="shared" si="2"/>
        <v>-20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20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20</v>
      </c>
      <c r="N57" s="11"/>
      <c r="O57" s="11"/>
      <c r="P57" s="11"/>
      <c r="Q57" s="11"/>
      <c r="R57" s="44">
        <f t="shared" si="2"/>
        <v>-20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20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20</v>
      </c>
      <c r="N58" s="11"/>
      <c r="O58" s="11"/>
      <c r="P58" s="11"/>
      <c r="Q58" s="11"/>
      <c r="R58" s="44">
        <f t="shared" si="2"/>
        <v>-20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20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20</v>
      </c>
      <c r="N59" s="11"/>
      <c r="O59" s="11"/>
      <c r="P59" s="11"/>
      <c r="Q59" s="11"/>
      <c r="R59" s="44">
        <f t="shared" si="2"/>
        <v>-20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20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20</v>
      </c>
      <c r="N60" s="11"/>
      <c r="O60" s="11"/>
      <c r="P60" s="11"/>
      <c r="Q60" s="11"/>
      <c r="R60" s="44">
        <f t="shared" si="2"/>
        <v>-20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20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20</v>
      </c>
      <c r="N61" s="11"/>
      <c r="O61" s="11"/>
      <c r="P61" s="11"/>
      <c r="Q61" s="11"/>
      <c r="R61" s="44">
        <f t="shared" si="2"/>
        <v>-20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20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20</v>
      </c>
      <c r="N62" s="11"/>
      <c r="O62" s="11"/>
      <c r="P62" s="11"/>
      <c r="Q62" s="11"/>
      <c r="R62" s="44">
        <f t="shared" si="2"/>
        <v>-20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20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20</v>
      </c>
      <c r="N63" s="11"/>
      <c r="O63" s="11"/>
      <c r="P63" s="11"/>
      <c r="Q63" s="11"/>
      <c r="R63" s="44">
        <f t="shared" si="2"/>
        <v>-20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20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20</v>
      </c>
      <c r="N64" s="11"/>
      <c r="O64" s="11"/>
      <c r="P64" s="11"/>
      <c r="Q64" s="11"/>
      <c r="R64" s="44">
        <f t="shared" si="2"/>
        <v>-20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20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20</v>
      </c>
      <c r="N65" s="11"/>
      <c r="O65" s="11"/>
      <c r="P65" s="11"/>
      <c r="Q65" s="11"/>
      <c r="R65" s="44">
        <f t="shared" si="2"/>
        <v>-20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30">
        <f t="shared" si="0"/>
        <v>0</v>
      </c>
      <c r="K68" s="68"/>
      <c r="L68" s="68"/>
      <c r="M68" s="36">
        <f t="shared" si="1"/>
        <v>0</v>
      </c>
      <c r="N68" s="68"/>
      <c r="O68" s="68"/>
      <c r="P68" s="68"/>
      <c r="Q68" s="68"/>
      <c r="R68" s="69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0</v>
      </c>
      <c r="F69" s="30">
        <f>'เย็น '!F69+'เช้า '!F69+บ่าย!F69</f>
        <v>0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2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2</v>
      </c>
      <c r="N69" s="11">
        <v>15</v>
      </c>
      <c r="O69" s="11">
        <v>14</v>
      </c>
      <c r="P69" s="11"/>
      <c r="Q69" s="11">
        <v>15</v>
      </c>
      <c r="R69" s="44">
        <f t="shared" ref="R69:R76" si="4">(N69+O69+P69+Q69)-M69</f>
        <v>42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30">
        <f t="shared" si="5"/>
        <v>0</v>
      </c>
      <c r="K78" s="68"/>
      <c r="L78" s="68"/>
      <c r="M78" s="36">
        <f t="shared" si="6"/>
        <v>0</v>
      </c>
      <c r="N78" s="68"/>
      <c r="O78" s="68"/>
      <c r="P78" s="68"/>
      <c r="Q78" s="68"/>
      <c r="R78" s="69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16</v>
      </c>
      <c r="F87" s="30">
        <f>'เย็น '!F87+'เช้า '!F87+บ่าย!F87</f>
        <v>0</v>
      </c>
      <c r="G87" s="30">
        <f>'เย็น '!G87+'เช้า '!G87+บ่าย!G87</f>
        <v>67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67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84</v>
      </c>
      <c r="N87" s="11">
        <v>90</v>
      </c>
      <c r="O87" s="11">
        <v>61</v>
      </c>
      <c r="P87" s="11"/>
      <c r="Q87" s="11">
        <v>90</v>
      </c>
      <c r="R87" s="44">
        <f t="shared" si="8"/>
        <v>157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30">
        <f t="shared" si="5"/>
        <v>0</v>
      </c>
      <c r="K89" s="68"/>
      <c r="L89" s="68"/>
      <c r="M89" s="36">
        <f t="shared" si="6"/>
        <v>0</v>
      </c>
      <c r="N89" s="68"/>
      <c r="O89" s="68"/>
      <c r="P89" s="68"/>
      <c r="Q89" s="68"/>
      <c r="R89" s="69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0</v>
      </c>
      <c r="F90" s="30">
        <f>'เย็น '!F90+'เช้า '!F90+บ่าย!F90</f>
        <v>8</v>
      </c>
      <c r="G90" s="30">
        <f>'เย็น '!G90+'เช้า '!G90+บ่าย!G90</f>
        <v>28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28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37</v>
      </c>
      <c r="N90" s="11">
        <v>50</v>
      </c>
      <c r="O90" s="11">
        <v>43</v>
      </c>
      <c r="P90" s="11"/>
      <c r="Q90" s="11">
        <v>50</v>
      </c>
      <c r="R90" s="44">
        <f t="shared" ref="R90:R100" si="9">(N90+O90+P90+Q90)-M90</f>
        <v>106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1</v>
      </c>
      <c r="G91" s="30">
        <f>'เย็น '!G91+'เช้า '!G91+บ่าย!G91</f>
        <v>28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28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29</v>
      </c>
      <c r="N91" s="11">
        <v>50</v>
      </c>
      <c r="O91" s="11">
        <v>35</v>
      </c>
      <c r="P91" s="11"/>
      <c r="Q91" s="11">
        <v>50</v>
      </c>
      <c r="R91" s="44">
        <f t="shared" si="9"/>
        <v>106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28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28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30</v>
      </c>
      <c r="N92" s="11">
        <v>50</v>
      </c>
      <c r="O92" s="11">
        <v>51</v>
      </c>
      <c r="P92" s="11"/>
      <c r="Q92" s="11">
        <v>50</v>
      </c>
      <c r="R92" s="44">
        <f t="shared" si="9"/>
        <v>121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28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28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29</v>
      </c>
      <c r="N93" s="11">
        <v>50</v>
      </c>
      <c r="O93" s="11">
        <v>40</v>
      </c>
      <c r="P93" s="11"/>
      <c r="Q93" s="11">
        <v>50</v>
      </c>
      <c r="R93" s="44">
        <f t="shared" si="9"/>
        <v>111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28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28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29</v>
      </c>
      <c r="N97" s="11">
        <v>50</v>
      </c>
      <c r="O97" s="11">
        <v>46</v>
      </c>
      <c r="P97" s="11"/>
      <c r="Q97" s="11">
        <v>50</v>
      </c>
      <c r="R97" s="44">
        <f t="shared" si="9"/>
        <v>117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1</v>
      </c>
      <c r="F98" s="30">
        <f>'เย็น '!F98+'เช้า '!F98+บ่าย!F98</f>
        <v>2</v>
      </c>
      <c r="G98" s="30">
        <f>'เย็น '!G98+'เช้า '!G98+บ่าย!G98</f>
        <v>29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29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32</v>
      </c>
      <c r="N98" s="11">
        <v>50</v>
      </c>
      <c r="O98" s="11">
        <v>58</v>
      </c>
      <c r="P98" s="11"/>
      <c r="Q98" s="11">
        <v>50</v>
      </c>
      <c r="R98" s="44">
        <f t="shared" si="9"/>
        <v>126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300</v>
      </c>
      <c r="O100" s="11">
        <f>SUM(O90:O99)</f>
        <v>273</v>
      </c>
      <c r="P100" s="11">
        <f>SUM(P90:P99)</f>
        <v>0</v>
      </c>
      <c r="Q100" s="11">
        <f>SUM(Q90:Q99)</f>
        <v>300</v>
      </c>
      <c r="R100" s="44">
        <f t="shared" si="9"/>
        <v>873</v>
      </c>
    </row>
    <row r="101" spans="2:18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30">
        <f t="shared" si="5"/>
        <v>0</v>
      </c>
      <c r="K101" s="68"/>
      <c r="L101" s="68"/>
      <c r="M101" s="36">
        <f t="shared" si="6"/>
        <v>0</v>
      </c>
      <c r="N101" s="68"/>
      <c r="O101" s="68"/>
      <c r="P101" s="68"/>
      <c r="Q101" s="68"/>
      <c r="R101" s="69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>
        <v>1</v>
      </c>
      <c r="P105" s="11"/>
      <c r="Q105" s="11"/>
      <c r="R105" s="44">
        <f t="shared" si="10"/>
        <v>1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1</v>
      </c>
      <c r="P112" s="11">
        <f>SUM(P102:P111)</f>
        <v>0</v>
      </c>
      <c r="Q112" s="11">
        <f>SUM(Q102:Q111)</f>
        <v>0</v>
      </c>
      <c r="R112" s="44">
        <f t="shared" si="10"/>
        <v>1</v>
      </c>
    </row>
    <row r="113" spans="2:18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30">
        <f t="shared" si="5"/>
        <v>0</v>
      </c>
      <c r="K113" s="68"/>
      <c r="L113" s="68"/>
      <c r="M113" s="36">
        <f t="shared" si="6"/>
        <v>0</v>
      </c>
      <c r="N113" s="68"/>
      <c r="O113" s="68"/>
      <c r="P113" s="68"/>
      <c r="Q113" s="68"/>
      <c r="R113" s="69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1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1</v>
      </c>
      <c r="N114" s="11"/>
      <c r="O114" s="11">
        <v>14</v>
      </c>
      <c r="P114" s="11"/>
      <c r="Q114" s="11"/>
      <c r="R114" s="44">
        <f t="shared" ref="R114:R140" si="11">(N114+O114+P114+Q114)-M114</f>
        <v>13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1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1</v>
      </c>
      <c r="N115" s="11"/>
      <c r="O115" s="11">
        <v>24</v>
      </c>
      <c r="P115" s="11"/>
      <c r="Q115" s="11"/>
      <c r="R115" s="44">
        <f t="shared" si="11"/>
        <v>23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1</v>
      </c>
      <c r="F120" s="30">
        <f>'เย็น '!F120+'เช้า '!F120+บ่าย!F120</f>
        <v>1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5"/>
        <v>0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2</v>
      </c>
      <c r="N120" s="11">
        <v>30</v>
      </c>
      <c r="O120" s="11">
        <v>29</v>
      </c>
      <c r="P120" s="11"/>
      <c r="Q120" s="11"/>
      <c r="R120" s="44">
        <f t="shared" si="11"/>
        <v>57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2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2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2</v>
      </c>
      <c r="N121" s="11"/>
      <c r="O121" s="11">
        <v>24</v>
      </c>
      <c r="P121" s="11"/>
      <c r="Q121" s="11"/>
      <c r="R121" s="44">
        <f t="shared" si="11"/>
        <v>22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1</v>
      </c>
      <c r="E123" s="30">
        <f>'เย็น '!E123+'เช้า '!E123+บ่าย!E123</f>
        <v>14</v>
      </c>
      <c r="F123" s="30">
        <f>'เย็น '!F123+'เช้า '!F123+บ่าย!F123</f>
        <v>9</v>
      </c>
      <c r="G123" s="30">
        <f>'เย็น '!G123+'เช้า '!G123+บ่าย!G123</f>
        <v>169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 t="shared" si="5"/>
        <v>169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193</v>
      </c>
      <c r="N123" s="11"/>
      <c r="O123" s="11">
        <v>397</v>
      </c>
      <c r="P123" s="11"/>
      <c r="Q123" s="11">
        <v>400</v>
      </c>
      <c r="R123" s="44">
        <f t="shared" si="11"/>
        <v>604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1</v>
      </c>
      <c r="F124" s="30">
        <f>'เย็น '!F124+'เช้า '!F124+บ่าย!F124</f>
        <v>1</v>
      </c>
      <c r="G124" s="30">
        <f>'เย็น '!G124+'เช้า '!G124+บ่าย!G124</f>
        <v>139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 t="shared" si="5"/>
        <v>139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141</v>
      </c>
      <c r="N124" s="11"/>
      <c r="O124" s="11">
        <v>678</v>
      </c>
      <c r="P124" s="11"/>
      <c r="Q124" s="11">
        <v>300</v>
      </c>
      <c r="R124" s="44">
        <f t="shared" si="11"/>
        <v>837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1</v>
      </c>
      <c r="G125" s="30">
        <f>'เย็น '!G125+'เช้า '!G125+บ่าย!G125</f>
        <v>139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 t="shared" si="5"/>
        <v>139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141</v>
      </c>
      <c r="N125" s="11"/>
      <c r="O125" s="11">
        <v>561</v>
      </c>
      <c r="P125" s="11"/>
      <c r="Q125" s="11">
        <v>300</v>
      </c>
      <c r="R125" s="44">
        <f t="shared" si="11"/>
        <v>720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0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0</v>
      </c>
      <c r="N126" s="11">
        <v>15</v>
      </c>
      <c r="O126" s="11"/>
      <c r="P126" s="11"/>
      <c r="Q126" s="11">
        <v>20</v>
      </c>
      <c r="R126" s="44">
        <f t="shared" si="11"/>
        <v>35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0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100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100</v>
      </c>
      <c r="N137" s="11">
        <v>40</v>
      </c>
      <c r="O137" s="11">
        <v>1</v>
      </c>
      <c r="P137" s="11"/>
      <c r="Q137" s="11"/>
      <c r="R137" s="44">
        <f t="shared" si="11"/>
        <v>-59</v>
      </c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ht="40.5" customHeight="1" x14ac:dyDescent="0.25">
      <c r="C141" s="35"/>
      <c r="D141" s="36">
        <f>SUM(D114:D140,D90:D99,D79:D87,D69:D76,D7:D66,D102:D111)</f>
        <v>305</v>
      </c>
      <c r="E141" s="36">
        <f t="shared" ref="E141:L141" si="14">SUM(E114:E140,E90:E99,E79:E87,E69:E76,E7:E66,E102:E111)</f>
        <v>79</v>
      </c>
      <c r="F141" s="36">
        <f t="shared" si="14"/>
        <v>120</v>
      </c>
      <c r="G141" s="36">
        <f t="shared" si="14"/>
        <v>771</v>
      </c>
      <c r="H141" s="36">
        <f t="shared" si="14"/>
        <v>0</v>
      </c>
      <c r="I141" s="36">
        <f t="shared" si="14"/>
        <v>0</v>
      </c>
      <c r="J141" s="36"/>
      <c r="K141" s="36">
        <f t="shared" si="14"/>
        <v>0</v>
      </c>
      <c r="L141" s="36">
        <f t="shared" si="14"/>
        <v>5</v>
      </c>
      <c r="M141" s="36">
        <f>SUM(M114:M140,M90:M99,M79:M87,M69:M76,M7:M66,M102:M111)</f>
        <v>1280</v>
      </c>
      <c r="N141" s="36">
        <f>SUM(N114:N140,N90:N99,N79:N87,N69:N76,N7:N66,N102:N111)</f>
        <v>670</v>
      </c>
      <c r="O141" s="36">
        <f t="shared" ref="O141" si="15">SUM(O114:O140,O90:O99,O79:O87,O69:O76,O7:O66,O102:O111)</f>
        <v>2203</v>
      </c>
      <c r="P141" s="36">
        <f t="shared" ref="P141" si="16">SUM(P114:P140,P90:P99,P79:P87,P69:P76,P7:P66,P102:P111)</f>
        <v>0</v>
      </c>
      <c r="Q141" s="36">
        <f t="shared" ref="Q141" si="17">SUM(Q114:Q140,Q90:Q99,Q79:Q87,Q69:Q76,Q7:Q66,Q102:Q111)</f>
        <v>1600</v>
      </c>
      <c r="R141" s="36">
        <f t="shared" ref="R141" si="18">SUM(R114:R140,R90:R99,R79:R87,R69:R76,R7:R66,R102:R111)</f>
        <v>3193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31"/>
      <c r="F144" s="31"/>
      <c r="G144" s="26"/>
      <c r="M144" s="40"/>
    </row>
    <row r="145" spans="2:13" x14ac:dyDescent="0.25">
      <c r="B145" s="31" t="s">
        <v>104</v>
      </c>
      <c r="C145" s="31"/>
      <c r="D145" s="32"/>
      <c r="E145" s="32"/>
      <c r="F145" s="32"/>
      <c r="G145" s="27"/>
      <c r="H145" s="26"/>
      <c r="I145" s="31" t="s">
        <v>104</v>
      </c>
      <c r="J145" s="31"/>
      <c r="K145" s="31"/>
      <c r="L145" s="31"/>
      <c r="M145" s="31"/>
    </row>
    <row r="146" spans="2:13" x14ac:dyDescent="0.25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2025-04-27T00:43:15Z</cp:lastPrinted>
  <dcterms:created xsi:type="dcterms:W3CDTF">2024-04-30T05:21:27Z</dcterms:created>
  <dcterms:modified xsi:type="dcterms:W3CDTF">2025-04-27T04:56:12Z</dcterms:modified>
</cp:coreProperties>
</file>