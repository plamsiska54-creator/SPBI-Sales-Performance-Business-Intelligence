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9C95AC8-5B43-46EB-B2CA-806096EC20D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<sst xmlns="http://schemas.openxmlformats.org/spreadsheetml/2006/main" count="617" uniqueCount="146">
  <si>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</si>
  <si>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</si>
  <si>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</si>
  <si>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</si>
  <si>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</si>
  <si>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</si>
  <si>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</si>
  <si>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</si>
  <si>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</si>
  <si>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</si>
  <si>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</si>
  <si>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</si>
  <si>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</si>
  <si>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</si>
  <si>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</si>
  <si>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</si>
  <si>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</si>
  <si>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</si>
  <si>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</si>
  <si>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</si>
  <si>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</si>
  <si>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</si>
  <si>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</si>
  <si>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</si>
  <si>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</si>
  <si>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</si>
  <si>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</si>
  <si>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</si>
  <si>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</si>
  <si>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</si>
  <si>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</si>
  <si>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</si>
  <si>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</si>
  <si>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</si>
  <si>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</si>
  <si>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</si>
  <si>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</si>
  <si>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</si>
  <si>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</si>
  <si>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</si>
  <si>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</si>
  <si>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</si>
  <si>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</si>
  <si>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</si>
  <si>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</si>
  <si>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</si>
  <si>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</si>
  <si>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</si>
  <si>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</si>
  <si>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</si>
  <si>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</si>
  <si>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</si>
  <si>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</si>
  <si>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</si>
  <si>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</si>
  <si>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</si>
  <si>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</si>
  <si>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</si>
  <si>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</si>
  <si>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</si>
  <si>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</si>
  <si>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</si>
  <si>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</si>
  <si>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</si>
  <si>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</si>
  <si>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</si>
  <si>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</si>
  <si>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</si>
  <si>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</si>
  <si>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</si>
  <si>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</si>
  <si>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</si>
  <si>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</si>
  <si>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</si>
  <si>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</si>
  <si>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</si>
  <si>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</si>
  <si>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</si>
  <si>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</si>
  <si>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</si>
  <si>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</si>
  <si>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</si>
  <si>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</si>
  <si>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</si>
  <si>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</si>
  <si>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</si>
  <si>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</si>
  <si>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</si>
  <si>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</si>
  <si>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</si>
  <si>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</si>
  <si>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</si>
  <si>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</si>
  <si>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</si>
  <si>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</si>
  <si>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</si>
  <si>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</si>
  <si>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</si>
  <si>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</si>
  <si>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</si>
  <si>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</si>
  <si>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</si>
  <si>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</si>
  <si>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</si>
  <si>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</si>
  <si>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</si>
  <si>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</si>
  <si>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</si>
  <si>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</si>
  <si>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</si>
  <si>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</si>
  <si>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</si>
  <si>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</si>
  <si>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</si>
  <si>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</si>
  <si>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</si>
  <si>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</si>
  <si>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</si>
  <si>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</si>
  <si>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</si>
  <si>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</si>
  <si>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</si>
  <si>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</si>
  <si>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</si>
  <si>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</si>
  <si>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</si>
  <si>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</si>
  <si>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</si>
  <si>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</si>
  <si>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</si>
  <si>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</si>
  <si>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</si>
  <si>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</si>
  <si>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</si>
  <si>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</si>
  <si>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</si>
  <si>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</si>
  <si>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</si>
  <si>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</si>
  <si>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</si>
  <si>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</si>
  <si>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</si>
  <si>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</si>
  <si>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</si>
  <si>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1/4/68 รวม</t>
  </si>
  <si>
    <t>ยอดจริง ออนไลน์ วันที่  1/4/68เช้า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</si>
</sst>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0" zoomScale="60" zoomScaleNormal="60" workbookViewId="0">
      <selection activeCell="V115" sqref="V11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3</v>
      </c>
      <c r="F7" s="30">
        <v>11</v>
      </c>
      <c r="G7" s="30">
        <v>3</v>
      </c>
      <c r="H7" s="30"/>
      <c r="I7" s="30"/>
      <c r="J7" s="43"/>
      <c r="K7" s="43"/>
      <c r="L7" s="36">
        <f>SUM(D7:K7)</f>
        <v>17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>
        <v>4</v>
      </c>
      <c r="G25" s="30"/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15</v>
      </c>
      <c r="H26" s="30"/>
      <c r="I26" s="30"/>
      <c r="J26" s="43"/>
      <c r="K26" s="43"/>
      <c r="L26" s="36">
        <f t="shared" si="0"/>
        <v>15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92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15</v>
      </c>
      <c r="E69" s="30">
        <v>3</v>
      </c>
      <c r="F69" s="30">
        <v>7</v>
      </c>
      <c r="G69" s="30">
        <v>3</v>
      </c>
      <c r="H69" s="30"/>
      <c r="I69" s="30"/>
      <c r="J69" s="43"/>
      <c r="K69" s="43"/>
      <c r="L69" s="36">
        <f t="shared" ref="L69:L76" si="1">SUM(D69:K69)</f>
        <v>28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9</v>
      </c>
      <c r="F87" s="30"/>
      <c r="G87" s="30">
        <v>45</v>
      </c>
      <c r="H87" s="30"/>
      <c r="I87" s="30"/>
      <c r="J87" s="43"/>
      <c r="K87" s="43"/>
      <c r="L87" s="36">
        <f t="shared" si="2"/>
        <v>55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>
        <v>4</v>
      </c>
      <c r="G90" s="30">
        <v>10</v>
      </c>
      <c r="H90" s="30"/>
      <c r="I90" s="30"/>
      <c r="J90" s="43"/>
      <c r="K90" s="43"/>
      <c r="L90" s="36">
        <f t="shared" ref="L90:L99" si="3">SUM(D90:K90)</f>
        <v>15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8</v>
      </c>
      <c r="G91" s="30">
        <v>11</v>
      </c>
      <c r="H91" s="30"/>
      <c r="I91" s="30"/>
      <c r="J91" s="43"/>
      <c r="K91" s="43"/>
      <c r="L91" s="36">
        <f t="shared" si="3"/>
        <v>21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9</v>
      </c>
      <c r="H92" s="30"/>
      <c r="I92" s="30"/>
      <c r="J92" s="43"/>
      <c r="K92" s="43"/>
      <c r="L92" s="36">
        <f t="shared" si="3"/>
        <v>10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9</v>
      </c>
      <c r="H93" s="30"/>
      <c r="I93" s="30"/>
      <c r="J93" s="43"/>
      <c r="K93" s="43"/>
      <c r="L93" s="36">
        <f t="shared" si="3"/>
        <v>10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10</v>
      </c>
      <c r="H97" s="30"/>
      <c r="I97" s="30"/>
      <c r="J97" s="43"/>
      <c r="K97" s="43"/>
      <c r="L97" s="36">
        <f t="shared" si="3"/>
        <v>11</v>
      </c>
    </row>
    <row r="98" spans="2:12">
      <c r="B98" s="11">
        <v>1112013</v>
      </c>
      <c r="C98" s="19" t="s">
        <v>83</v>
      </c>
      <c r="D98" s="30"/>
      <c r="E98" s="30">
        <v>1</v>
      </c>
      <c r="F98" s="30"/>
      <c r="G98" s="30">
        <v>10</v>
      </c>
      <c r="H98" s="30"/>
      <c r="I98" s="30"/>
      <c r="J98" s="43"/>
      <c r="K98" s="43"/>
      <c r="L98" s="36">
        <f t="shared" si="3"/>
        <v>11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>
        <v>1</v>
      </c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7</v>
      </c>
      <c r="F123" s="30">
        <v>8</v>
      </c>
      <c r="G123" s="30">
        <v>51</v>
      </c>
      <c r="H123" s="30"/>
      <c r="I123" s="30"/>
      <c r="J123" s="43"/>
      <c r="K123" s="43"/>
      <c r="L123" s="36">
        <f t="shared" si="5"/>
        <v>66</v>
      </c>
    </row>
    <row r="124" spans="2:12">
      <c r="B124" s="11">
        <v>1114502</v>
      </c>
      <c r="C124" s="21" t="s">
        <v>96</v>
      </c>
      <c r="D124" s="30"/>
      <c r="E124" s="30">
        <v>4</v>
      </c>
      <c r="F124" s="30">
        <v>2</v>
      </c>
      <c r="G124" s="30">
        <v>30</v>
      </c>
      <c r="H124" s="30"/>
      <c r="I124" s="30"/>
      <c r="J124" s="43"/>
      <c r="K124" s="43"/>
      <c r="L124" s="36">
        <f t="shared" si="5"/>
        <v>36</v>
      </c>
    </row>
    <row r="125" spans="2:12">
      <c r="B125" s="11">
        <v>1114503</v>
      </c>
      <c r="C125" s="21" t="s">
        <v>97</v>
      </c>
      <c r="D125" s="30"/>
      <c r="E125" s="30">
        <v>4</v>
      </c>
      <c r="F125" s="30">
        <v>2</v>
      </c>
      <c r="G125" s="30">
        <v>21</v>
      </c>
      <c r="H125" s="30"/>
      <c r="I125" s="30"/>
      <c r="J125" s="43"/>
      <c r="K125" s="43"/>
      <c r="L125" s="36">
        <f t="shared" si="5"/>
        <v>27</v>
      </c>
    </row>
    <row r="126" spans="2:12">
      <c r="B126" s="11">
        <v>1124021</v>
      </c>
      <c r="C126" s="21" t="s">
        <v>98</v>
      </c>
      <c r="D126" s="30"/>
      <c r="E126" s="30">
        <v>17</v>
      </c>
      <c r="F126" s="30">
        <v>33</v>
      </c>
      <c r="G126" s="30">
        <v>4</v>
      </c>
      <c r="H126" s="30"/>
      <c r="I126" s="30"/>
      <c r="J126" s="43"/>
      <c r="K126" s="43"/>
      <c r="L126" s="36">
        <f t="shared" si="5"/>
        <v>54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P93" sqref="P9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3</v>
      </c>
      <c r="F7" s="30">
        <f>'เย็น '!F7+'เช้า '!F7+บ่าย!F7</f>
        <v>11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17</v>
      </c>
      <c r="M7" s="11">
        <v>55</v>
      </c>
      <c r="N7" s="11">
        <v>53</v>
      </c>
      <c r="O7" s="11"/>
      <c r="P7" s="11">
        <v>70</v>
      </c>
      <c r="Q7" s="44">
        <f>(M7+N7+O7+P7)-L7</f>
        <v>161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4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10</v>
      </c>
      <c r="N25" s="11">
        <v>9</v>
      </c>
      <c r="O25" s="11"/>
      <c r="P25" s="11">
        <v>10</v>
      </c>
      <c r="Q25" s="44">
        <f t="shared" si="1"/>
        <v>19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15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15</v>
      </c>
      <c r="M26" s="11">
        <v>40</v>
      </c>
      <c r="N26" s="11">
        <v>7</v>
      </c>
      <c r="O26" s="11"/>
      <c r="P26" s="11">
        <v>60</v>
      </c>
      <c r="Q26" s="44">
        <f t="shared" si="1"/>
        <v>92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15</v>
      </c>
      <c r="E69" s="30">
        <f>'เย็น '!E69+'เช้า '!E69+บ่าย!E69</f>
        <v>3</v>
      </c>
      <c r="F69" s="30">
        <f>'เย็น '!F69+'เช้า '!F69+บ่าย!F69</f>
        <v>7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28</v>
      </c>
      <c r="M69" s="11">
        <v>10</v>
      </c>
      <c r="N69" s="11">
        <v>11</v>
      </c>
      <c r="O69" s="11"/>
      <c r="P69" s="11">
        <v>10</v>
      </c>
      <c r="Q69" s="44">
        <f t="shared" ref="Q69:Q76" si="5">(M69+N69+O69+P69)-L69</f>
        <v>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45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55</v>
      </c>
      <c r="M87" s="11">
        <v>60</v>
      </c>
      <c r="N87" s="11">
        <v>26</v>
      </c>
      <c r="O87" s="11"/>
      <c r="P87" s="11">
        <v>60</v>
      </c>
      <c r="Q87" s="44">
        <f t="shared" si="8"/>
        <v>91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4</v>
      </c>
      <c r="G90" s="30">
        <f>'เย็น '!G90+'เช้า '!G90+บ่าย!G90</f>
        <v>10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15</v>
      </c>
      <c r="M90" s="11">
        <v>97</v>
      </c>
      <c r="N90" s="11">
        <v>260</v>
      </c>
      <c r="O90" s="11"/>
      <c r="P90" s="11"/>
      <c r="Q90" s="44">
        <f t="shared" ref="Q90:Q100" si="10">(M90+N90+O90+P90)-L90</f>
        <v>342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11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21</v>
      </c>
      <c r="M91" s="11">
        <v>152</v>
      </c>
      <c r="N91" s="11">
        <v>367</v>
      </c>
      <c r="O91" s="11"/>
      <c r="P91" s="11"/>
      <c r="Q91" s="44">
        <f t="shared" si="10"/>
        <v>498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10</v>
      </c>
      <c r="M92" s="11">
        <v>40</v>
      </c>
      <c r="N92" s="11">
        <v>96</v>
      </c>
      <c r="O92" s="11"/>
      <c r="P92" s="11"/>
      <c r="Q92" s="44">
        <f t="shared" si="10"/>
        <v>126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10</v>
      </c>
      <c r="M93" s="11">
        <v>40</v>
      </c>
      <c r="N93" s="11">
        <v>86</v>
      </c>
      <c r="O93" s="11"/>
      <c r="P93" s="11"/>
      <c r="Q93" s="44">
        <f t="shared" si="10"/>
        <v>116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11</v>
      </c>
      <c r="M97" s="11">
        <v>25</v>
      </c>
      <c r="N97" s="11">
        <v>132</v>
      </c>
      <c r="O97" s="11"/>
      <c r="P97" s="11"/>
      <c r="Q97" s="44">
        <f t="shared" si="10"/>
        <v>146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10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11</v>
      </c>
      <c r="M98" s="11">
        <v>60</v>
      </c>
      <c r="N98" s="11">
        <v>60</v>
      </c>
      <c r="O98" s="11"/>
      <c r="P98" s="11"/>
      <c r="Q98" s="44">
        <f t="shared" si="10"/>
        <v>109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78</v>
      </c>
      <c r="M100" s="11">
        <f>SUM(M90:M99)</f>
        <v>414</v>
      </c>
      <c r="N100" s="11">
        <f>SUM(N90:N99)</f>
        <v>1001</v>
      </c>
      <c r="O100" s="11">
        <f>SUM(O90:O99)</f>
        <v>0</v>
      </c>
      <c r="P100" s="11">
        <f>SUM(P90:P99)</f>
        <v>0</v>
      </c>
      <c r="Q100" s="44">
        <f t="shared" si="10"/>
        <v>1337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>
        <v>27</v>
      </c>
      <c r="O121" s="11"/>
      <c r="P121" s="11"/>
      <c r="Q121" s="44">
        <f t="shared" si="14"/>
        <v>26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7</v>
      </c>
      <c r="F123" s="30">
        <f>'เย็น '!F123+'เช้า '!F123+บ่าย!F123</f>
        <v>8</v>
      </c>
      <c r="G123" s="30">
        <f>'เย็น '!G123+'เช้า '!G123+บ่าย!G123</f>
        <v>51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66</v>
      </c>
      <c r="M123" s="11">
        <v>385</v>
      </c>
      <c r="N123" s="11">
        <v>154</v>
      </c>
      <c r="O123" s="11"/>
      <c r="P123" s="11"/>
      <c r="Q123" s="44">
        <f t="shared" si="14"/>
        <v>473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4</v>
      </c>
      <c r="F124" s="30">
        <f>'เย็น '!F124+'เช้า '!F124+บ่าย!F124</f>
        <v>2</v>
      </c>
      <c r="G124" s="30">
        <f>'เย็น '!G124+'เช้า '!G124+บ่าย!G124</f>
        <v>30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36</v>
      </c>
      <c r="M124" s="11">
        <v>407</v>
      </c>
      <c r="N124" s="11"/>
      <c r="O124" s="11"/>
      <c r="P124" s="11"/>
      <c r="Q124" s="44">
        <f t="shared" si="14"/>
        <v>371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4</v>
      </c>
      <c r="F125" s="30">
        <f>'เย็น '!F125+'เช้า '!F125+บ่าย!F125</f>
        <v>2</v>
      </c>
      <c r="G125" s="30">
        <f>'เย็น '!G125+'เช้า '!G125+บ่าย!G125</f>
        <v>21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27</v>
      </c>
      <c r="M125" s="11">
        <v>104</v>
      </c>
      <c r="N125" s="11">
        <v>57</v>
      </c>
      <c r="O125" s="11"/>
      <c r="P125" s="11"/>
      <c r="Q125" s="44">
        <f t="shared" si="14"/>
        <v>134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17</v>
      </c>
      <c r="F126" s="30">
        <f>'เย็น '!F126+'เช้า '!F126+บ่าย!F126</f>
        <v>33</v>
      </c>
      <c r="G126" s="30">
        <f>'เย็น '!G126+'เช้า '!G126+บ่าย!G126</f>
        <v>4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54</v>
      </c>
      <c r="M126" s="11">
        <v>30</v>
      </c>
      <c r="N126" s="11">
        <v>46</v>
      </c>
      <c r="O126" s="11"/>
      <c r="P126" s="11">
        <v>30</v>
      </c>
      <c r="Q126" s="44">
        <f t="shared" si="14"/>
        <v>52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17</v>
      </c>
      <c r="E141" s="36">
        <f t="shared" ref="E141:K141" si="15">SUM(E114:E140,E90:E99,E79:E87,E69:E76,E7:E66,E102:E111)</f>
        <v>109</v>
      </c>
      <c r="F141" s="36">
        <f t="shared" si="15"/>
        <v>80</v>
      </c>
      <c r="G141" s="36">
        <f t="shared" si="15"/>
        <v>231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437</v>
      </c>
      <c r="M141" s="36">
        <f>SUM(M114:M140,M90:M99,M79:M87,M69:M76,M7:M66,M102:M111)</f>
        <v>1515</v>
      </c>
      <c r="N141" s="36">
        <f t="shared" ref="N141" si="16">SUM(N114:N140,N90:N99,N79:N87,N69:N76,N7:N66,N102:N111)</f>
        <v>1391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240</v>
      </c>
      <c r="Q141" s="36">
        <f t="shared" ref="Q141" si="19">SUM(Q114:Q140,Q90:Q99,Q79:Q87,Q69:Q76,Q7:Q66,Q102:Q111)</f>
        <v>2709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2025-04-01T00:27:34Z</dcterms:modified>
</cp:coreProperties>
</file>