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"/>
    </mc:Choice>
  </mc:AlternateContent>
  <xr:revisionPtr revIDLastSave="0" documentId="8_{278E7F69-4DA5-42AD-B2FA-C9B6AE54ABD2}" xr6:coauthVersionLast="47" xr6:coauthVersionMax="47" xr10:uidLastSave="{00000000-0000-0000-0000-000000000000}"/>
  <bookViews>
    <workbookView xWindow="-108" yWindow="-108" windowWidth="23256" windowHeight="12456" xr2:uid="{ECAEF4C3-44E8-4879-BC84-FD7DF8EC581E}"/>
  </bookViews>
  <sheets>
    <sheet name="ตัวอย่าง" sheetId="1" r:id="rId1"/>
  </sheets>
  <externalReferences>
    <externalReference r:id="rId2"/>
  </externalReferences>
  <definedNames>
    <definedName name="_xlnm.Print_Area" localSheetId="0">ตัวอย่าง!$B$1:$P$131</definedName>
    <definedName name="_xlnm.Print_Titles" localSheetId="0">ตัวอย่าง!$1:$2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6" i="1" l="1"/>
  <c r="N126" i="1"/>
  <c r="L125" i="1"/>
  <c r="K125" i="1"/>
  <c r="I125" i="1"/>
  <c r="H125" i="1"/>
  <c r="G125" i="1"/>
  <c r="J125" i="1" s="1"/>
  <c r="F125" i="1"/>
  <c r="E125" i="1"/>
  <c r="D125" i="1"/>
  <c r="L124" i="1"/>
  <c r="K124" i="1"/>
  <c r="I124" i="1"/>
  <c r="H124" i="1"/>
  <c r="G124" i="1"/>
  <c r="J124" i="1" s="1"/>
  <c r="F124" i="1"/>
  <c r="E124" i="1"/>
  <c r="D124" i="1"/>
  <c r="L123" i="1"/>
  <c r="K123" i="1"/>
  <c r="I123" i="1"/>
  <c r="J123" i="1" s="1"/>
  <c r="H123" i="1"/>
  <c r="G123" i="1"/>
  <c r="F123" i="1"/>
  <c r="E123" i="1"/>
  <c r="D123" i="1"/>
  <c r="L122" i="1"/>
  <c r="K122" i="1"/>
  <c r="I122" i="1"/>
  <c r="H122" i="1"/>
  <c r="G122" i="1"/>
  <c r="J122" i="1" s="1"/>
  <c r="F122" i="1"/>
  <c r="E122" i="1"/>
  <c r="D122" i="1"/>
  <c r="L121" i="1"/>
  <c r="K121" i="1"/>
  <c r="I121" i="1"/>
  <c r="H121" i="1"/>
  <c r="G121" i="1"/>
  <c r="J121" i="1" s="1"/>
  <c r="F121" i="1"/>
  <c r="E121" i="1"/>
  <c r="D121" i="1"/>
  <c r="L120" i="1"/>
  <c r="K120" i="1"/>
  <c r="J120" i="1"/>
  <c r="I120" i="1"/>
  <c r="H120" i="1"/>
  <c r="G120" i="1"/>
  <c r="F120" i="1"/>
  <c r="E120" i="1"/>
  <c r="D120" i="1"/>
  <c r="M120" i="1" s="1"/>
  <c r="P120" i="1" s="1"/>
  <c r="L119" i="1"/>
  <c r="K119" i="1"/>
  <c r="I119" i="1"/>
  <c r="H119" i="1"/>
  <c r="G119" i="1"/>
  <c r="J119" i="1" s="1"/>
  <c r="F119" i="1"/>
  <c r="E119" i="1"/>
  <c r="D119" i="1"/>
  <c r="L118" i="1"/>
  <c r="K118" i="1"/>
  <c r="I118" i="1"/>
  <c r="H118" i="1"/>
  <c r="J118" i="1" s="1"/>
  <c r="G118" i="1"/>
  <c r="F118" i="1"/>
  <c r="E118" i="1"/>
  <c r="D118" i="1"/>
  <c r="L117" i="1"/>
  <c r="K117" i="1"/>
  <c r="I117" i="1"/>
  <c r="H117" i="1"/>
  <c r="G117" i="1"/>
  <c r="J117" i="1" s="1"/>
  <c r="F117" i="1"/>
  <c r="E117" i="1"/>
  <c r="D117" i="1"/>
  <c r="L116" i="1"/>
  <c r="K116" i="1"/>
  <c r="I116" i="1"/>
  <c r="H116" i="1"/>
  <c r="G116" i="1"/>
  <c r="J116" i="1" s="1"/>
  <c r="F116" i="1"/>
  <c r="E116" i="1"/>
  <c r="D116" i="1"/>
  <c r="L115" i="1"/>
  <c r="K115" i="1"/>
  <c r="I115" i="1"/>
  <c r="H115" i="1"/>
  <c r="G115" i="1"/>
  <c r="J115" i="1" s="1"/>
  <c r="F115" i="1"/>
  <c r="E115" i="1"/>
  <c r="D115" i="1"/>
  <c r="L114" i="1"/>
  <c r="K114" i="1"/>
  <c r="I114" i="1"/>
  <c r="H114" i="1"/>
  <c r="G114" i="1"/>
  <c r="J114" i="1" s="1"/>
  <c r="F114" i="1"/>
  <c r="E114" i="1"/>
  <c r="D114" i="1"/>
  <c r="L113" i="1"/>
  <c r="K113" i="1"/>
  <c r="I113" i="1"/>
  <c r="H113" i="1"/>
  <c r="G113" i="1"/>
  <c r="J113" i="1" s="1"/>
  <c r="F113" i="1"/>
  <c r="E113" i="1"/>
  <c r="D113" i="1"/>
  <c r="L112" i="1"/>
  <c r="K112" i="1"/>
  <c r="J112" i="1"/>
  <c r="I112" i="1"/>
  <c r="H112" i="1"/>
  <c r="G112" i="1"/>
  <c r="F112" i="1"/>
  <c r="E112" i="1"/>
  <c r="D112" i="1"/>
  <c r="M112" i="1" s="1"/>
  <c r="P112" i="1" s="1"/>
  <c r="L111" i="1"/>
  <c r="K111" i="1"/>
  <c r="I111" i="1"/>
  <c r="H111" i="1"/>
  <c r="G111" i="1"/>
  <c r="J111" i="1" s="1"/>
  <c r="F111" i="1"/>
  <c r="E111" i="1"/>
  <c r="D111" i="1"/>
  <c r="M111" i="1" s="1"/>
  <c r="P111" i="1" s="1"/>
  <c r="L110" i="1"/>
  <c r="K110" i="1"/>
  <c r="I110" i="1"/>
  <c r="H110" i="1"/>
  <c r="G110" i="1"/>
  <c r="J110" i="1" s="1"/>
  <c r="F110" i="1"/>
  <c r="E110" i="1"/>
  <c r="D110" i="1"/>
  <c r="M110" i="1" s="1"/>
  <c r="P110" i="1" s="1"/>
  <c r="L109" i="1"/>
  <c r="K109" i="1"/>
  <c r="I109" i="1"/>
  <c r="H109" i="1"/>
  <c r="G109" i="1"/>
  <c r="J109" i="1" s="1"/>
  <c r="F109" i="1"/>
  <c r="E109" i="1"/>
  <c r="D109" i="1"/>
  <c r="M109" i="1" s="1"/>
  <c r="P109" i="1" s="1"/>
  <c r="L108" i="1"/>
  <c r="K108" i="1"/>
  <c r="I108" i="1"/>
  <c r="H108" i="1"/>
  <c r="G108" i="1"/>
  <c r="J108" i="1" s="1"/>
  <c r="F108" i="1"/>
  <c r="E108" i="1"/>
  <c r="D108" i="1"/>
  <c r="M108" i="1" s="1"/>
  <c r="P108" i="1" s="1"/>
  <c r="L107" i="1"/>
  <c r="K107" i="1"/>
  <c r="I107" i="1"/>
  <c r="H107" i="1"/>
  <c r="G107" i="1"/>
  <c r="J107" i="1" s="1"/>
  <c r="F107" i="1"/>
  <c r="E107" i="1"/>
  <c r="D107" i="1"/>
  <c r="M107" i="1" s="1"/>
  <c r="P107" i="1" s="1"/>
  <c r="L106" i="1"/>
  <c r="K106" i="1"/>
  <c r="I106" i="1"/>
  <c r="H106" i="1"/>
  <c r="G106" i="1"/>
  <c r="J106" i="1" s="1"/>
  <c r="F106" i="1"/>
  <c r="E106" i="1"/>
  <c r="D106" i="1"/>
  <c r="M106" i="1" s="1"/>
  <c r="P106" i="1" s="1"/>
  <c r="L105" i="1"/>
  <c r="K105" i="1"/>
  <c r="I105" i="1"/>
  <c r="H105" i="1"/>
  <c r="G105" i="1"/>
  <c r="J105" i="1" s="1"/>
  <c r="F105" i="1"/>
  <c r="E105" i="1"/>
  <c r="D105" i="1"/>
  <c r="M105" i="1" s="1"/>
  <c r="P105" i="1" s="1"/>
  <c r="L104" i="1"/>
  <c r="K104" i="1"/>
  <c r="J104" i="1"/>
  <c r="I104" i="1"/>
  <c r="H104" i="1"/>
  <c r="G104" i="1"/>
  <c r="F104" i="1"/>
  <c r="E104" i="1"/>
  <c r="D104" i="1"/>
  <c r="M104" i="1" s="1"/>
  <c r="P104" i="1" s="1"/>
  <c r="L103" i="1"/>
  <c r="K103" i="1"/>
  <c r="I103" i="1"/>
  <c r="H103" i="1"/>
  <c r="G103" i="1"/>
  <c r="J103" i="1" s="1"/>
  <c r="F103" i="1"/>
  <c r="E103" i="1"/>
  <c r="D103" i="1"/>
  <c r="M103" i="1" s="1"/>
  <c r="P103" i="1" s="1"/>
  <c r="L102" i="1"/>
  <c r="K102" i="1"/>
  <c r="I102" i="1"/>
  <c r="H102" i="1"/>
  <c r="G102" i="1"/>
  <c r="J102" i="1" s="1"/>
  <c r="F102" i="1"/>
  <c r="E102" i="1"/>
  <c r="D102" i="1"/>
  <c r="M102" i="1" s="1"/>
  <c r="P102" i="1" s="1"/>
  <c r="L101" i="1"/>
  <c r="K101" i="1"/>
  <c r="I101" i="1"/>
  <c r="H101" i="1"/>
  <c r="G101" i="1"/>
  <c r="J101" i="1" s="1"/>
  <c r="F101" i="1"/>
  <c r="E101" i="1"/>
  <c r="D101" i="1"/>
  <c r="M101" i="1" s="1"/>
  <c r="P101" i="1" s="1"/>
  <c r="L100" i="1"/>
  <c r="L126" i="1" s="1"/>
  <c r="K100" i="1"/>
  <c r="K126" i="1" s="1"/>
  <c r="I100" i="1"/>
  <c r="I126" i="1" s="1"/>
  <c r="H100" i="1"/>
  <c r="H126" i="1" s="1"/>
  <c r="G100" i="1"/>
  <c r="G126" i="1" s="1"/>
  <c r="F100" i="1"/>
  <c r="F126" i="1" s="1"/>
  <c r="E100" i="1"/>
  <c r="E126" i="1" s="1"/>
  <c r="D100" i="1"/>
  <c r="K99" i="1"/>
  <c r="I99" i="1"/>
  <c r="H99" i="1"/>
  <c r="J99" i="1" s="1"/>
  <c r="G99" i="1"/>
  <c r="F99" i="1"/>
  <c r="E99" i="1"/>
  <c r="D99" i="1"/>
  <c r="M99" i="1" s="1"/>
  <c r="P99" i="1" s="1"/>
  <c r="K98" i="1"/>
  <c r="I98" i="1"/>
  <c r="H98" i="1"/>
  <c r="G98" i="1"/>
  <c r="J98" i="1" s="1"/>
  <c r="F98" i="1"/>
  <c r="E98" i="1"/>
  <c r="D98" i="1"/>
  <c r="K97" i="1"/>
  <c r="I97" i="1"/>
  <c r="H97" i="1"/>
  <c r="G97" i="1"/>
  <c r="J97" i="1" s="1"/>
  <c r="F97" i="1"/>
  <c r="E97" i="1"/>
  <c r="D97" i="1"/>
  <c r="K96" i="1"/>
  <c r="I96" i="1"/>
  <c r="H96" i="1"/>
  <c r="G96" i="1"/>
  <c r="J96" i="1" s="1"/>
  <c r="F96" i="1"/>
  <c r="E96" i="1"/>
  <c r="D96" i="1"/>
  <c r="K95" i="1"/>
  <c r="I95" i="1"/>
  <c r="H95" i="1"/>
  <c r="J95" i="1" s="1"/>
  <c r="G95" i="1"/>
  <c r="F95" i="1"/>
  <c r="E95" i="1"/>
  <c r="D95" i="1"/>
  <c r="K94" i="1"/>
  <c r="I94" i="1"/>
  <c r="H94" i="1"/>
  <c r="G94" i="1"/>
  <c r="J94" i="1" s="1"/>
  <c r="F94" i="1"/>
  <c r="E94" i="1"/>
  <c r="D94" i="1"/>
  <c r="K93" i="1"/>
  <c r="I93" i="1"/>
  <c r="H93" i="1"/>
  <c r="G93" i="1"/>
  <c r="J93" i="1" s="1"/>
  <c r="F93" i="1"/>
  <c r="E93" i="1"/>
  <c r="D93" i="1"/>
  <c r="K92" i="1"/>
  <c r="I92" i="1"/>
  <c r="H92" i="1"/>
  <c r="G92" i="1"/>
  <c r="J92" i="1" s="1"/>
  <c r="F92" i="1"/>
  <c r="E92" i="1"/>
  <c r="D92" i="1"/>
  <c r="K91" i="1"/>
  <c r="I91" i="1"/>
  <c r="H91" i="1"/>
  <c r="J91" i="1" s="1"/>
  <c r="G91" i="1"/>
  <c r="F91" i="1"/>
  <c r="E91" i="1"/>
  <c r="D91" i="1"/>
  <c r="M91" i="1" s="1"/>
  <c r="P91" i="1" s="1"/>
  <c r="K90" i="1"/>
  <c r="I90" i="1"/>
  <c r="H90" i="1"/>
  <c r="G90" i="1"/>
  <c r="J90" i="1" s="1"/>
  <c r="F90" i="1"/>
  <c r="E90" i="1"/>
  <c r="D90" i="1"/>
  <c r="K89" i="1"/>
  <c r="I89" i="1"/>
  <c r="H89" i="1"/>
  <c r="G89" i="1"/>
  <c r="J89" i="1" s="1"/>
  <c r="F89" i="1"/>
  <c r="E89" i="1"/>
  <c r="D89" i="1"/>
  <c r="L88" i="1"/>
  <c r="K88" i="1"/>
  <c r="I88" i="1"/>
  <c r="H88" i="1"/>
  <c r="G88" i="1"/>
  <c r="J88" i="1" s="1"/>
  <c r="F88" i="1"/>
  <c r="E88" i="1"/>
  <c r="D88" i="1"/>
  <c r="L87" i="1"/>
  <c r="K87" i="1"/>
  <c r="I87" i="1"/>
  <c r="H87" i="1"/>
  <c r="G87" i="1"/>
  <c r="J87" i="1" s="1"/>
  <c r="F87" i="1"/>
  <c r="E87" i="1"/>
  <c r="D87" i="1"/>
  <c r="L86" i="1"/>
  <c r="K86" i="1"/>
  <c r="I86" i="1"/>
  <c r="H86" i="1"/>
  <c r="G86" i="1"/>
  <c r="J86" i="1" s="1"/>
  <c r="F86" i="1"/>
  <c r="E86" i="1"/>
  <c r="D86" i="1"/>
  <c r="L85" i="1"/>
  <c r="K85" i="1"/>
  <c r="I85" i="1"/>
  <c r="H85" i="1"/>
  <c r="G85" i="1"/>
  <c r="J85" i="1" s="1"/>
  <c r="F85" i="1"/>
  <c r="E85" i="1"/>
  <c r="D85" i="1"/>
  <c r="L84" i="1"/>
  <c r="K84" i="1"/>
  <c r="I84" i="1"/>
  <c r="H84" i="1"/>
  <c r="G84" i="1"/>
  <c r="J84" i="1" s="1"/>
  <c r="F84" i="1"/>
  <c r="E84" i="1"/>
  <c r="D84" i="1"/>
  <c r="L83" i="1"/>
  <c r="K83" i="1"/>
  <c r="J83" i="1"/>
  <c r="I83" i="1"/>
  <c r="H83" i="1"/>
  <c r="G83" i="1"/>
  <c r="F83" i="1"/>
  <c r="E83" i="1"/>
  <c r="D83" i="1"/>
  <c r="M83" i="1" s="1"/>
  <c r="P83" i="1" s="1"/>
  <c r="L82" i="1"/>
  <c r="K82" i="1"/>
  <c r="I82" i="1"/>
  <c r="H82" i="1"/>
  <c r="G82" i="1"/>
  <c r="J82" i="1" s="1"/>
  <c r="F82" i="1"/>
  <c r="E82" i="1"/>
  <c r="D82" i="1"/>
  <c r="L81" i="1"/>
  <c r="K81" i="1"/>
  <c r="I81" i="1"/>
  <c r="H81" i="1"/>
  <c r="G81" i="1"/>
  <c r="J81" i="1" s="1"/>
  <c r="F81" i="1"/>
  <c r="E81" i="1"/>
  <c r="D81" i="1"/>
  <c r="L80" i="1"/>
  <c r="K80" i="1"/>
  <c r="I80" i="1"/>
  <c r="H80" i="1"/>
  <c r="G80" i="1"/>
  <c r="J80" i="1" s="1"/>
  <c r="F80" i="1"/>
  <c r="E80" i="1"/>
  <c r="D80" i="1"/>
  <c r="L79" i="1"/>
  <c r="K79" i="1"/>
  <c r="I79" i="1"/>
  <c r="H79" i="1"/>
  <c r="G79" i="1"/>
  <c r="J79" i="1" s="1"/>
  <c r="F79" i="1"/>
  <c r="E79" i="1"/>
  <c r="D79" i="1"/>
  <c r="L78" i="1"/>
  <c r="K78" i="1"/>
  <c r="I78" i="1"/>
  <c r="H78" i="1"/>
  <c r="G78" i="1"/>
  <c r="J78" i="1" s="1"/>
  <c r="F78" i="1"/>
  <c r="E78" i="1"/>
  <c r="D78" i="1"/>
  <c r="L77" i="1"/>
  <c r="K77" i="1"/>
  <c r="J77" i="1"/>
  <c r="I77" i="1"/>
  <c r="H77" i="1"/>
  <c r="G77" i="1"/>
  <c r="F77" i="1"/>
  <c r="E77" i="1"/>
  <c r="D77" i="1"/>
  <c r="M77" i="1" s="1"/>
  <c r="P77" i="1" s="1"/>
  <c r="L76" i="1"/>
  <c r="K76" i="1"/>
  <c r="I76" i="1"/>
  <c r="H76" i="1"/>
  <c r="G76" i="1"/>
  <c r="J76" i="1" s="1"/>
  <c r="F76" i="1"/>
  <c r="E76" i="1"/>
  <c r="D76" i="1"/>
  <c r="M76" i="1" s="1"/>
  <c r="P76" i="1" s="1"/>
  <c r="L75" i="1"/>
  <c r="K75" i="1"/>
  <c r="J75" i="1"/>
  <c r="I75" i="1"/>
  <c r="H75" i="1"/>
  <c r="G75" i="1"/>
  <c r="F75" i="1"/>
  <c r="E75" i="1"/>
  <c r="D75" i="1"/>
  <c r="M75" i="1" s="1"/>
  <c r="P75" i="1" s="1"/>
  <c r="L74" i="1"/>
  <c r="K74" i="1"/>
  <c r="I74" i="1"/>
  <c r="H74" i="1"/>
  <c r="G74" i="1"/>
  <c r="J74" i="1" s="1"/>
  <c r="F74" i="1"/>
  <c r="E74" i="1"/>
  <c r="M74" i="1" s="1"/>
  <c r="P74" i="1" s="1"/>
  <c r="D74" i="1"/>
  <c r="L73" i="1"/>
  <c r="K73" i="1"/>
  <c r="I73" i="1"/>
  <c r="H73" i="1"/>
  <c r="J73" i="1" s="1"/>
  <c r="G73" i="1"/>
  <c r="F73" i="1"/>
  <c r="E73" i="1"/>
  <c r="D73" i="1"/>
  <c r="L72" i="1"/>
  <c r="K72" i="1"/>
  <c r="I72" i="1"/>
  <c r="H72" i="1"/>
  <c r="G72" i="1"/>
  <c r="J72" i="1" s="1"/>
  <c r="F72" i="1"/>
  <c r="E72" i="1"/>
  <c r="D72" i="1"/>
  <c r="L71" i="1"/>
  <c r="K71" i="1"/>
  <c r="I71" i="1"/>
  <c r="H71" i="1"/>
  <c r="G71" i="1"/>
  <c r="J71" i="1" s="1"/>
  <c r="F71" i="1"/>
  <c r="E71" i="1"/>
  <c r="D71" i="1"/>
  <c r="L70" i="1"/>
  <c r="K70" i="1"/>
  <c r="I70" i="1"/>
  <c r="H70" i="1"/>
  <c r="G70" i="1"/>
  <c r="J70" i="1" s="1"/>
  <c r="F70" i="1"/>
  <c r="E70" i="1"/>
  <c r="D70" i="1"/>
  <c r="L69" i="1"/>
  <c r="K69" i="1"/>
  <c r="J69" i="1"/>
  <c r="I69" i="1"/>
  <c r="H69" i="1"/>
  <c r="G69" i="1"/>
  <c r="F69" i="1"/>
  <c r="E69" i="1"/>
  <c r="D69" i="1"/>
  <c r="M69" i="1" s="1"/>
  <c r="P69" i="1" s="1"/>
  <c r="L68" i="1"/>
  <c r="K68" i="1"/>
  <c r="I68" i="1"/>
  <c r="H68" i="1"/>
  <c r="G68" i="1"/>
  <c r="J68" i="1" s="1"/>
  <c r="F68" i="1"/>
  <c r="E68" i="1"/>
  <c r="D68" i="1"/>
  <c r="L67" i="1"/>
  <c r="K67" i="1"/>
  <c r="J67" i="1"/>
  <c r="I67" i="1"/>
  <c r="H67" i="1"/>
  <c r="G67" i="1"/>
  <c r="F67" i="1"/>
  <c r="E67" i="1"/>
  <c r="D67" i="1"/>
  <c r="M67" i="1" s="1"/>
  <c r="P67" i="1" s="1"/>
  <c r="L66" i="1"/>
  <c r="K66" i="1"/>
  <c r="I66" i="1"/>
  <c r="H66" i="1"/>
  <c r="G66" i="1"/>
  <c r="J66" i="1" s="1"/>
  <c r="F66" i="1"/>
  <c r="E66" i="1"/>
  <c r="D66" i="1"/>
  <c r="L65" i="1"/>
  <c r="K65" i="1"/>
  <c r="I65" i="1"/>
  <c r="H65" i="1"/>
  <c r="J65" i="1" s="1"/>
  <c r="G65" i="1"/>
  <c r="F65" i="1"/>
  <c r="E65" i="1"/>
  <c r="D65" i="1"/>
  <c r="M65" i="1" s="1"/>
  <c r="P65" i="1" s="1"/>
  <c r="L64" i="1"/>
  <c r="K64" i="1"/>
  <c r="I64" i="1"/>
  <c r="H64" i="1"/>
  <c r="G64" i="1"/>
  <c r="J64" i="1" s="1"/>
  <c r="F64" i="1"/>
  <c r="E64" i="1"/>
  <c r="D64" i="1"/>
  <c r="L63" i="1"/>
  <c r="K63" i="1"/>
  <c r="I63" i="1"/>
  <c r="H63" i="1"/>
  <c r="G63" i="1"/>
  <c r="J63" i="1" s="1"/>
  <c r="F63" i="1"/>
  <c r="E63" i="1"/>
  <c r="D63" i="1"/>
  <c r="K62" i="1"/>
  <c r="I62" i="1"/>
  <c r="H62" i="1"/>
  <c r="J62" i="1" s="1"/>
  <c r="G62" i="1"/>
  <c r="F62" i="1"/>
  <c r="E62" i="1"/>
  <c r="D62" i="1"/>
  <c r="L61" i="1"/>
  <c r="K61" i="1"/>
  <c r="I61" i="1"/>
  <c r="H61" i="1"/>
  <c r="G61" i="1"/>
  <c r="J61" i="1" s="1"/>
  <c r="F61" i="1"/>
  <c r="E61" i="1"/>
  <c r="D61" i="1"/>
  <c r="L60" i="1"/>
  <c r="K60" i="1"/>
  <c r="I60" i="1"/>
  <c r="H60" i="1"/>
  <c r="G60" i="1"/>
  <c r="J60" i="1" s="1"/>
  <c r="F60" i="1"/>
  <c r="E60" i="1"/>
  <c r="D60" i="1"/>
  <c r="L59" i="1"/>
  <c r="K59" i="1"/>
  <c r="I59" i="1"/>
  <c r="H59" i="1"/>
  <c r="G59" i="1"/>
  <c r="J59" i="1" s="1"/>
  <c r="F59" i="1"/>
  <c r="E59" i="1"/>
  <c r="D59" i="1"/>
  <c r="L58" i="1"/>
  <c r="K58" i="1"/>
  <c r="J58" i="1"/>
  <c r="I58" i="1"/>
  <c r="H58" i="1"/>
  <c r="G58" i="1"/>
  <c r="F58" i="1"/>
  <c r="E58" i="1"/>
  <c r="D58" i="1"/>
  <c r="M58" i="1" s="1"/>
  <c r="P58" i="1" s="1"/>
  <c r="L57" i="1"/>
  <c r="K57" i="1"/>
  <c r="I57" i="1"/>
  <c r="H57" i="1"/>
  <c r="G57" i="1"/>
  <c r="J57" i="1" s="1"/>
  <c r="F57" i="1"/>
  <c r="E57" i="1"/>
  <c r="D57" i="1"/>
  <c r="L56" i="1"/>
  <c r="K56" i="1"/>
  <c r="J56" i="1"/>
  <c r="I56" i="1"/>
  <c r="H56" i="1"/>
  <c r="G56" i="1"/>
  <c r="F56" i="1"/>
  <c r="E56" i="1"/>
  <c r="D56" i="1"/>
  <c r="M56" i="1" s="1"/>
  <c r="P56" i="1" s="1"/>
  <c r="L55" i="1"/>
  <c r="K55" i="1"/>
  <c r="I55" i="1"/>
  <c r="H55" i="1"/>
  <c r="G55" i="1"/>
  <c r="J55" i="1" s="1"/>
  <c r="F55" i="1"/>
  <c r="E55" i="1"/>
  <c r="M55" i="1" s="1"/>
  <c r="P55" i="1" s="1"/>
  <c r="D55" i="1"/>
  <c r="L54" i="1"/>
  <c r="K54" i="1"/>
  <c r="I54" i="1"/>
  <c r="H54" i="1"/>
  <c r="G54" i="1"/>
  <c r="J54" i="1" s="1"/>
  <c r="F54" i="1"/>
  <c r="E54" i="1"/>
  <c r="D54" i="1"/>
  <c r="M54" i="1" s="1"/>
  <c r="P54" i="1" s="1"/>
  <c r="L53" i="1"/>
  <c r="K53" i="1"/>
  <c r="I53" i="1"/>
  <c r="H53" i="1"/>
  <c r="G53" i="1"/>
  <c r="J53" i="1" s="1"/>
  <c r="F53" i="1"/>
  <c r="E53" i="1"/>
  <c r="D53" i="1"/>
  <c r="M53" i="1" s="1"/>
  <c r="P53" i="1" s="1"/>
  <c r="L52" i="1"/>
  <c r="K52" i="1"/>
  <c r="I52" i="1"/>
  <c r="H52" i="1"/>
  <c r="G52" i="1"/>
  <c r="J52" i="1" s="1"/>
  <c r="F52" i="1"/>
  <c r="E52" i="1"/>
  <c r="D52" i="1"/>
  <c r="M52" i="1" s="1"/>
  <c r="P52" i="1" s="1"/>
  <c r="L51" i="1"/>
  <c r="K51" i="1"/>
  <c r="I51" i="1"/>
  <c r="H51" i="1"/>
  <c r="G51" i="1"/>
  <c r="J51" i="1" s="1"/>
  <c r="F51" i="1"/>
  <c r="E51" i="1"/>
  <c r="D51" i="1"/>
  <c r="M51" i="1" s="1"/>
  <c r="P51" i="1" s="1"/>
  <c r="L50" i="1"/>
  <c r="K50" i="1"/>
  <c r="J50" i="1"/>
  <c r="I50" i="1"/>
  <c r="H50" i="1"/>
  <c r="G50" i="1"/>
  <c r="F50" i="1"/>
  <c r="E50" i="1"/>
  <c r="D50" i="1"/>
  <c r="M50" i="1" s="1"/>
  <c r="P50" i="1" s="1"/>
  <c r="L49" i="1"/>
  <c r="K49" i="1"/>
  <c r="I49" i="1"/>
  <c r="H49" i="1"/>
  <c r="G49" i="1"/>
  <c r="J49" i="1" s="1"/>
  <c r="F49" i="1"/>
  <c r="E49" i="1"/>
  <c r="M49" i="1" s="1"/>
  <c r="P49" i="1" s="1"/>
  <c r="D49" i="1"/>
  <c r="L48" i="1"/>
  <c r="K48" i="1"/>
  <c r="J48" i="1"/>
  <c r="I48" i="1"/>
  <c r="H48" i="1"/>
  <c r="G48" i="1"/>
  <c r="F48" i="1"/>
  <c r="E48" i="1"/>
  <c r="D48" i="1"/>
  <c r="M48" i="1" s="1"/>
  <c r="P48" i="1" s="1"/>
  <c r="L47" i="1"/>
  <c r="K47" i="1"/>
  <c r="I47" i="1"/>
  <c r="H47" i="1"/>
  <c r="G47" i="1"/>
  <c r="J47" i="1" s="1"/>
  <c r="F47" i="1"/>
  <c r="E47" i="1"/>
  <c r="D47" i="1"/>
  <c r="L46" i="1"/>
  <c r="K46" i="1"/>
  <c r="I46" i="1"/>
  <c r="H46" i="1"/>
  <c r="G46" i="1"/>
  <c r="J46" i="1" s="1"/>
  <c r="F46" i="1"/>
  <c r="E46" i="1"/>
  <c r="D46" i="1"/>
  <c r="L45" i="1"/>
  <c r="K45" i="1"/>
  <c r="I45" i="1"/>
  <c r="J45" i="1" s="1"/>
  <c r="H45" i="1"/>
  <c r="G45" i="1"/>
  <c r="F45" i="1"/>
  <c r="E45" i="1"/>
  <c r="D45" i="1"/>
  <c r="M45" i="1" s="1"/>
  <c r="P45" i="1" s="1"/>
  <c r="L44" i="1"/>
  <c r="K44" i="1"/>
  <c r="I44" i="1"/>
  <c r="H44" i="1"/>
  <c r="G44" i="1"/>
  <c r="J44" i="1" s="1"/>
  <c r="F44" i="1"/>
  <c r="E44" i="1"/>
  <c r="D44" i="1"/>
  <c r="L43" i="1"/>
  <c r="K43" i="1"/>
  <c r="I43" i="1"/>
  <c r="H43" i="1"/>
  <c r="G43" i="1"/>
  <c r="J43" i="1" s="1"/>
  <c r="F43" i="1"/>
  <c r="E43" i="1"/>
  <c r="D43" i="1"/>
  <c r="L42" i="1"/>
  <c r="K42" i="1"/>
  <c r="J42" i="1"/>
  <c r="I42" i="1"/>
  <c r="H42" i="1"/>
  <c r="G42" i="1"/>
  <c r="F42" i="1"/>
  <c r="E42" i="1"/>
  <c r="D42" i="1"/>
  <c r="M42" i="1" s="1"/>
  <c r="P42" i="1" s="1"/>
  <c r="L41" i="1"/>
  <c r="K41" i="1"/>
  <c r="I41" i="1"/>
  <c r="H41" i="1"/>
  <c r="G41" i="1"/>
  <c r="J41" i="1" s="1"/>
  <c r="F41" i="1"/>
  <c r="E41" i="1"/>
  <c r="D41" i="1"/>
  <c r="L40" i="1"/>
  <c r="K40" i="1"/>
  <c r="J40" i="1"/>
  <c r="I40" i="1"/>
  <c r="H40" i="1"/>
  <c r="G40" i="1"/>
  <c r="F40" i="1"/>
  <c r="E40" i="1"/>
  <c r="D40" i="1"/>
  <c r="M40" i="1" s="1"/>
  <c r="P40" i="1" s="1"/>
  <c r="L39" i="1"/>
  <c r="K39" i="1"/>
  <c r="I39" i="1"/>
  <c r="H39" i="1"/>
  <c r="G39" i="1"/>
  <c r="J39" i="1" s="1"/>
  <c r="F39" i="1"/>
  <c r="E39" i="1"/>
  <c r="M39" i="1" s="1"/>
  <c r="P39" i="1" s="1"/>
  <c r="D39" i="1"/>
  <c r="L38" i="1"/>
  <c r="K38" i="1"/>
  <c r="I38" i="1"/>
  <c r="H38" i="1"/>
  <c r="G38" i="1"/>
  <c r="J38" i="1" s="1"/>
  <c r="F38" i="1"/>
  <c r="E38" i="1"/>
  <c r="D38" i="1"/>
  <c r="M38" i="1" s="1"/>
  <c r="P38" i="1" s="1"/>
  <c r="L37" i="1"/>
  <c r="K37" i="1"/>
  <c r="I37" i="1"/>
  <c r="H37" i="1"/>
  <c r="G37" i="1"/>
  <c r="J37" i="1" s="1"/>
  <c r="F37" i="1"/>
  <c r="E37" i="1"/>
  <c r="D37" i="1"/>
  <c r="M37" i="1" s="1"/>
  <c r="P37" i="1" s="1"/>
  <c r="L36" i="1"/>
  <c r="K36" i="1"/>
  <c r="I36" i="1"/>
  <c r="H36" i="1"/>
  <c r="G36" i="1"/>
  <c r="J36" i="1" s="1"/>
  <c r="F36" i="1"/>
  <c r="E36" i="1"/>
  <c r="D36" i="1"/>
  <c r="M36" i="1" s="1"/>
  <c r="P36" i="1" s="1"/>
  <c r="L35" i="1"/>
  <c r="K35" i="1"/>
  <c r="I35" i="1"/>
  <c r="H35" i="1"/>
  <c r="G35" i="1"/>
  <c r="J35" i="1" s="1"/>
  <c r="F35" i="1"/>
  <c r="E35" i="1"/>
  <c r="D35" i="1"/>
  <c r="M35" i="1" s="1"/>
  <c r="P35" i="1" s="1"/>
  <c r="L34" i="1"/>
  <c r="K34" i="1"/>
  <c r="I34" i="1"/>
  <c r="H34" i="1"/>
  <c r="G34" i="1"/>
  <c r="J34" i="1" s="1"/>
  <c r="F34" i="1"/>
  <c r="E34" i="1"/>
  <c r="D34" i="1"/>
  <c r="M34" i="1" s="1"/>
  <c r="P34" i="1" s="1"/>
  <c r="L33" i="1"/>
  <c r="K33" i="1"/>
  <c r="I33" i="1"/>
  <c r="H33" i="1"/>
  <c r="G33" i="1"/>
  <c r="J33" i="1" s="1"/>
  <c r="F33" i="1"/>
  <c r="E33" i="1"/>
  <c r="D33" i="1"/>
  <c r="M33" i="1" s="1"/>
  <c r="P33" i="1" s="1"/>
  <c r="L32" i="1"/>
  <c r="K32" i="1"/>
  <c r="J32" i="1"/>
  <c r="I32" i="1"/>
  <c r="H32" i="1"/>
  <c r="G32" i="1"/>
  <c r="F32" i="1"/>
  <c r="E32" i="1"/>
  <c r="D32" i="1"/>
  <c r="M32" i="1" s="1"/>
  <c r="P32" i="1" s="1"/>
  <c r="L31" i="1"/>
  <c r="K31" i="1"/>
  <c r="I31" i="1"/>
  <c r="H31" i="1"/>
  <c r="G31" i="1"/>
  <c r="J31" i="1" s="1"/>
  <c r="F31" i="1"/>
  <c r="E31" i="1"/>
  <c r="M31" i="1" s="1"/>
  <c r="P31" i="1" s="1"/>
  <c r="D31" i="1"/>
  <c r="L30" i="1"/>
  <c r="K30" i="1"/>
  <c r="I30" i="1"/>
  <c r="H30" i="1"/>
  <c r="G30" i="1"/>
  <c r="J30" i="1" s="1"/>
  <c r="F30" i="1"/>
  <c r="E30" i="1"/>
  <c r="D30" i="1"/>
  <c r="L29" i="1"/>
  <c r="K29" i="1"/>
  <c r="I29" i="1"/>
  <c r="H29" i="1"/>
  <c r="G29" i="1"/>
  <c r="J29" i="1" s="1"/>
  <c r="F29" i="1"/>
  <c r="E29" i="1"/>
  <c r="D29" i="1"/>
  <c r="L28" i="1"/>
  <c r="K28" i="1"/>
  <c r="I28" i="1"/>
  <c r="H28" i="1"/>
  <c r="G28" i="1"/>
  <c r="J28" i="1" s="1"/>
  <c r="F28" i="1"/>
  <c r="E28" i="1"/>
  <c r="D28" i="1"/>
  <c r="L27" i="1"/>
  <c r="K27" i="1"/>
  <c r="I27" i="1"/>
  <c r="J27" i="1" s="1"/>
  <c r="H27" i="1"/>
  <c r="G27" i="1"/>
  <c r="F27" i="1"/>
  <c r="E27" i="1"/>
  <c r="D27" i="1"/>
  <c r="L26" i="1"/>
  <c r="K26" i="1"/>
  <c r="I26" i="1"/>
  <c r="H26" i="1"/>
  <c r="G26" i="1"/>
  <c r="J26" i="1" s="1"/>
  <c r="F26" i="1"/>
  <c r="E26" i="1"/>
  <c r="D26" i="1"/>
  <c r="L25" i="1"/>
  <c r="K25" i="1"/>
  <c r="I25" i="1"/>
  <c r="H25" i="1"/>
  <c r="G25" i="1"/>
  <c r="J25" i="1" s="1"/>
  <c r="F25" i="1"/>
  <c r="E25" i="1"/>
  <c r="D25" i="1"/>
  <c r="L24" i="1"/>
  <c r="K24" i="1"/>
  <c r="J24" i="1"/>
  <c r="I24" i="1"/>
  <c r="H24" i="1"/>
  <c r="G24" i="1"/>
  <c r="F24" i="1"/>
  <c r="E24" i="1"/>
  <c r="D24" i="1"/>
  <c r="M24" i="1" s="1"/>
  <c r="P24" i="1" s="1"/>
  <c r="L23" i="1"/>
  <c r="K23" i="1"/>
  <c r="J23" i="1"/>
  <c r="I23" i="1"/>
  <c r="H23" i="1"/>
  <c r="G23" i="1"/>
  <c r="F23" i="1"/>
  <c r="E23" i="1"/>
  <c r="M23" i="1" s="1"/>
  <c r="P23" i="1" s="1"/>
  <c r="D23" i="1"/>
  <c r="L22" i="1"/>
  <c r="K22" i="1"/>
  <c r="I22" i="1"/>
  <c r="H22" i="1"/>
  <c r="G22" i="1"/>
  <c r="J22" i="1" s="1"/>
  <c r="F22" i="1"/>
  <c r="E22" i="1"/>
  <c r="D22" i="1"/>
  <c r="L21" i="1"/>
  <c r="K21" i="1"/>
  <c r="I21" i="1"/>
  <c r="H21" i="1"/>
  <c r="G21" i="1"/>
  <c r="J21" i="1" s="1"/>
  <c r="F21" i="1"/>
  <c r="E21" i="1"/>
  <c r="D21" i="1"/>
  <c r="L20" i="1"/>
  <c r="K20" i="1"/>
  <c r="I20" i="1"/>
  <c r="H20" i="1"/>
  <c r="G20" i="1"/>
  <c r="J20" i="1" s="1"/>
  <c r="F20" i="1"/>
  <c r="E20" i="1"/>
  <c r="D20" i="1"/>
  <c r="L19" i="1"/>
  <c r="K19" i="1"/>
  <c r="I19" i="1"/>
  <c r="H19" i="1"/>
  <c r="G19" i="1"/>
  <c r="J19" i="1" s="1"/>
  <c r="F19" i="1"/>
  <c r="E19" i="1"/>
  <c r="D19" i="1"/>
  <c r="L18" i="1"/>
  <c r="K18" i="1"/>
  <c r="I18" i="1"/>
  <c r="J18" i="1" s="1"/>
  <c r="H18" i="1"/>
  <c r="G18" i="1"/>
  <c r="F18" i="1"/>
  <c r="E18" i="1"/>
  <c r="D18" i="1"/>
  <c r="M18" i="1" s="1"/>
  <c r="P18" i="1" s="1"/>
  <c r="L17" i="1"/>
  <c r="K17" i="1"/>
  <c r="I17" i="1"/>
  <c r="H17" i="1"/>
  <c r="G17" i="1"/>
  <c r="J17" i="1" s="1"/>
  <c r="F17" i="1"/>
  <c r="E17" i="1"/>
  <c r="D17" i="1"/>
  <c r="L16" i="1"/>
  <c r="K16" i="1"/>
  <c r="J16" i="1"/>
  <c r="I16" i="1"/>
  <c r="H16" i="1"/>
  <c r="G16" i="1"/>
  <c r="F16" i="1"/>
  <c r="E16" i="1"/>
  <c r="D16" i="1"/>
  <c r="M16" i="1" s="1"/>
  <c r="P16" i="1" s="1"/>
  <c r="L15" i="1"/>
  <c r="K15" i="1"/>
  <c r="J15" i="1"/>
  <c r="I15" i="1"/>
  <c r="H15" i="1"/>
  <c r="G15" i="1"/>
  <c r="F15" i="1"/>
  <c r="E15" i="1"/>
  <c r="M15" i="1" s="1"/>
  <c r="P15" i="1" s="1"/>
  <c r="D15" i="1"/>
  <c r="L14" i="1"/>
  <c r="K14" i="1"/>
  <c r="I14" i="1"/>
  <c r="H14" i="1"/>
  <c r="G14" i="1"/>
  <c r="J14" i="1" s="1"/>
  <c r="F14" i="1"/>
  <c r="E14" i="1"/>
  <c r="M14" i="1" s="1"/>
  <c r="P14" i="1" s="1"/>
  <c r="D14" i="1"/>
  <c r="L13" i="1"/>
  <c r="K13" i="1"/>
  <c r="I13" i="1"/>
  <c r="H13" i="1"/>
  <c r="J13" i="1" s="1"/>
  <c r="G13" i="1"/>
  <c r="F13" i="1"/>
  <c r="E13" i="1"/>
  <c r="D13" i="1"/>
  <c r="L12" i="1"/>
  <c r="K12" i="1"/>
  <c r="I12" i="1"/>
  <c r="H12" i="1"/>
  <c r="G12" i="1"/>
  <c r="J12" i="1" s="1"/>
  <c r="F12" i="1"/>
  <c r="E12" i="1"/>
  <c r="D12" i="1"/>
  <c r="L11" i="1"/>
  <c r="K11" i="1"/>
  <c r="I11" i="1"/>
  <c r="H11" i="1"/>
  <c r="G11" i="1"/>
  <c r="J11" i="1" s="1"/>
  <c r="F11" i="1"/>
  <c r="E11" i="1"/>
  <c r="D11" i="1"/>
  <c r="L10" i="1"/>
  <c r="K10" i="1"/>
  <c r="I10" i="1"/>
  <c r="J10" i="1" s="1"/>
  <c r="H10" i="1"/>
  <c r="G10" i="1"/>
  <c r="F10" i="1"/>
  <c r="E10" i="1"/>
  <c r="D10" i="1"/>
  <c r="L9" i="1"/>
  <c r="K9" i="1"/>
  <c r="I9" i="1"/>
  <c r="H9" i="1"/>
  <c r="G9" i="1"/>
  <c r="J9" i="1" s="1"/>
  <c r="F9" i="1"/>
  <c r="E9" i="1"/>
  <c r="D9" i="1"/>
  <c r="L8" i="1"/>
  <c r="K8" i="1"/>
  <c r="J8" i="1"/>
  <c r="I8" i="1"/>
  <c r="H8" i="1"/>
  <c r="G8" i="1"/>
  <c r="F8" i="1"/>
  <c r="E8" i="1"/>
  <c r="D8" i="1"/>
  <c r="M8" i="1" s="1"/>
  <c r="P8" i="1" s="1"/>
  <c r="L7" i="1"/>
  <c r="K7" i="1"/>
  <c r="J7" i="1"/>
  <c r="I7" i="1"/>
  <c r="H7" i="1"/>
  <c r="G7" i="1"/>
  <c r="F7" i="1"/>
  <c r="E7" i="1"/>
  <c r="M7" i="1" s="1"/>
  <c r="P7" i="1" s="1"/>
  <c r="D7" i="1"/>
  <c r="L6" i="1"/>
  <c r="K6" i="1"/>
  <c r="I6" i="1"/>
  <c r="H6" i="1"/>
  <c r="G6" i="1"/>
  <c r="J6" i="1" s="1"/>
  <c r="F6" i="1"/>
  <c r="E6" i="1"/>
  <c r="D6" i="1"/>
  <c r="L5" i="1"/>
  <c r="K5" i="1"/>
  <c r="I5" i="1"/>
  <c r="H5" i="1"/>
  <c r="J5" i="1" s="1"/>
  <c r="G5" i="1"/>
  <c r="F5" i="1"/>
  <c r="E5" i="1"/>
  <c r="D5" i="1"/>
  <c r="L4" i="1"/>
  <c r="K4" i="1"/>
  <c r="I4" i="1"/>
  <c r="H4" i="1"/>
  <c r="G4" i="1"/>
  <c r="J4" i="1" s="1"/>
  <c r="F4" i="1"/>
  <c r="E4" i="1"/>
  <c r="D4" i="1"/>
  <c r="L3" i="1"/>
  <c r="K3" i="1"/>
  <c r="I3" i="1"/>
  <c r="H3" i="1"/>
  <c r="G3" i="1"/>
  <c r="J3" i="1" s="1"/>
  <c r="F3" i="1"/>
  <c r="E3" i="1"/>
  <c r="D3" i="1"/>
  <c r="M95" i="1" l="1"/>
  <c r="P95" i="1" s="1"/>
  <c r="M17" i="1"/>
  <c r="P17" i="1" s="1"/>
  <c r="M19" i="1"/>
  <c r="P19" i="1" s="1"/>
  <c r="M20" i="1"/>
  <c r="P20" i="1" s="1"/>
  <c r="M21" i="1"/>
  <c r="P21" i="1" s="1"/>
  <c r="M63" i="1"/>
  <c r="P63" i="1" s="1"/>
  <c r="M64" i="1"/>
  <c r="P64" i="1" s="1"/>
  <c r="M94" i="1"/>
  <c r="P94" i="1" s="1"/>
  <c r="M22" i="1"/>
  <c r="P22" i="1" s="1"/>
  <c r="M57" i="1"/>
  <c r="P57" i="1" s="1"/>
  <c r="M59" i="1"/>
  <c r="P59" i="1" s="1"/>
  <c r="M60" i="1"/>
  <c r="P60" i="1" s="1"/>
  <c r="M61" i="1"/>
  <c r="P61" i="1" s="1"/>
  <c r="M62" i="1"/>
  <c r="P62" i="1" s="1"/>
  <c r="M66" i="1"/>
  <c r="P66" i="1" s="1"/>
  <c r="M68" i="1"/>
  <c r="P68" i="1" s="1"/>
  <c r="M93" i="1"/>
  <c r="P93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70" i="1"/>
  <c r="P70" i="1" s="1"/>
  <c r="M71" i="1"/>
  <c r="P71" i="1" s="1"/>
  <c r="M72" i="1"/>
  <c r="P72" i="1" s="1"/>
  <c r="M73" i="1"/>
  <c r="P73" i="1" s="1"/>
  <c r="M92" i="1"/>
  <c r="P92" i="1" s="1"/>
  <c r="M3" i="1"/>
  <c r="P3" i="1" s="1"/>
  <c r="M5" i="1"/>
  <c r="P5" i="1" s="1"/>
  <c r="M41" i="1"/>
  <c r="P41" i="1" s="1"/>
  <c r="M78" i="1"/>
  <c r="P78" i="1" s="1"/>
  <c r="M79" i="1"/>
  <c r="P79" i="1" s="1"/>
  <c r="M80" i="1"/>
  <c r="P80" i="1" s="1"/>
  <c r="M81" i="1"/>
  <c r="P81" i="1" s="1"/>
  <c r="M90" i="1"/>
  <c r="P90" i="1" s="1"/>
  <c r="M98" i="1"/>
  <c r="P98" i="1" s="1"/>
  <c r="M113" i="1"/>
  <c r="P113" i="1" s="1"/>
  <c r="M114" i="1"/>
  <c r="P114" i="1" s="1"/>
  <c r="M115" i="1"/>
  <c r="P115" i="1" s="1"/>
  <c r="M116" i="1"/>
  <c r="P116" i="1" s="1"/>
  <c r="M117" i="1"/>
  <c r="P117" i="1" s="1"/>
  <c r="M118" i="1"/>
  <c r="P118" i="1" s="1"/>
  <c r="M4" i="1"/>
  <c r="P4" i="1" s="1"/>
  <c r="M6" i="1"/>
  <c r="P6" i="1" s="1"/>
  <c r="M43" i="1"/>
  <c r="P43" i="1" s="1"/>
  <c r="M44" i="1"/>
  <c r="P44" i="1" s="1"/>
  <c r="M46" i="1"/>
  <c r="P46" i="1" s="1"/>
  <c r="M82" i="1"/>
  <c r="P82" i="1" s="1"/>
  <c r="M84" i="1"/>
  <c r="P84" i="1" s="1"/>
  <c r="M85" i="1"/>
  <c r="P85" i="1" s="1"/>
  <c r="M86" i="1"/>
  <c r="P86" i="1" s="1"/>
  <c r="M87" i="1"/>
  <c r="P87" i="1" s="1"/>
  <c r="M88" i="1"/>
  <c r="P88" i="1" s="1"/>
  <c r="M89" i="1"/>
  <c r="M97" i="1"/>
  <c r="P97" i="1" s="1"/>
  <c r="M119" i="1"/>
  <c r="P119" i="1" s="1"/>
  <c r="M121" i="1"/>
  <c r="P121" i="1" s="1"/>
  <c r="M122" i="1"/>
  <c r="P122" i="1" s="1"/>
  <c r="M123" i="1"/>
  <c r="P123" i="1" s="1"/>
  <c r="M124" i="1"/>
  <c r="P124" i="1" s="1"/>
  <c r="M125" i="1"/>
  <c r="P125" i="1" s="1"/>
  <c r="M9" i="1"/>
  <c r="P9" i="1" s="1"/>
  <c r="M10" i="1"/>
  <c r="P10" i="1" s="1"/>
  <c r="M11" i="1"/>
  <c r="P11" i="1" s="1"/>
  <c r="M12" i="1"/>
  <c r="P12" i="1" s="1"/>
  <c r="M13" i="1"/>
  <c r="P13" i="1" s="1"/>
  <c r="M47" i="1"/>
  <c r="P47" i="1" s="1"/>
  <c r="M96" i="1"/>
  <c r="P96" i="1" s="1"/>
  <c r="J100" i="1"/>
  <c r="M100" i="1" s="1"/>
  <c r="D126" i="1"/>
  <c r="M126" i="1" l="1"/>
  <c r="P126" i="1" s="1"/>
  <c r="P100" i="1"/>
</calcChain>
</file>

<file path=xl/sharedStrings.xml><?xml version="1.0" encoding="utf-8"?>
<sst xmlns="http://schemas.openxmlformats.org/spreadsheetml/2006/main" count="145" uniqueCount="144">
  <si>
    <t>NO</t>
  </si>
  <si>
    <t>รหัสสินค้า</t>
  </si>
  <si>
    <t>สินค้า</t>
  </si>
  <si>
    <t>ปณ</t>
  </si>
  <si>
    <t>Shopee</t>
  </si>
  <si>
    <t>Lazada</t>
  </si>
  <si>
    <t>Tiktok 1</t>
  </si>
  <si>
    <t>Tiktok 2</t>
  </si>
  <si>
    <t>Tiktok 3</t>
  </si>
  <si>
    <t>Total Tiktok</t>
  </si>
  <si>
    <t>Choice</t>
  </si>
  <si>
    <t>ยอดเส้น</t>
  </si>
  <si>
    <t>ยอดรวมผลิต จำนวน (กล่อง)</t>
  </si>
  <si>
    <t>ยอดฟอแคส</t>
  </si>
  <si>
    <t>ยอดสต็อก</t>
  </si>
  <si>
    <t>รวม</t>
  </si>
  <si>
    <t>ชิฟฟอนรวมรส 8 ชิ้น</t>
  </si>
  <si>
    <t>ชิฟฟอนแบบกล่องสุ่มอะไรก็ได้ที่มี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</si>
  <si>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</si>
  <si>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</si>
  <si>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</si>
  <si>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</si>
  <si>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</si>
  <si>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</si>
  <si>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</si>
  <si>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</si>
  <si>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</si>
  <si>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</si>
  <si>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</si>
  <si>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</si>
  <si>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</si>
  <si>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</si>
  <si>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</si>
  <si>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</si>
  <si>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</si>
  <si>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</si>
  <si>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</si>
  <si>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</si>
  <si>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</si>
  <si>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</si>
  <si>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</si>
  <si>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</si>
  <si>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</si>
  <si>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</si>
  <si>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</si>
  <si>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</si>
  <si>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</si>
  <si>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</si>
  <si>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</si>
  <si>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</si>
  <si>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</si>
  <si>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</si>
  <si>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</si>
  <si>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</si>
  <si>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</si>
  <si>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</si>
  <si>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</si>
  <si>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</si>
  <si>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</si>
  <si>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</si>
  <si>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</si>
  <si>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</si>
  <si>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</si>
  <si>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</si>
  <si>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</si>
  <si>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</si>
  <si>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</si>
  <si>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</si>
  <si>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</si>
  <si>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</si>
  <si>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</si>
  <si>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</si>
  <si>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</si>
  <si>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</si>
  <si>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</si>
  <si>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</si>
  <si>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</si>
  <si>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</si>
  <si>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</si>
  <si>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</si>
  <si>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</si>
  <si>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</si>
  <si>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</si>
  <si>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</si>
  <si>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</si>
  <si>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</si>
  <si>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</si>
  <si>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</si>
  <si>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</si>
  <si>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</si>
  <si>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</si>
  <si>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</si>
  <si>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</si>
  <si>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เค้กเบาหวิว รสมะพร้าว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</si>
  <si>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</si>
  <si>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</si>
  <si>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</si>
  <si>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</si>
  <si>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</si>
  <si>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รสตาลหอม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</si>
  <si>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</si>
  <si>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</si>
  <si>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เบาหวิว คละรส 110 กรัม</t>
  </si>
  <si>
    <t>เค้กเบาหวิว รสมะพร้าว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</si>
  <si>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</si>
  <si>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</si>
  <si>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</si>
  <si>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</si>
  <si>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</si>
  <si>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</si>
  <si>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</si>
  <si>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</si>
  <si>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300 กรัม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</si>
  <si>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</si>
  <si>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</si>
  <si>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</si>
  <si>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</si>
  <si>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</si>
  <si>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</si>
  <si>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</si>
  <si>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</si>
  <si>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</si>
  <si>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</si>
  <si>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</si>
  <si>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</si>
  <si>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</si>
  <si>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</si>
  <si>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</si>
  <si>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</si>
  <si>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</si>
  <si>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</si>
  <si>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</si>
  <si>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</si>
  <si>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</si>
  <si>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</si>
  <si>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</si>
  <si>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กล่องทาร์ตสับปะรด</t>
  </si>
  <si>
    <t>กล่องเบาหวิว ล</t>
  </si>
  <si>
    <t>กล่องเปี๊ยะ ล</t>
  </si>
  <si>
    <t>Total</t>
  </si>
  <si>
    <t>….....................................................................................</t>
  </si>
  <si>
    <t>ผู้จัดทำ</t>
  </si>
  <si>
    <t>ผู้รับทราบ</t>
  </si>
  <si>
    <t>ยอดจริง ออนไลน์ วันที่ 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</si>
</sst>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b/>
      <sz val="18"/>
      <color rgb="FFFF0000"/>
      <name val="Angsana New"/>
      <family val="1"/>
    </font>
    <font>
      <sz val="16"/>
      <name val="Angsana New"/>
      <family val="1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sz val="16"/>
      <color rgb="FFFF0000"/>
      <name val="Angsana New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0" borderId="1" xfId="0" applyNumberFormat="1" applyFont="1" applyBorder="1" applyAlignment="1">
      <alignment vertical="center"/>
    </xf>
    <xf numFmtId="0" fontId="2" fillId="0" borderId="0" xfId="0" applyFont="1"/>
    <xf numFmtId="1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87" fontId="6" fillId="12" borderId="2" xfId="0" applyNumberFormat="1" applyFont="1" applyFill="1" applyBorder="1" applyAlignment="1">
      <alignment horizontal="center" vertical="center"/>
    </xf>
    <xf numFmtId="187" fontId="7" fillId="7" borderId="2" xfId="0" applyNumberFormat="1" applyFont="1" applyFill="1" applyBorder="1" applyAlignment="1">
      <alignment horizontal="center" vertical="center"/>
    </xf>
    <xf numFmtId="187" fontId="8" fillId="10" borderId="3" xfId="0" applyNumberFormat="1" applyFont="1" applyFill="1" applyBorder="1" applyAlignment="1">
      <alignment horizontal="center" vertical="center"/>
    </xf>
    <xf numFmtId="187" fontId="9" fillId="11" borderId="2" xfId="0" applyNumberFormat="1" applyFont="1" applyFill="1" applyBorder="1" applyAlignment="1">
      <alignment horizontal="center" vertical="center"/>
    </xf>
    <xf numFmtId="187" fontId="2" fillId="0" borderId="0" xfId="0" applyNumberFormat="1" applyFont="1"/>
    <xf numFmtId="187" fontId="6" fillId="12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12" borderId="2" xfId="0" applyFont="1" applyFill="1" applyBorder="1" applyAlignment="1">
      <alignment horizontal="center" vertical="center"/>
    </xf>
    <xf numFmtId="187" fontId="6" fillId="12" borderId="7" xfId="0" applyNumberFormat="1" applyFont="1" applyFill="1" applyBorder="1" applyAlignment="1">
      <alignment horizontal="center" vertical="center"/>
    </xf>
    <xf numFmtId="187" fontId="7" fillId="7" borderId="7" xfId="0" applyNumberFormat="1" applyFont="1" applyFill="1" applyBorder="1" applyAlignment="1">
      <alignment horizontal="center" vertical="center"/>
    </xf>
    <xf numFmtId="187" fontId="8" fillId="10" borderId="6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87" fontId="9" fillId="11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87" fontId="5" fillId="13" borderId="8" xfId="0" applyNumberFormat="1" applyFont="1" applyFill="1" applyBorder="1" applyAlignment="1">
      <alignment horizontal="center" vertical="center"/>
    </xf>
    <xf numFmtId="187" fontId="4" fillId="13" borderId="8" xfId="0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87" fontId="6" fillId="12" borderId="0" xfId="0" applyNumberFormat="1" applyFont="1" applyFill="1" applyAlignment="1">
      <alignment horizontal="center" vertical="center"/>
    </xf>
    <xf numFmtId="187" fontId="6" fillId="0" borderId="0" xfId="0" applyNumberFormat="1" applyFont="1" applyAlignment="1">
      <alignment horizontal="center" vertical="center"/>
    </xf>
    <xf numFmtId="18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-1-68.xlsx" TargetMode="External"/><Relationship Id="rId1" Type="http://schemas.openxmlformats.org/officeDocument/2006/relationships/externalLinkPath" Target="&#3611;&#3637;%2068/1.&#3617;.&#3588;/&#3626;&#3619;&#3640;&#3611;&#3618;&#3629;&#3604;&#3592;&#3619;&#3636;&#3591;%202-1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E7">
            <v>168</v>
          </cell>
          <cell r="F7">
            <v>27</v>
          </cell>
          <cell r="G7">
            <v>5</v>
          </cell>
          <cell r="H7">
            <v>17</v>
          </cell>
        </row>
        <row r="25">
          <cell r="E25">
            <v>15</v>
          </cell>
          <cell r="F25">
            <v>11</v>
          </cell>
          <cell r="G25">
            <v>1</v>
          </cell>
        </row>
        <row r="26">
          <cell r="E26">
            <v>22</v>
          </cell>
          <cell r="F26">
            <v>22</v>
          </cell>
          <cell r="G26">
            <v>296</v>
          </cell>
          <cell r="H26">
            <v>194</v>
          </cell>
        </row>
        <row r="40">
          <cell r="F40">
            <v>1</v>
          </cell>
        </row>
        <row r="42">
          <cell r="G42">
            <v>5</v>
          </cell>
        </row>
        <row r="50">
          <cell r="G50">
            <v>5</v>
          </cell>
        </row>
        <row r="56">
          <cell r="E56">
            <v>4</v>
          </cell>
          <cell r="F56">
            <v>4</v>
          </cell>
          <cell r="H56">
            <v>1</v>
          </cell>
        </row>
        <row r="57">
          <cell r="E57">
            <v>4</v>
          </cell>
          <cell r="F57">
            <v>4</v>
          </cell>
          <cell r="H57">
            <v>1</v>
          </cell>
        </row>
        <row r="58">
          <cell r="E58">
            <v>4</v>
          </cell>
          <cell r="F58">
            <v>3</v>
          </cell>
          <cell r="H58">
            <v>1</v>
          </cell>
        </row>
        <row r="59">
          <cell r="E59">
            <v>4</v>
          </cell>
          <cell r="F59">
            <v>4</v>
          </cell>
          <cell r="H59">
            <v>1</v>
          </cell>
        </row>
        <row r="60">
          <cell r="E60">
            <v>4</v>
          </cell>
          <cell r="F60">
            <v>3</v>
          </cell>
        </row>
        <row r="61">
          <cell r="E61">
            <v>4</v>
          </cell>
          <cell r="F61">
            <v>4</v>
          </cell>
        </row>
        <row r="62">
          <cell r="E62">
            <v>4</v>
          </cell>
          <cell r="F62">
            <v>4</v>
          </cell>
        </row>
        <row r="63">
          <cell r="E63">
            <v>4</v>
          </cell>
          <cell r="F63">
            <v>3</v>
          </cell>
        </row>
        <row r="64">
          <cell r="E64">
            <v>4</v>
          </cell>
          <cell r="F64">
            <v>3</v>
          </cell>
        </row>
        <row r="65">
          <cell r="E65">
            <v>4</v>
          </cell>
        </row>
        <row r="69">
          <cell r="E69">
            <v>4</v>
          </cell>
          <cell r="F69">
            <v>13</v>
          </cell>
          <cell r="G69">
            <v>4</v>
          </cell>
          <cell r="H69">
            <v>1</v>
          </cell>
        </row>
        <row r="87">
          <cell r="E87">
            <v>9</v>
          </cell>
          <cell r="G87">
            <v>279</v>
          </cell>
          <cell r="H87">
            <v>211</v>
          </cell>
        </row>
        <row r="90">
          <cell r="E90">
            <v>22</v>
          </cell>
          <cell r="F90">
            <v>24</v>
          </cell>
          <cell r="G90">
            <v>71</v>
          </cell>
          <cell r="H90">
            <v>60</v>
          </cell>
        </row>
        <row r="91">
          <cell r="E91">
            <v>24</v>
          </cell>
          <cell r="F91">
            <v>26</v>
          </cell>
          <cell r="G91">
            <v>71</v>
          </cell>
          <cell r="H91">
            <v>60</v>
          </cell>
        </row>
        <row r="92">
          <cell r="G92">
            <v>49</v>
          </cell>
          <cell r="H92">
            <v>50</v>
          </cell>
        </row>
        <row r="93">
          <cell r="G93">
            <v>27</v>
          </cell>
          <cell r="H93">
            <v>13</v>
          </cell>
        </row>
        <row r="96">
          <cell r="G96">
            <v>48</v>
          </cell>
          <cell r="H96">
            <v>49</v>
          </cell>
        </row>
        <row r="97">
          <cell r="G97">
            <v>48</v>
          </cell>
          <cell r="H97">
            <v>49</v>
          </cell>
        </row>
        <row r="98">
          <cell r="E98">
            <v>22</v>
          </cell>
          <cell r="F98">
            <v>26</v>
          </cell>
          <cell r="G98">
            <v>71</v>
          </cell>
          <cell r="H98">
            <v>59</v>
          </cell>
        </row>
        <row r="114">
          <cell r="G114">
            <v>9</v>
          </cell>
          <cell r="H114">
            <v>15</v>
          </cell>
        </row>
        <row r="115">
          <cell r="G115">
            <v>9</v>
          </cell>
          <cell r="H115">
            <v>10</v>
          </cell>
        </row>
        <row r="116">
          <cell r="G116">
            <v>10</v>
          </cell>
          <cell r="H116">
            <v>26</v>
          </cell>
        </row>
        <row r="118">
          <cell r="F118">
            <v>1</v>
          </cell>
        </row>
        <row r="119">
          <cell r="F119">
            <v>2</v>
          </cell>
        </row>
        <row r="120">
          <cell r="G120">
            <v>4</v>
          </cell>
          <cell r="H120">
            <v>5</v>
          </cell>
        </row>
        <row r="123">
          <cell r="E123">
            <v>2</v>
          </cell>
          <cell r="F123">
            <v>5</v>
          </cell>
          <cell r="G123">
            <v>28</v>
          </cell>
          <cell r="H123">
            <v>8</v>
          </cell>
        </row>
        <row r="124">
          <cell r="E124">
            <v>2</v>
          </cell>
          <cell r="F124">
            <v>4</v>
          </cell>
          <cell r="G124">
            <v>27</v>
          </cell>
          <cell r="H124">
            <v>7</v>
          </cell>
        </row>
        <row r="125">
          <cell r="E125">
            <v>4</v>
          </cell>
          <cell r="F125">
            <v>5</v>
          </cell>
          <cell r="G125">
            <v>27</v>
          </cell>
          <cell r="H125">
            <v>7</v>
          </cell>
        </row>
        <row r="126">
          <cell r="E126">
            <v>29</v>
          </cell>
          <cell r="F126">
            <v>48</v>
          </cell>
          <cell r="G126">
            <v>105</v>
          </cell>
          <cell r="H126">
            <v>127</v>
          </cell>
        </row>
        <row r="136">
          <cell r="E136">
            <v>4</v>
          </cell>
        </row>
      </sheetData>
      <sheetData sheetId="1">
        <row r="7">
          <cell r="D7">
            <v>38</v>
          </cell>
          <cell r="E7">
            <v>83</v>
          </cell>
          <cell r="F7">
            <v>30</v>
          </cell>
        </row>
        <row r="11">
          <cell r="D11">
            <v>20</v>
          </cell>
        </row>
        <row r="25">
          <cell r="D25">
            <v>8</v>
          </cell>
          <cell r="E25">
            <v>6</v>
          </cell>
          <cell r="F25">
            <v>8</v>
          </cell>
        </row>
        <row r="26">
          <cell r="D26">
            <v>15</v>
          </cell>
          <cell r="F26">
            <v>23</v>
          </cell>
          <cell r="G26">
            <v>128</v>
          </cell>
        </row>
        <row r="56">
          <cell r="E56">
            <v>6</v>
          </cell>
          <cell r="F56">
            <v>2</v>
          </cell>
        </row>
        <row r="57">
          <cell r="E57">
            <v>6</v>
          </cell>
          <cell r="F57">
            <v>2</v>
          </cell>
        </row>
        <row r="58">
          <cell r="E58">
            <v>6</v>
          </cell>
          <cell r="F58">
            <v>2</v>
          </cell>
        </row>
        <row r="59">
          <cell r="E59">
            <v>6</v>
          </cell>
          <cell r="F59">
            <v>2</v>
          </cell>
        </row>
        <row r="60">
          <cell r="E60">
            <v>6</v>
          </cell>
          <cell r="F60">
            <v>2</v>
          </cell>
        </row>
        <row r="61">
          <cell r="E61">
            <v>6</v>
          </cell>
          <cell r="F61">
            <v>2</v>
          </cell>
        </row>
        <row r="62">
          <cell r="E62">
            <v>6</v>
          </cell>
          <cell r="F62">
            <v>2</v>
          </cell>
        </row>
        <row r="63">
          <cell r="E63">
            <v>6</v>
          </cell>
          <cell r="F63">
            <v>2</v>
          </cell>
        </row>
        <row r="64">
          <cell r="E64">
            <v>6</v>
          </cell>
          <cell r="F64">
            <v>2</v>
          </cell>
        </row>
        <row r="65">
          <cell r="E65">
            <v>6</v>
          </cell>
          <cell r="F65">
            <v>2</v>
          </cell>
        </row>
        <row r="69">
          <cell r="D69">
            <v>14</v>
          </cell>
          <cell r="F69">
            <v>8</v>
          </cell>
          <cell r="G69">
            <v>3</v>
          </cell>
        </row>
        <row r="87">
          <cell r="D87">
            <v>20</v>
          </cell>
          <cell r="G87">
            <v>87</v>
          </cell>
        </row>
        <row r="90">
          <cell r="D90">
            <v>19</v>
          </cell>
          <cell r="E90">
            <v>7</v>
          </cell>
          <cell r="F90">
            <v>8</v>
          </cell>
          <cell r="G90">
            <v>52</v>
          </cell>
        </row>
        <row r="91">
          <cell r="D91">
            <v>21</v>
          </cell>
          <cell r="E91">
            <v>7</v>
          </cell>
          <cell r="F91">
            <v>8</v>
          </cell>
          <cell r="G91">
            <v>52</v>
          </cell>
        </row>
        <row r="92">
          <cell r="D92">
            <v>14</v>
          </cell>
          <cell r="F92">
            <v>2</v>
          </cell>
          <cell r="G92">
            <v>38</v>
          </cell>
        </row>
        <row r="93">
          <cell r="D93">
            <v>15</v>
          </cell>
          <cell r="G93">
            <v>8</v>
          </cell>
        </row>
        <row r="96">
          <cell r="D96">
            <v>12</v>
          </cell>
          <cell r="F96">
            <v>2</v>
          </cell>
          <cell r="G96">
            <v>38</v>
          </cell>
        </row>
        <row r="97">
          <cell r="D97">
            <v>15</v>
          </cell>
          <cell r="F97">
            <v>2</v>
          </cell>
          <cell r="G97">
            <v>38</v>
          </cell>
        </row>
        <row r="98">
          <cell r="D98">
            <v>21</v>
          </cell>
          <cell r="E98">
            <v>7</v>
          </cell>
          <cell r="F98">
            <v>6</v>
          </cell>
          <cell r="G98">
            <v>52</v>
          </cell>
        </row>
        <row r="114">
          <cell r="D114">
            <v>2</v>
          </cell>
          <cell r="G114">
            <v>3</v>
          </cell>
        </row>
        <row r="115">
          <cell r="D115">
            <v>5</v>
          </cell>
          <cell r="G115">
            <v>1</v>
          </cell>
        </row>
        <row r="116">
          <cell r="D116">
            <v>1</v>
          </cell>
          <cell r="G116">
            <v>4</v>
          </cell>
        </row>
        <row r="121">
          <cell r="D121">
            <v>50</v>
          </cell>
        </row>
        <row r="123">
          <cell r="D123">
            <v>1</v>
          </cell>
          <cell r="E123">
            <v>1</v>
          </cell>
          <cell r="G123">
            <v>1</v>
          </cell>
        </row>
        <row r="124">
          <cell r="D124">
            <v>1</v>
          </cell>
          <cell r="E124">
            <v>1</v>
          </cell>
          <cell r="G124">
            <v>1</v>
          </cell>
        </row>
        <row r="125">
          <cell r="D125">
            <v>1</v>
          </cell>
          <cell r="G125">
            <v>1</v>
          </cell>
        </row>
        <row r="126">
          <cell r="G126">
            <v>7</v>
          </cell>
        </row>
        <row r="136">
          <cell r="E136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8F2F-EBE3-4330-8A4C-4E3BAE0483BD}">
  <sheetPr>
    <tabColor rgb="FFFFFF00"/>
    <pageSetUpPr fitToPage="1"/>
  </sheetPr>
  <dimension ref="A1:S148"/>
  <sheetViews>
    <sheetView tabSelected="1" zoomScaleNormal="100" workbookViewId="0">
      <pane xSplit="3" ySplit="2" topLeftCell="D102" activePane="bottomRight" state="frozen"/>
      <selection pane="topRight" activeCell="D1" sqref="D1"/>
      <selection pane="bottomLeft" activeCell="A3" sqref="A3"/>
      <selection pane="bottomRight" activeCell="N131" sqref="N131"/>
    </sheetView>
  </sheetViews>
  <sheetFormatPr defaultRowHeight="23.4" x14ac:dyDescent="0.6"/>
  <cols>
    <col min="1" max="1" width="9.8984375" style="2" customWidth="1"/>
    <col min="2" max="2" width="10.296875" style="4" bestFit="1" customWidth="1"/>
    <col min="3" max="3" width="38.09765625" style="4" bestFit="1" customWidth="1"/>
    <col min="4" max="4" width="4.5" style="45" bestFit="1" customWidth="1"/>
    <col min="5" max="5" width="7.3984375" style="45" bestFit="1" customWidth="1"/>
    <col min="6" max="6" width="7.69921875" style="45" bestFit="1" customWidth="1"/>
    <col min="7" max="9" width="8.59765625" style="45" bestFit="1" customWidth="1"/>
    <col min="10" max="10" width="12.5" style="45" bestFit="1" customWidth="1"/>
    <col min="11" max="11" width="7.19921875" style="45" bestFit="1" customWidth="1"/>
    <col min="12" max="12" width="8.5" style="45" bestFit="1" customWidth="1"/>
    <col min="13" max="13" width="11.8984375" style="42" customWidth="1"/>
    <col min="14" max="14" width="11.69921875" style="4" bestFit="1" customWidth="1"/>
    <col min="15" max="15" width="10.296875" style="4" bestFit="1" customWidth="1"/>
    <col min="16" max="16" width="6.296875" style="42" bestFit="1" customWidth="1"/>
    <col min="17" max="17" width="9.09765625" style="2" customWidth="1"/>
    <col min="18" max="18" width="7.3984375" style="2" customWidth="1"/>
    <col min="19" max="19" width="22.69921875" style="2" customWidth="1"/>
    <col min="20" max="16384" width="8.796875" style="2"/>
  </cols>
  <sheetData>
    <row r="1" spans="1:16" ht="28.8" x14ac:dyDescent="0.6">
      <c r="A1" s="1" t="s">
        <v>143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P1" s="2"/>
    </row>
    <row r="2" spans="1:16" ht="50.4" customHeight="1" x14ac:dyDescent="0.6">
      <c r="A2" s="5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0" t="s">
        <v>7</v>
      </c>
      <c r="I2" s="10" t="s">
        <v>8</v>
      </c>
      <c r="J2" s="11" t="s">
        <v>9</v>
      </c>
      <c r="K2" s="12" t="s">
        <v>10</v>
      </c>
      <c r="L2" s="13" t="s">
        <v>11</v>
      </c>
      <c r="M2" s="14" t="s">
        <v>12</v>
      </c>
      <c r="N2" s="15" t="s">
        <v>13</v>
      </c>
      <c r="O2" s="15" t="s">
        <v>14</v>
      </c>
      <c r="P2" s="16" t="s">
        <v>15</v>
      </c>
    </row>
    <row r="3" spans="1:16" x14ac:dyDescent="0.6">
      <c r="A3" s="17">
        <v>1</v>
      </c>
      <c r="B3" s="18">
        <v>1111002</v>
      </c>
      <c r="C3" s="19" t="s">
        <v>16</v>
      </c>
      <c r="D3" s="20">
        <f>'[1]เย็น '!D7+'[1]เช้า '!D7+[1]บ่าย!D7</f>
        <v>38</v>
      </c>
      <c r="E3" s="20">
        <f>'[1]เย็น '!E7+'[1]เช้า '!E7+[1]บ่าย!E7</f>
        <v>251</v>
      </c>
      <c r="F3" s="20">
        <f>'[1]เย็น '!F7+'[1]เช้า '!F7+[1]บ่าย!F7</f>
        <v>57</v>
      </c>
      <c r="G3" s="20">
        <f>'[1]เย็น '!G7+'[1]เช้า '!G7+[1]บ่าย!G7</f>
        <v>5</v>
      </c>
      <c r="H3" s="20">
        <f>'[1]เย็น '!H7+'[1]เช้า '!H7+[1]บ่าย!H7</f>
        <v>17</v>
      </c>
      <c r="I3" s="20">
        <f>'[1]เย็น '!I7+'[1]เช้า '!I7+[1]บ่าย!I7</f>
        <v>0</v>
      </c>
      <c r="J3" s="21">
        <f>+G3+H3+I3</f>
        <v>22</v>
      </c>
      <c r="K3" s="20">
        <f>'[1]เย็น '!J7+'[1]เช้า '!J7+[1]บ่าย!J7</f>
        <v>0</v>
      </c>
      <c r="L3" s="20">
        <f>'[1]เย็น '!K7+'[1]เช้า '!K7+[1]บ่าย!K7</f>
        <v>0</v>
      </c>
      <c r="M3" s="22">
        <f>+D3+E3+F3+J3+K3+L3</f>
        <v>368</v>
      </c>
      <c r="N3" s="18"/>
      <c r="O3" s="18"/>
      <c r="P3" s="23">
        <f>(N3+O3)-M3</f>
        <v>-368</v>
      </c>
    </row>
    <row r="4" spans="1:16" x14ac:dyDescent="0.6">
      <c r="A4" s="17">
        <v>2</v>
      </c>
      <c r="B4" s="18"/>
      <c r="C4" s="19" t="s">
        <v>17</v>
      </c>
      <c r="D4" s="20">
        <f>'[1]เย็น '!D8+'[1]เช้า '!D8+[1]บ่าย!D8</f>
        <v>0</v>
      </c>
      <c r="E4" s="20">
        <f>'[1]เย็น '!E8+'[1]เช้า '!E8+[1]บ่าย!E8</f>
        <v>0</v>
      </c>
      <c r="F4" s="20">
        <f>'[1]เย็น '!F8+'[1]เช้า '!F8+[1]บ่าย!F8</f>
        <v>0</v>
      </c>
      <c r="G4" s="20">
        <f>'[1]เย็น '!G8+'[1]เช้า '!G8+[1]บ่าย!G8</f>
        <v>0</v>
      </c>
      <c r="H4" s="20">
        <f>'[1]เย็น '!H8+'[1]เช้า '!H8+[1]บ่าย!H8</f>
        <v>0</v>
      </c>
      <c r="I4" s="20">
        <f>'[1]เย็น '!I8+'[1]เช้า '!I8+[1]บ่าย!I8</f>
        <v>0</v>
      </c>
      <c r="J4" s="21">
        <f t="shared" ref="J4:J67" si="0">+G4+H4+I4</f>
        <v>0</v>
      </c>
      <c r="K4" s="20">
        <f>'[1]เย็น '!J8+'[1]เช้า '!J8+[1]บ่าย!J8</f>
        <v>0</v>
      </c>
      <c r="L4" s="20">
        <f>'[1]เย็น '!K8+'[1]เช้า '!K8+[1]บ่าย!K8</f>
        <v>0</v>
      </c>
      <c r="M4" s="22">
        <f t="shared" ref="M4:M67" si="1">+D4+E4+F4+J4+K4+L4</f>
        <v>0</v>
      </c>
      <c r="N4" s="18"/>
      <c r="O4" s="18"/>
      <c r="P4" s="23">
        <f t="shared" ref="P4:P67" si="2">(N4+O4)-M4</f>
        <v>0</v>
      </c>
    </row>
    <row r="5" spans="1:16" x14ac:dyDescent="0.6">
      <c r="A5" s="17">
        <v>3</v>
      </c>
      <c r="B5" s="18">
        <v>1111084</v>
      </c>
      <c r="C5" s="19" t="s">
        <v>18</v>
      </c>
      <c r="D5" s="20">
        <f>'[1]เย็น '!D9+'[1]เช้า '!D9+[1]บ่าย!D9</f>
        <v>0</v>
      </c>
      <c r="E5" s="20">
        <f>'[1]เย็น '!E9+'[1]เช้า '!E9+[1]บ่าย!E9</f>
        <v>0</v>
      </c>
      <c r="F5" s="20">
        <f>'[1]เย็น '!F9+'[1]เช้า '!F9+[1]บ่าย!F9</f>
        <v>0</v>
      </c>
      <c r="G5" s="20">
        <f>'[1]เย็น '!G9+'[1]เช้า '!G9+[1]บ่าย!G9</f>
        <v>0</v>
      </c>
      <c r="H5" s="20">
        <f>'[1]เย็น '!H9+'[1]เช้า '!H9+[1]บ่าย!H9</f>
        <v>0</v>
      </c>
      <c r="I5" s="20">
        <f>'[1]เย็น '!I9+'[1]เช้า '!I9+[1]บ่าย!I9</f>
        <v>0</v>
      </c>
      <c r="J5" s="21">
        <f t="shared" si="0"/>
        <v>0</v>
      </c>
      <c r="K5" s="20">
        <f>'[1]เย็น '!J9+'[1]เช้า '!J9+[1]บ่าย!J9</f>
        <v>0</v>
      </c>
      <c r="L5" s="20">
        <f>'[1]เย็น '!K9+'[1]เช้า '!K9+[1]บ่าย!K9</f>
        <v>0</v>
      </c>
      <c r="M5" s="22">
        <f t="shared" si="1"/>
        <v>0</v>
      </c>
      <c r="N5" s="18"/>
      <c r="O5" s="18"/>
      <c r="P5" s="23">
        <f t="shared" si="2"/>
        <v>0</v>
      </c>
    </row>
    <row r="6" spans="1:16" x14ac:dyDescent="0.6">
      <c r="A6" s="17">
        <v>4</v>
      </c>
      <c r="B6" s="18">
        <v>1111085</v>
      </c>
      <c r="C6" s="19" t="s">
        <v>19</v>
      </c>
      <c r="D6" s="20">
        <f>'[1]เย็น '!D10+'[1]เช้า '!D10+[1]บ่าย!D10</f>
        <v>0</v>
      </c>
      <c r="E6" s="20">
        <f>'[1]เย็น '!E10+'[1]เช้า '!E10+[1]บ่าย!E10</f>
        <v>0</v>
      </c>
      <c r="F6" s="20">
        <f>'[1]เย็น '!F10+'[1]เช้า '!F10+[1]บ่าย!F10</f>
        <v>0</v>
      </c>
      <c r="G6" s="20">
        <f>'[1]เย็น '!G10+'[1]เช้า '!G10+[1]บ่าย!G10</f>
        <v>0</v>
      </c>
      <c r="H6" s="20">
        <f>'[1]เย็น '!H10+'[1]เช้า '!H10+[1]บ่าย!H10</f>
        <v>0</v>
      </c>
      <c r="I6" s="20">
        <f>'[1]เย็น '!I10+'[1]เช้า '!I10+[1]บ่าย!I10</f>
        <v>0</v>
      </c>
      <c r="J6" s="21">
        <f t="shared" si="0"/>
        <v>0</v>
      </c>
      <c r="K6" s="20">
        <f>'[1]เย็น '!J10+'[1]เช้า '!J10+[1]บ่าย!J10</f>
        <v>0</v>
      </c>
      <c r="L6" s="20">
        <f>'[1]เย็น '!K10+'[1]เช้า '!K10+[1]บ่าย!K10</f>
        <v>0</v>
      </c>
      <c r="M6" s="22">
        <f t="shared" si="1"/>
        <v>0</v>
      </c>
      <c r="N6" s="18"/>
      <c r="O6" s="18"/>
      <c r="P6" s="23">
        <f t="shared" si="2"/>
        <v>0</v>
      </c>
    </row>
    <row r="7" spans="1:16" x14ac:dyDescent="0.6">
      <c r="A7" s="17">
        <v>5</v>
      </c>
      <c r="B7" s="18">
        <v>1111086</v>
      </c>
      <c r="C7" s="19" t="s">
        <v>20</v>
      </c>
      <c r="D7" s="20">
        <f>'[1]เย็น '!D11+'[1]เช้า '!D11+[1]บ่าย!D11</f>
        <v>20</v>
      </c>
      <c r="E7" s="20">
        <f>'[1]เย็น '!E11+'[1]เช้า '!E11+[1]บ่าย!E11</f>
        <v>0</v>
      </c>
      <c r="F7" s="20">
        <f>'[1]เย็น '!F11+'[1]เช้า '!F11+[1]บ่าย!F11</f>
        <v>0</v>
      </c>
      <c r="G7" s="20">
        <f>'[1]เย็น '!G11+'[1]เช้า '!G11+[1]บ่าย!G11</f>
        <v>0</v>
      </c>
      <c r="H7" s="20">
        <f>'[1]เย็น '!H11+'[1]เช้า '!H11+[1]บ่าย!H11</f>
        <v>0</v>
      </c>
      <c r="I7" s="20">
        <f>'[1]เย็น '!I11+'[1]เช้า '!I11+[1]บ่าย!I11</f>
        <v>0</v>
      </c>
      <c r="J7" s="21">
        <f t="shared" si="0"/>
        <v>0</v>
      </c>
      <c r="K7" s="20">
        <f>'[1]เย็น '!J11+'[1]เช้า '!J11+[1]บ่าย!J11</f>
        <v>0</v>
      </c>
      <c r="L7" s="20">
        <f>'[1]เย็น '!K11+'[1]เช้า '!K11+[1]บ่าย!K11</f>
        <v>0</v>
      </c>
      <c r="M7" s="22">
        <f t="shared" si="1"/>
        <v>20</v>
      </c>
      <c r="N7" s="18"/>
      <c r="O7" s="18"/>
      <c r="P7" s="23">
        <f t="shared" si="2"/>
        <v>-20</v>
      </c>
    </row>
    <row r="8" spans="1:16" x14ac:dyDescent="0.6">
      <c r="A8" s="17">
        <v>6</v>
      </c>
      <c r="B8" s="18">
        <v>1111087</v>
      </c>
      <c r="C8" s="19" t="s">
        <v>21</v>
      </c>
      <c r="D8" s="20">
        <f>'[1]เย็น '!D12+'[1]เช้า '!D12+[1]บ่าย!D12</f>
        <v>0</v>
      </c>
      <c r="E8" s="20">
        <f>'[1]เย็น '!E12+'[1]เช้า '!E12+[1]บ่าย!E12</f>
        <v>0</v>
      </c>
      <c r="F8" s="20">
        <f>'[1]เย็น '!F12+'[1]เช้า '!F12+[1]บ่าย!F12</f>
        <v>0</v>
      </c>
      <c r="G8" s="20">
        <f>'[1]เย็น '!G12+'[1]เช้า '!G12+[1]บ่าย!G12</f>
        <v>0</v>
      </c>
      <c r="H8" s="20">
        <f>'[1]เย็น '!H12+'[1]เช้า '!H12+[1]บ่าย!H12</f>
        <v>0</v>
      </c>
      <c r="I8" s="20">
        <f>'[1]เย็น '!I12+'[1]เช้า '!I12+[1]บ่าย!I12</f>
        <v>0</v>
      </c>
      <c r="J8" s="21">
        <f t="shared" si="0"/>
        <v>0</v>
      </c>
      <c r="K8" s="20">
        <f>'[1]เย็น '!J12+'[1]เช้า '!J12+[1]บ่าย!J12</f>
        <v>0</v>
      </c>
      <c r="L8" s="20">
        <f>'[1]เย็น '!K12+'[1]เช้า '!K12+[1]บ่าย!K12</f>
        <v>0</v>
      </c>
      <c r="M8" s="22">
        <f t="shared" si="1"/>
        <v>0</v>
      </c>
      <c r="N8" s="18"/>
      <c r="O8" s="18"/>
      <c r="P8" s="23">
        <f t="shared" si="2"/>
        <v>0</v>
      </c>
    </row>
    <row r="9" spans="1:16" x14ac:dyDescent="0.6">
      <c r="A9" s="17">
        <v>7</v>
      </c>
      <c r="B9" s="18">
        <v>1111088</v>
      </c>
      <c r="C9" s="19" t="s">
        <v>22</v>
      </c>
      <c r="D9" s="20">
        <f>'[1]เย็น '!D13+'[1]เช้า '!D13+[1]บ่าย!D13</f>
        <v>0</v>
      </c>
      <c r="E9" s="20">
        <f>'[1]เย็น '!E13+'[1]เช้า '!E13+[1]บ่าย!E13</f>
        <v>0</v>
      </c>
      <c r="F9" s="20">
        <f>'[1]เย็น '!F13+'[1]เช้า '!F13+[1]บ่าย!F13</f>
        <v>0</v>
      </c>
      <c r="G9" s="20">
        <f>'[1]เย็น '!G13+'[1]เช้า '!G13+[1]บ่าย!G13</f>
        <v>0</v>
      </c>
      <c r="H9" s="20">
        <f>'[1]เย็น '!H13+'[1]เช้า '!H13+[1]บ่าย!H13</f>
        <v>0</v>
      </c>
      <c r="I9" s="20">
        <f>'[1]เย็น '!I13+'[1]เช้า '!I13+[1]บ่าย!I13</f>
        <v>0</v>
      </c>
      <c r="J9" s="21">
        <f t="shared" si="0"/>
        <v>0</v>
      </c>
      <c r="K9" s="20">
        <f>'[1]เย็น '!J13+'[1]เช้า '!J13+[1]บ่าย!J13</f>
        <v>0</v>
      </c>
      <c r="L9" s="20">
        <f>'[1]เย็น '!K13+'[1]เช้า '!K13+[1]บ่าย!K13</f>
        <v>0</v>
      </c>
      <c r="M9" s="22">
        <f t="shared" si="1"/>
        <v>0</v>
      </c>
      <c r="N9" s="18"/>
      <c r="O9" s="18"/>
      <c r="P9" s="23">
        <f t="shared" si="2"/>
        <v>0</v>
      </c>
    </row>
    <row r="10" spans="1:16" x14ac:dyDescent="0.6">
      <c r="A10" s="17">
        <v>8</v>
      </c>
      <c r="B10" s="18">
        <v>1111089</v>
      </c>
      <c r="C10" s="19" t="s">
        <v>23</v>
      </c>
      <c r="D10" s="20">
        <f>'[1]เย็น '!D14+'[1]เช้า '!D14+[1]บ่าย!D14</f>
        <v>0</v>
      </c>
      <c r="E10" s="20">
        <f>'[1]เย็น '!E14+'[1]เช้า '!E14+[1]บ่าย!E14</f>
        <v>0</v>
      </c>
      <c r="F10" s="20">
        <f>'[1]เย็น '!F14+'[1]เช้า '!F14+[1]บ่าย!F14</f>
        <v>0</v>
      </c>
      <c r="G10" s="20">
        <f>'[1]เย็น '!G14+'[1]เช้า '!G14+[1]บ่าย!G14</f>
        <v>0</v>
      </c>
      <c r="H10" s="20">
        <f>'[1]เย็น '!H14+'[1]เช้า '!H14+[1]บ่าย!H14</f>
        <v>0</v>
      </c>
      <c r="I10" s="20">
        <f>'[1]เย็น '!I14+'[1]เช้า '!I14+[1]บ่าย!I14</f>
        <v>0</v>
      </c>
      <c r="J10" s="21">
        <f t="shared" si="0"/>
        <v>0</v>
      </c>
      <c r="K10" s="20">
        <f>'[1]เย็น '!J14+'[1]เช้า '!J14+[1]บ่าย!J14</f>
        <v>0</v>
      </c>
      <c r="L10" s="20">
        <f>'[1]เย็น '!K14+'[1]เช้า '!K14+[1]บ่าย!K14</f>
        <v>0</v>
      </c>
      <c r="M10" s="22">
        <f t="shared" si="1"/>
        <v>0</v>
      </c>
      <c r="N10" s="18"/>
      <c r="O10" s="18"/>
      <c r="P10" s="23">
        <f t="shared" si="2"/>
        <v>0</v>
      </c>
    </row>
    <row r="11" spans="1:16" x14ac:dyDescent="0.6">
      <c r="A11" s="17">
        <v>9</v>
      </c>
      <c r="B11" s="18">
        <v>1111090</v>
      </c>
      <c r="C11" s="19" t="s">
        <v>24</v>
      </c>
      <c r="D11" s="20">
        <f>'[1]เย็น '!D15+'[1]เช้า '!D15+[1]บ่าย!D15</f>
        <v>0</v>
      </c>
      <c r="E11" s="20">
        <f>'[1]เย็น '!E15+'[1]เช้า '!E15+[1]บ่าย!E15</f>
        <v>0</v>
      </c>
      <c r="F11" s="20">
        <f>'[1]เย็น '!F15+'[1]เช้า '!F15+[1]บ่าย!F15</f>
        <v>0</v>
      </c>
      <c r="G11" s="20">
        <f>'[1]เย็น '!G15+'[1]เช้า '!G15+[1]บ่าย!G15</f>
        <v>0</v>
      </c>
      <c r="H11" s="20">
        <f>'[1]เย็น '!H15+'[1]เช้า '!H15+[1]บ่าย!H15</f>
        <v>0</v>
      </c>
      <c r="I11" s="20">
        <f>'[1]เย็น '!I15+'[1]เช้า '!I15+[1]บ่าย!I15</f>
        <v>0</v>
      </c>
      <c r="J11" s="21">
        <f t="shared" si="0"/>
        <v>0</v>
      </c>
      <c r="K11" s="20">
        <f>'[1]เย็น '!J15+'[1]เช้า '!J15+[1]บ่าย!J15</f>
        <v>0</v>
      </c>
      <c r="L11" s="20">
        <f>'[1]เย็น '!K15+'[1]เช้า '!K15+[1]บ่าย!K15</f>
        <v>0</v>
      </c>
      <c r="M11" s="22">
        <f t="shared" si="1"/>
        <v>0</v>
      </c>
      <c r="N11" s="18"/>
      <c r="O11" s="18"/>
      <c r="P11" s="23">
        <f t="shared" si="2"/>
        <v>0</v>
      </c>
    </row>
    <row r="12" spans="1:16" x14ac:dyDescent="0.6">
      <c r="A12" s="17">
        <v>10</v>
      </c>
      <c r="B12" s="18">
        <v>1111091</v>
      </c>
      <c r="C12" s="19" t="s">
        <v>25</v>
      </c>
      <c r="D12" s="20">
        <f>'[1]เย็น '!D16+'[1]เช้า '!D16+[1]บ่าย!D16</f>
        <v>0</v>
      </c>
      <c r="E12" s="20">
        <f>'[1]เย็น '!E16+'[1]เช้า '!E16+[1]บ่าย!E16</f>
        <v>0</v>
      </c>
      <c r="F12" s="20">
        <f>'[1]เย็น '!F16+'[1]เช้า '!F16+[1]บ่าย!F16</f>
        <v>0</v>
      </c>
      <c r="G12" s="20">
        <f>'[1]เย็น '!G16+'[1]เช้า '!G16+[1]บ่าย!G16</f>
        <v>0</v>
      </c>
      <c r="H12" s="20">
        <f>'[1]เย็น '!H16+'[1]เช้า '!H16+[1]บ่าย!H16</f>
        <v>0</v>
      </c>
      <c r="I12" s="20">
        <f>'[1]เย็น '!I16+'[1]เช้า '!I16+[1]บ่าย!I16</f>
        <v>0</v>
      </c>
      <c r="J12" s="21">
        <f t="shared" si="0"/>
        <v>0</v>
      </c>
      <c r="K12" s="20">
        <f>'[1]เย็น '!J16+'[1]เช้า '!J16+[1]บ่าย!J16</f>
        <v>0</v>
      </c>
      <c r="L12" s="20">
        <f>'[1]เย็น '!K16+'[1]เช้า '!K16+[1]บ่าย!K16</f>
        <v>0</v>
      </c>
      <c r="M12" s="22">
        <f t="shared" si="1"/>
        <v>0</v>
      </c>
      <c r="N12" s="18"/>
      <c r="O12" s="18"/>
      <c r="P12" s="23">
        <f t="shared" si="2"/>
        <v>0</v>
      </c>
    </row>
    <row r="13" spans="1:16" x14ac:dyDescent="0.6">
      <c r="A13" s="17">
        <v>11</v>
      </c>
      <c r="B13" s="18">
        <v>1111092</v>
      </c>
      <c r="C13" s="19" t="s">
        <v>26</v>
      </c>
      <c r="D13" s="20">
        <f>'[1]เย็น '!D17+'[1]เช้า '!D17+[1]บ่าย!D17</f>
        <v>0</v>
      </c>
      <c r="E13" s="20">
        <f>'[1]เย็น '!E17+'[1]เช้า '!E17+[1]บ่าย!E17</f>
        <v>0</v>
      </c>
      <c r="F13" s="20">
        <f>'[1]เย็น '!F17+'[1]เช้า '!F17+[1]บ่าย!F17</f>
        <v>0</v>
      </c>
      <c r="G13" s="20">
        <f>'[1]เย็น '!G17+'[1]เช้า '!G17+[1]บ่าย!G17</f>
        <v>0</v>
      </c>
      <c r="H13" s="20">
        <f>'[1]เย็น '!H17+'[1]เช้า '!H17+[1]บ่าย!H17</f>
        <v>0</v>
      </c>
      <c r="I13" s="20">
        <f>'[1]เย็น '!I17+'[1]เช้า '!I17+[1]บ่าย!I17</f>
        <v>0</v>
      </c>
      <c r="J13" s="21">
        <f t="shared" si="0"/>
        <v>0</v>
      </c>
      <c r="K13" s="20">
        <f>'[1]เย็น '!J17+'[1]เช้า '!J17+[1]บ่าย!J17</f>
        <v>0</v>
      </c>
      <c r="L13" s="20">
        <f>'[1]เย็น '!K17+'[1]เช้า '!K17+[1]บ่าย!K17</f>
        <v>0</v>
      </c>
      <c r="M13" s="22">
        <f t="shared" si="1"/>
        <v>0</v>
      </c>
      <c r="N13" s="18"/>
      <c r="O13" s="18"/>
      <c r="P13" s="23">
        <f t="shared" si="2"/>
        <v>0</v>
      </c>
    </row>
    <row r="14" spans="1:16" x14ac:dyDescent="0.6">
      <c r="A14" s="17">
        <v>12</v>
      </c>
      <c r="B14" s="18">
        <v>1111093</v>
      </c>
      <c r="C14" s="19" t="s">
        <v>27</v>
      </c>
      <c r="D14" s="20">
        <f>'[1]เย็น '!D18+'[1]เช้า '!D18+[1]บ่าย!D18</f>
        <v>0</v>
      </c>
      <c r="E14" s="20">
        <f>'[1]เย็น '!E18+'[1]เช้า '!E18+[1]บ่าย!E18</f>
        <v>0</v>
      </c>
      <c r="F14" s="20">
        <f>'[1]เย็น '!F18+'[1]เช้า '!F18+[1]บ่าย!F18</f>
        <v>0</v>
      </c>
      <c r="G14" s="20">
        <f>'[1]เย็น '!G18+'[1]เช้า '!G18+[1]บ่าย!G18</f>
        <v>0</v>
      </c>
      <c r="H14" s="20">
        <f>'[1]เย็น '!H18+'[1]เช้า '!H18+[1]บ่าย!H18</f>
        <v>0</v>
      </c>
      <c r="I14" s="20">
        <f>'[1]เย็น '!I18+'[1]เช้า '!I18+[1]บ่าย!I18</f>
        <v>0</v>
      </c>
      <c r="J14" s="21">
        <f t="shared" si="0"/>
        <v>0</v>
      </c>
      <c r="K14" s="20">
        <f>'[1]เย็น '!J18+'[1]เช้า '!J18+[1]บ่าย!J18</f>
        <v>0</v>
      </c>
      <c r="L14" s="20">
        <f>'[1]เย็น '!K18+'[1]เช้า '!K18+[1]บ่าย!K18</f>
        <v>0</v>
      </c>
      <c r="M14" s="22">
        <f t="shared" si="1"/>
        <v>0</v>
      </c>
      <c r="N14" s="18"/>
      <c r="O14" s="18"/>
      <c r="P14" s="23">
        <f t="shared" si="2"/>
        <v>0</v>
      </c>
    </row>
    <row r="15" spans="1:16" x14ac:dyDescent="0.6">
      <c r="A15" s="17">
        <v>13</v>
      </c>
      <c r="B15" s="18">
        <v>1111094</v>
      </c>
      <c r="C15" s="19" t="s">
        <v>28</v>
      </c>
      <c r="D15" s="20">
        <f>'[1]เย็น '!D19+'[1]เช้า '!D19+[1]บ่าย!D19</f>
        <v>0</v>
      </c>
      <c r="E15" s="20">
        <f>'[1]เย็น '!E19+'[1]เช้า '!E19+[1]บ่าย!E19</f>
        <v>0</v>
      </c>
      <c r="F15" s="20">
        <f>'[1]เย็น '!F19+'[1]เช้า '!F19+[1]บ่าย!F19</f>
        <v>0</v>
      </c>
      <c r="G15" s="20">
        <f>'[1]เย็น '!G19+'[1]เช้า '!G19+[1]บ่าย!G19</f>
        <v>0</v>
      </c>
      <c r="H15" s="20">
        <f>'[1]เย็น '!H19+'[1]เช้า '!H19+[1]บ่าย!H19</f>
        <v>0</v>
      </c>
      <c r="I15" s="20">
        <f>'[1]เย็น '!I19+'[1]เช้า '!I19+[1]บ่าย!I19</f>
        <v>0</v>
      </c>
      <c r="J15" s="21">
        <f t="shared" si="0"/>
        <v>0</v>
      </c>
      <c r="K15" s="20">
        <f>'[1]เย็น '!J19+'[1]เช้า '!J19+[1]บ่าย!J19</f>
        <v>0</v>
      </c>
      <c r="L15" s="20">
        <f>'[1]เย็น '!K19+'[1]เช้า '!K19+[1]บ่าย!K19</f>
        <v>0</v>
      </c>
      <c r="M15" s="22">
        <f t="shared" si="1"/>
        <v>0</v>
      </c>
      <c r="N15" s="18"/>
      <c r="O15" s="18"/>
      <c r="P15" s="23">
        <f t="shared" si="2"/>
        <v>0</v>
      </c>
    </row>
    <row r="16" spans="1:16" x14ac:dyDescent="0.6">
      <c r="A16" s="17">
        <v>14</v>
      </c>
      <c r="B16" s="18">
        <v>1111095</v>
      </c>
      <c r="C16" s="19" t="s">
        <v>29</v>
      </c>
      <c r="D16" s="20">
        <f>'[1]เย็น '!D20+'[1]เช้า '!D20+[1]บ่าย!D20</f>
        <v>0</v>
      </c>
      <c r="E16" s="20">
        <f>'[1]เย็น '!E20+'[1]เช้า '!E20+[1]บ่าย!E20</f>
        <v>0</v>
      </c>
      <c r="F16" s="20">
        <f>'[1]เย็น '!F20+'[1]เช้า '!F20+[1]บ่าย!F20</f>
        <v>0</v>
      </c>
      <c r="G16" s="20">
        <f>'[1]เย็น '!G20+'[1]เช้า '!G20+[1]บ่าย!G20</f>
        <v>0</v>
      </c>
      <c r="H16" s="20">
        <f>'[1]เย็น '!H20+'[1]เช้า '!H20+[1]บ่าย!H20</f>
        <v>0</v>
      </c>
      <c r="I16" s="20">
        <f>'[1]เย็น '!I20+'[1]เช้า '!I20+[1]บ่าย!I20</f>
        <v>0</v>
      </c>
      <c r="J16" s="21">
        <f t="shared" si="0"/>
        <v>0</v>
      </c>
      <c r="K16" s="20">
        <f>'[1]เย็น '!J20+'[1]เช้า '!J20+[1]บ่าย!J20</f>
        <v>0</v>
      </c>
      <c r="L16" s="20">
        <f>'[1]เย็น '!K20+'[1]เช้า '!K20+[1]บ่าย!K20</f>
        <v>0</v>
      </c>
      <c r="M16" s="22">
        <f t="shared" si="1"/>
        <v>0</v>
      </c>
      <c r="N16" s="18"/>
      <c r="O16" s="18"/>
      <c r="P16" s="23">
        <f t="shared" si="2"/>
        <v>0</v>
      </c>
    </row>
    <row r="17" spans="1:16" x14ac:dyDescent="0.6">
      <c r="A17" s="17">
        <v>15</v>
      </c>
      <c r="B17" s="18">
        <v>1111096</v>
      </c>
      <c r="C17" s="19" t="s">
        <v>30</v>
      </c>
      <c r="D17" s="20">
        <f>'[1]เย็น '!D21+'[1]เช้า '!D21+[1]บ่าย!D21</f>
        <v>0</v>
      </c>
      <c r="E17" s="20">
        <f>'[1]เย็น '!E21+'[1]เช้า '!E21+[1]บ่าย!E21</f>
        <v>0</v>
      </c>
      <c r="F17" s="20">
        <f>'[1]เย็น '!F21+'[1]เช้า '!F21+[1]บ่าย!F21</f>
        <v>0</v>
      </c>
      <c r="G17" s="20">
        <f>'[1]เย็น '!G21+'[1]เช้า '!G21+[1]บ่าย!G21</f>
        <v>0</v>
      </c>
      <c r="H17" s="20">
        <f>'[1]เย็น '!H21+'[1]เช้า '!H21+[1]บ่าย!H21</f>
        <v>0</v>
      </c>
      <c r="I17" s="20">
        <f>'[1]เย็น '!I21+'[1]เช้า '!I21+[1]บ่าย!I21</f>
        <v>0</v>
      </c>
      <c r="J17" s="21">
        <f t="shared" si="0"/>
        <v>0</v>
      </c>
      <c r="K17" s="20">
        <f>'[1]เย็น '!J21+'[1]เช้า '!J21+[1]บ่าย!J21</f>
        <v>0</v>
      </c>
      <c r="L17" s="20">
        <f>'[1]เย็น '!K21+'[1]เช้า '!K21+[1]บ่าย!K21</f>
        <v>0</v>
      </c>
      <c r="M17" s="22">
        <f t="shared" si="1"/>
        <v>0</v>
      </c>
      <c r="N17" s="18"/>
      <c r="O17" s="18"/>
      <c r="P17" s="23">
        <f t="shared" si="2"/>
        <v>0</v>
      </c>
    </row>
    <row r="18" spans="1:16" x14ac:dyDescent="0.6">
      <c r="A18" s="17">
        <v>16</v>
      </c>
      <c r="B18" s="18">
        <v>1111097</v>
      </c>
      <c r="C18" s="19" t="s">
        <v>31</v>
      </c>
      <c r="D18" s="20">
        <f>'[1]เย็น '!D22+'[1]เช้า '!D22+[1]บ่าย!D22</f>
        <v>0</v>
      </c>
      <c r="E18" s="20">
        <f>'[1]เย็น '!E22+'[1]เช้า '!E22+[1]บ่าย!E22</f>
        <v>0</v>
      </c>
      <c r="F18" s="20">
        <f>'[1]เย็น '!F22+'[1]เช้า '!F22+[1]บ่าย!F22</f>
        <v>0</v>
      </c>
      <c r="G18" s="20">
        <f>'[1]เย็น '!G22+'[1]เช้า '!G22+[1]บ่าย!G22</f>
        <v>0</v>
      </c>
      <c r="H18" s="20">
        <f>'[1]เย็น '!H22+'[1]เช้า '!H22+[1]บ่าย!H22</f>
        <v>0</v>
      </c>
      <c r="I18" s="20">
        <f>'[1]เย็น '!I22+'[1]เช้า '!I22+[1]บ่าย!I22</f>
        <v>0</v>
      </c>
      <c r="J18" s="21">
        <f t="shared" si="0"/>
        <v>0</v>
      </c>
      <c r="K18" s="20">
        <f>'[1]เย็น '!J22+'[1]เช้า '!J22+[1]บ่าย!J22</f>
        <v>0</v>
      </c>
      <c r="L18" s="20">
        <f>'[1]เย็น '!K22+'[1]เช้า '!K22+[1]บ่าย!K22</f>
        <v>0</v>
      </c>
      <c r="M18" s="22">
        <f t="shared" si="1"/>
        <v>0</v>
      </c>
      <c r="N18" s="18"/>
      <c r="O18" s="18"/>
      <c r="P18" s="23">
        <f t="shared" si="2"/>
        <v>0</v>
      </c>
    </row>
    <row r="19" spans="1:16" x14ac:dyDescent="0.6">
      <c r="A19" s="17">
        <v>17</v>
      </c>
      <c r="B19" s="18">
        <v>1111098</v>
      </c>
      <c r="C19" s="19" t="s">
        <v>32</v>
      </c>
      <c r="D19" s="20">
        <f>'[1]เย็น '!D23+'[1]เช้า '!D23+[1]บ่าย!D23</f>
        <v>0</v>
      </c>
      <c r="E19" s="20">
        <f>'[1]เย็น '!E23+'[1]เช้า '!E23+[1]บ่าย!E23</f>
        <v>0</v>
      </c>
      <c r="F19" s="20">
        <f>'[1]เย็น '!F23+'[1]เช้า '!F23+[1]บ่าย!F23</f>
        <v>0</v>
      </c>
      <c r="G19" s="20">
        <f>'[1]เย็น '!G23+'[1]เช้า '!G23+[1]บ่าย!G23</f>
        <v>0</v>
      </c>
      <c r="H19" s="20">
        <f>'[1]เย็น '!H23+'[1]เช้า '!H23+[1]บ่าย!H23</f>
        <v>0</v>
      </c>
      <c r="I19" s="20">
        <f>'[1]เย็น '!I23+'[1]เช้า '!I23+[1]บ่าย!I23</f>
        <v>0</v>
      </c>
      <c r="J19" s="21">
        <f t="shared" si="0"/>
        <v>0</v>
      </c>
      <c r="K19" s="20">
        <f>'[1]เย็น '!J23+'[1]เช้า '!J23+[1]บ่าย!J23</f>
        <v>0</v>
      </c>
      <c r="L19" s="20">
        <f>'[1]เย็น '!K23+'[1]เช้า '!K23+[1]บ่าย!K23</f>
        <v>0</v>
      </c>
      <c r="M19" s="22">
        <f t="shared" si="1"/>
        <v>0</v>
      </c>
      <c r="N19" s="18"/>
      <c r="O19" s="18"/>
      <c r="P19" s="23">
        <f t="shared" si="2"/>
        <v>0</v>
      </c>
    </row>
    <row r="20" spans="1:16" x14ac:dyDescent="0.6">
      <c r="A20" s="17">
        <v>18</v>
      </c>
      <c r="B20" s="18">
        <v>1111043</v>
      </c>
      <c r="C20" s="19" t="s">
        <v>33</v>
      </c>
      <c r="D20" s="20">
        <f>'[1]เย็น '!D24+'[1]เช้า '!D24+[1]บ่าย!D24</f>
        <v>0</v>
      </c>
      <c r="E20" s="20">
        <f>'[1]เย็น '!E24+'[1]เช้า '!E24+[1]บ่าย!E24</f>
        <v>0</v>
      </c>
      <c r="F20" s="20">
        <f>'[1]เย็น '!F24+'[1]เช้า '!F24+[1]บ่าย!F24</f>
        <v>0</v>
      </c>
      <c r="G20" s="20">
        <f>'[1]เย็น '!G24+'[1]เช้า '!G24+[1]บ่าย!G24</f>
        <v>0</v>
      </c>
      <c r="H20" s="20">
        <f>'[1]เย็น '!H24+'[1]เช้า '!H24+[1]บ่าย!H24</f>
        <v>0</v>
      </c>
      <c r="I20" s="20">
        <f>'[1]เย็น '!I24+'[1]เช้า '!I24+[1]บ่าย!I24</f>
        <v>0</v>
      </c>
      <c r="J20" s="21">
        <f t="shared" si="0"/>
        <v>0</v>
      </c>
      <c r="K20" s="20">
        <f>'[1]เย็น '!J24+'[1]เช้า '!J24+[1]บ่าย!J24</f>
        <v>0</v>
      </c>
      <c r="L20" s="20">
        <f>'[1]เย็น '!K24+'[1]เช้า '!K24+[1]บ่าย!K24</f>
        <v>0</v>
      </c>
      <c r="M20" s="22">
        <f t="shared" si="1"/>
        <v>0</v>
      </c>
      <c r="N20" s="18"/>
      <c r="O20" s="18"/>
      <c r="P20" s="23">
        <f t="shared" si="2"/>
        <v>0</v>
      </c>
    </row>
    <row r="21" spans="1:16" x14ac:dyDescent="0.6">
      <c r="A21" s="17">
        <v>19</v>
      </c>
      <c r="B21" s="18">
        <v>1111056</v>
      </c>
      <c r="C21" s="19" t="s">
        <v>34</v>
      </c>
      <c r="D21" s="20">
        <f>'[1]เย็น '!D25+'[1]เช้า '!D25+[1]บ่าย!D25</f>
        <v>8</v>
      </c>
      <c r="E21" s="20">
        <f>'[1]เย็น '!E25+'[1]เช้า '!E25+[1]บ่าย!E25</f>
        <v>21</v>
      </c>
      <c r="F21" s="20">
        <f>'[1]เย็น '!F25+'[1]เช้า '!F25+[1]บ่าย!F25</f>
        <v>19</v>
      </c>
      <c r="G21" s="20">
        <f>'[1]เย็น '!G25+'[1]เช้า '!G25+[1]บ่าย!G25</f>
        <v>1</v>
      </c>
      <c r="H21" s="20">
        <f>'[1]เย็น '!H25+'[1]เช้า '!H25+[1]บ่าย!H25</f>
        <v>0</v>
      </c>
      <c r="I21" s="20">
        <f>'[1]เย็น '!I25+'[1]เช้า '!I25+[1]บ่าย!I25</f>
        <v>0</v>
      </c>
      <c r="J21" s="21">
        <f t="shared" si="0"/>
        <v>1</v>
      </c>
      <c r="K21" s="20">
        <f>'[1]เย็น '!J25+'[1]เช้า '!J25+[1]บ่าย!J25</f>
        <v>0</v>
      </c>
      <c r="L21" s="20">
        <f>'[1]เย็น '!K25+'[1]เช้า '!K25+[1]บ่าย!K25</f>
        <v>0</v>
      </c>
      <c r="M21" s="22">
        <f t="shared" si="1"/>
        <v>49</v>
      </c>
      <c r="N21" s="18"/>
      <c r="O21" s="18"/>
      <c r="P21" s="23">
        <f t="shared" si="2"/>
        <v>-49</v>
      </c>
    </row>
    <row r="22" spans="1:16" x14ac:dyDescent="0.6">
      <c r="A22" s="17">
        <v>20</v>
      </c>
      <c r="B22" s="18">
        <v>1004055</v>
      </c>
      <c r="C22" s="19" t="s">
        <v>35</v>
      </c>
      <c r="D22" s="20">
        <f>'[1]เย็น '!D26+'[1]เช้า '!D26+[1]บ่าย!D26</f>
        <v>15</v>
      </c>
      <c r="E22" s="20">
        <f>'[1]เย็น '!E26+'[1]เช้า '!E26+[1]บ่าย!E26</f>
        <v>22</v>
      </c>
      <c r="F22" s="20">
        <f>'[1]เย็น '!F26+'[1]เช้า '!F26+[1]บ่าย!F26</f>
        <v>45</v>
      </c>
      <c r="G22" s="20">
        <f>'[1]เย็น '!G26+'[1]เช้า '!G26+[1]บ่าย!G26</f>
        <v>424</v>
      </c>
      <c r="H22" s="20">
        <f>'[1]เย็น '!H26+'[1]เช้า '!H26+[1]บ่าย!H26</f>
        <v>194</v>
      </c>
      <c r="I22" s="20">
        <f>'[1]เย็น '!I26+'[1]เช้า '!I26+[1]บ่าย!I26</f>
        <v>0</v>
      </c>
      <c r="J22" s="21">
        <f t="shared" si="0"/>
        <v>618</v>
      </c>
      <c r="K22" s="20">
        <f>'[1]เย็น '!J26+'[1]เช้า '!J26+[1]บ่าย!J26</f>
        <v>0</v>
      </c>
      <c r="L22" s="20">
        <f>'[1]เย็น '!K26+'[1]เช้า '!K26+[1]บ่าย!K26</f>
        <v>0</v>
      </c>
      <c r="M22" s="22">
        <f t="shared" si="1"/>
        <v>700</v>
      </c>
      <c r="N22" s="18"/>
      <c r="O22" s="18"/>
      <c r="P22" s="23">
        <f t="shared" si="2"/>
        <v>-700</v>
      </c>
    </row>
    <row r="23" spans="1:16" x14ac:dyDescent="0.6">
      <c r="A23" s="17">
        <v>21</v>
      </c>
      <c r="B23" s="18">
        <v>1004055</v>
      </c>
      <c r="C23" s="19" t="s">
        <v>36</v>
      </c>
      <c r="D23" s="20">
        <f>'[1]เย็น '!D27+'[1]เช้า '!D27+[1]บ่าย!D27</f>
        <v>0</v>
      </c>
      <c r="E23" s="20">
        <f>'[1]เย็น '!E27+'[1]เช้า '!E27+[1]บ่าย!E27</f>
        <v>0</v>
      </c>
      <c r="F23" s="20">
        <f>'[1]เย็น '!F27+'[1]เช้า '!F27+[1]บ่าย!F27</f>
        <v>0</v>
      </c>
      <c r="G23" s="20">
        <f>'[1]เย็น '!G27+'[1]เช้า '!G27+[1]บ่าย!G27</f>
        <v>0</v>
      </c>
      <c r="H23" s="20">
        <f>'[1]เย็น '!H27+'[1]เช้า '!H27+[1]บ่าย!H27</f>
        <v>0</v>
      </c>
      <c r="I23" s="20">
        <f>'[1]เย็น '!I27+'[1]เช้า '!I27+[1]บ่าย!I27</f>
        <v>0</v>
      </c>
      <c r="J23" s="21">
        <f t="shared" si="0"/>
        <v>0</v>
      </c>
      <c r="K23" s="20">
        <f>'[1]เย็น '!J27+'[1]เช้า '!J27+[1]บ่าย!J27</f>
        <v>0</v>
      </c>
      <c r="L23" s="20">
        <f>'[1]เย็น '!K27+'[1]เช้า '!K27+[1]บ่าย!K27</f>
        <v>0</v>
      </c>
      <c r="M23" s="22">
        <f t="shared" si="1"/>
        <v>0</v>
      </c>
      <c r="N23" s="18"/>
      <c r="O23" s="18"/>
      <c r="P23" s="23">
        <f t="shared" si="2"/>
        <v>0</v>
      </c>
    </row>
    <row r="24" spans="1:16" x14ac:dyDescent="0.6">
      <c r="A24" s="17">
        <v>22</v>
      </c>
      <c r="B24" s="18">
        <v>1004055</v>
      </c>
      <c r="C24" s="19" t="s">
        <v>37</v>
      </c>
      <c r="D24" s="20">
        <f>'[1]เย็น '!D28+'[1]เช้า '!D28+[1]บ่าย!D28</f>
        <v>0</v>
      </c>
      <c r="E24" s="20">
        <f>'[1]เย็น '!E28+'[1]เช้า '!E28+[1]บ่าย!E28</f>
        <v>0</v>
      </c>
      <c r="F24" s="20">
        <f>'[1]เย็น '!F28+'[1]เช้า '!F28+[1]บ่าย!F28</f>
        <v>0</v>
      </c>
      <c r="G24" s="20">
        <f>'[1]เย็น '!G28+'[1]เช้า '!G28+[1]บ่าย!G28</f>
        <v>0</v>
      </c>
      <c r="H24" s="20">
        <f>'[1]เย็น '!H28+'[1]เช้า '!H28+[1]บ่าย!H28</f>
        <v>0</v>
      </c>
      <c r="I24" s="20">
        <f>'[1]เย็น '!I28+'[1]เช้า '!I28+[1]บ่าย!I28</f>
        <v>0</v>
      </c>
      <c r="J24" s="21">
        <f t="shared" si="0"/>
        <v>0</v>
      </c>
      <c r="K24" s="20">
        <f>'[1]เย็น '!J28+'[1]เช้า '!J28+[1]บ่าย!J28</f>
        <v>0</v>
      </c>
      <c r="L24" s="20">
        <f>'[1]เย็น '!K28+'[1]เช้า '!K28+[1]บ่าย!K28</f>
        <v>0</v>
      </c>
      <c r="M24" s="22">
        <f t="shared" si="1"/>
        <v>0</v>
      </c>
      <c r="N24" s="18"/>
      <c r="O24" s="18"/>
      <c r="P24" s="23">
        <f t="shared" si="2"/>
        <v>0</v>
      </c>
    </row>
    <row r="25" spans="1:16" x14ac:dyDescent="0.6">
      <c r="A25" s="17">
        <v>23</v>
      </c>
      <c r="B25" s="18">
        <v>1004055</v>
      </c>
      <c r="C25" s="19" t="s">
        <v>38</v>
      </c>
      <c r="D25" s="20">
        <f>'[1]เย็น '!D29+'[1]เช้า '!D29+[1]บ่าย!D29</f>
        <v>0</v>
      </c>
      <c r="E25" s="20">
        <f>'[1]เย็น '!E29+'[1]เช้า '!E29+[1]บ่าย!E29</f>
        <v>0</v>
      </c>
      <c r="F25" s="20">
        <f>'[1]เย็น '!F29+'[1]เช้า '!F29+[1]บ่าย!F29</f>
        <v>0</v>
      </c>
      <c r="G25" s="20">
        <f>'[1]เย็น '!G29+'[1]เช้า '!G29+[1]บ่าย!G29</f>
        <v>0</v>
      </c>
      <c r="H25" s="20">
        <f>'[1]เย็น '!H29+'[1]เช้า '!H29+[1]บ่าย!H29</f>
        <v>0</v>
      </c>
      <c r="I25" s="20">
        <f>'[1]เย็น '!I29+'[1]เช้า '!I29+[1]บ่าย!I29</f>
        <v>0</v>
      </c>
      <c r="J25" s="21">
        <f t="shared" si="0"/>
        <v>0</v>
      </c>
      <c r="K25" s="20">
        <f>'[1]เย็น '!J29+'[1]เช้า '!J29+[1]บ่าย!J29</f>
        <v>0</v>
      </c>
      <c r="L25" s="20">
        <f>'[1]เย็น '!K29+'[1]เช้า '!K29+[1]บ่าย!K29</f>
        <v>0</v>
      </c>
      <c r="M25" s="22">
        <f t="shared" si="1"/>
        <v>0</v>
      </c>
      <c r="N25" s="18"/>
      <c r="O25" s="18"/>
      <c r="P25" s="23">
        <f t="shared" si="2"/>
        <v>0</v>
      </c>
    </row>
    <row r="26" spans="1:16" x14ac:dyDescent="0.6">
      <c r="A26" s="17">
        <v>24</v>
      </c>
      <c r="B26" s="18">
        <v>1004055</v>
      </c>
      <c r="C26" s="19" t="s">
        <v>39</v>
      </c>
      <c r="D26" s="20">
        <f>'[1]เย็น '!D30+'[1]เช้า '!D30+[1]บ่าย!D30</f>
        <v>0</v>
      </c>
      <c r="E26" s="20">
        <f>'[1]เย็น '!E30+'[1]เช้า '!E30+[1]บ่าย!E30</f>
        <v>0</v>
      </c>
      <c r="F26" s="20">
        <f>'[1]เย็น '!F30+'[1]เช้า '!F30+[1]บ่าย!F30</f>
        <v>0</v>
      </c>
      <c r="G26" s="20">
        <f>'[1]เย็น '!G30+'[1]เช้า '!G30+[1]บ่าย!G30</f>
        <v>0</v>
      </c>
      <c r="H26" s="20">
        <f>'[1]เย็น '!H30+'[1]เช้า '!H30+[1]บ่าย!H30</f>
        <v>0</v>
      </c>
      <c r="I26" s="20">
        <f>'[1]เย็น '!I30+'[1]เช้า '!I30+[1]บ่าย!I30</f>
        <v>0</v>
      </c>
      <c r="J26" s="21">
        <f t="shared" si="0"/>
        <v>0</v>
      </c>
      <c r="K26" s="20">
        <f>'[1]เย็น '!J30+'[1]เช้า '!J30+[1]บ่าย!J30</f>
        <v>0</v>
      </c>
      <c r="L26" s="20">
        <f>'[1]เย็น '!K30+'[1]เช้า '!K30+[1]บ่าย!K30</f>
        <v>0</v>
      </c>
      <c r="M26" s="22">
        <f t="shared" si="1"/>
        <v>0</v>
      </c>
      <c r="N26" s="18"/>
      <c r="O26" s="18"/>
      <c r="P26" s="23">
        <f t="shared" si="2"/>
        <v>0</v>
      </c>
    </row>
    <row r="27" spans="1:16" x14ac:dyDescent="0.6">
      <c r="A27" s="17">
        <v>25</v>
      </c>
      <c r="B27" s="18">
        <v>1004055</v>
      </c>
      <c r="C27" s="19" t="s">
        <v>40</v>
      </c>
      <c r="D27" s="20">
        <f>'[1]เย็น '!D31+'[1]เช้า '!D31+[1]บ่าย!D31</f>
        <v>0</v>
      </c>
      <c r="E27" s="20">
        <f>'[1]เย็น '!E31+'[1]เช้า '!E31+[1]บ่าย!E31</f>
        <v>0</v>
      </c>
      <c r="F27" s="20">
        <f>'[1]เย็น '!F31+'[1]เช้า '!F31+[1]บ่าย!F31</f>
        <v>0</v>
      </c>
      <c r="G27" s="20">
        <f>'[1]เย็น '!G31+'[1]เช้า '!G31+[1]บ่าย!G31</f>
        <v>0</v>
      </c>
      <c r="H27" s="20">
        <f>'[1]เย็น '!H31+'[1]เช้า '!H31+[1]บ่าย!H31</f>
        <v>0</v>
      </c>
      <c r="I27" s="20">
        <f>'[1]เย็น '!I31+'[1]เช้า '!I31+[1]บ่าย!I31</f>
        <v>0</v>
      </c>
      <c r="J27" s="21">
        <f t="shared" si="0"/>
        <v>0</v>
      </c>
      <c r="K27" s="20">
        <f>'[1]เย็น '!J31+'[1]เช้า '!J31+[1]บ่าย!J31</f>
        <v>0</v>
      </c>
      <c r="L27" s="20">
        <f>'[1]เย็น '!K31+'[1]เช้า '!K31+[1]บ่าย!K31</f>
        <v>0</v>
      </c>
      <c r="M27" s="22">
        <f t="shared" si="1"/>
        <v>0</v>
      </c>
      <c r="N27" s="18"/>
      <c r="O27" s="18"/>
      <c r="P27" s="23">
        <f t="shared" si="2"/>
        <v>0</v>
      </c>
    </row>
    <row r="28" spans="1:16" x14ac:dyDescent="0.6">
      <c r="A28" s="17">
        <v>26</v>
      </c>
      <c r="B28" s="18">
        <v>1004055</v>
      </c>
      <c r="C28" s="19" t="s">
        <v>41</v>
      </c>
      <c r="D28" s="20">
        <f>'[1]เย็น '!D32+'[1]เช้า '!D32+[1]บ่าย!D32</f>
        <v>0</v>
      </c>
      <c r="E28" s="20">
        <f>'[1]เย็น '!E32+'[1]เช้า '!E32+[1]บ่าย!E32</f>
        <v>0</v>
      </c>
      <c r="F28" s="20">
        <f>'[1]เย็น '!F32+'[1]เช้า '!F32+[1]บ่าย!F32</f>
        <v>0</v>
      </c>
      <c r="G28" s="20">
        <f>'[1]เย็น '!G32+'[1]เช้า '!G32+[1]บ่าย!G32</f>
        <v>0</v>
      </c>
      <c r="H28" s="20">
        <f>'[1]เย็น '!H32+'[1]เช้า '!H32+[1]บ่าย!H32</f>
        <v>0</v>
      </c>
      <c r="I28" s="20">
        <f>'[1]เย็น '!I32+'[1]เช้า '!I32+[1]บ่าย!I32</f>
        <v>0</v>
      </c>
      <c r="J28" s="21">
        <f t="shared" si="0"/>
        <v>0</v>
      </c>
      <c r="K28" s="20">
        <f>'[1]เย็น '!J32+'[1]เช้า '!J32+[1]บ่าย!J32</f>
        <v>0</v>
      </c>
      <c r="L28" s="20">
        <f>'[1]เย็น '!K32+'[1]เช้า '!K32+[1]บ่าย!K32</f>
        <v>0</v>
      </c>
      <c r="M28" s="22">
        <f t="shared" si="1"/>
        <v>0</v>
      </c>
      <c r="N28" s="18"/>
      <c r="O28" s="18"/>
      <c r="P28" s="23">
        <f t="shared" si="2"/>
        <v>0</v>
      </c>
    </row>
    <row r="29" spans="1:16" x14ac:dyDescent="0.6">
      <c r="A29" s="17">
        <v>27</v>
      </c>
      <c r="B29" s="18">
        <v>1004055</v>
      </c>
      <c r="C29" s="19" t="s">
        <v>42</v>
      </c>
      <c r="D29" s="20">
        <f>'[1]เย็น '!D33+'[1]เช้า '!D33+[1]บ่าย!D33</f>
        <v>0</v>
      </c>
      <c r="E29" s="20">
        <f>'[1]เย็น '!E33+'[1]เช้า '!E33+[1]บ่าย!E33</f>
        <v>0</v>
      </c>
      <c r="F29" s="20">
        <f>'[1]เย็น '!F33+'[1]เช้า '!F33+[1]บ่าย!F33</f>
        <v>0</v>
      </c>
      <c r="G29" s="20">
        <f>'[1]เย็น '!G33+'[1]เช้า '!G33+[1]บ่าย!G33</f>
        <v>0</v>
      </c>
      <c r="H29" s="20">
        <f>'[1]เย็น '!H33+'[1]เช้า '!H33+[1]บ่าย!H33</f>
        <v>0</v>
      </c>
      <c r="I29" s="20">
        <f>'[1]เย็น '!I33+'[1]เช้า '!I33+[1]บ่าย!I33</f>
        <v>0</v>
      </c>
      <c r="J29" s="21">
        <f t="shared" si="0"/>
        <v>0</v>
      </c>
      <c r="K29" s="20">
        <f>'[1]เย็น '!J33+'[1]เช้า '!J33+[1]บ่าย!J33</f>
        <v>0</v>
      </c>
      <c r="L29" s="20">
        <f>'[1]เย็น '!K33+'[1]เช้า '!K33+[1]บ่าย!K33</f>
        <v>0</v>
      </c>
      <c r="M29" s="22">
        <f t="shared" si="1"/>
        <v>0</v>
      </c>
      <c r="N29" s="18"/>
      <c r="O29" s="18"/>
      <c r="P29" s="23">
        <f t="shared" si="2"/>
        <v>0</v>
      </c>
    </row>
    <row r="30" spans="1:16" x14ac:dyDescent="0.6">
      <c r="A30" s="17">
        <v>28</v>
      </c>
      <c r="B30" s="18">
        <v>1004055</v>
      </c>
      <c r="C30" s="19" t="s">
        <v>43</v>
      </c>
      <c r="D30" s="20">
        <f>'[1]เย็น '!D34+'[1]เช้า '!D34+[1]บ่าย!D34</f>
        <v>0</v>
      </c>
      <c r="E30" s="20">
        <f>'[1]เย็น '!E34+'[1]เช้า '!E34+[1]บ่าย!E34</f>
        <v>0</v>
      </c>
      <c r="F30" s="20">
        <f>'[1]เย็น '!F34+'[1]เช้า '!F34+[1]บ่าย!F34</f>
        <v>0</v>
      </c>
      <c r="G30" s="20">
        <f>'[1]เย็น '!G34+'[1]เช้า '!G34+[1]บ่าย!G34</f>
        <v>0</v>
      </c>
      <c r="H30" s="20">
        <f>'[1]เย็น '!H34+'[1]เช้า '!H34+[1]บ่าย!H34</f>
        <v>0</v>
      </c>
      <c r="I30" s="20">
        <f>'[1]เย็น '!I34+'[1]เช้า '!I34+[1]บ่าย!I34</f>
        <v>0</v>
      </c>
      <c r="J30" s="21">
        <f t="shared" si="0"/>
        <v>0</v>
      </c>
      <c r="K30" s="20">
        <f>'[1]เย็น '!J34+'[1]เช้า '!J34+[1]บ่าย!J34</f>
        <v>0</v>
      </c>
      <c r="L30" s="20">
        <f>'[1]เย็น '!K34+'[1]เช้า '!K34+[1]บ่าย!K34</f>
        <v>0</v>
      </c>
      <c r="M30" s="22">
        <f t="shared" si="1"/>
        <v>0</v>
      </c>
      <c r="N30" s="18"/>
      <c r="O30" s="18"/>
      <c r="P30" s="23">
        <f t="shared" si="2"/>
        <v>0</v>
      </c>
    </row>
    <row r="31" spans="1:16" x14ac:dyDescent="0.6">
      <c r="A31" s="17">
        <v>29</v>
      </c>
      <c r="B31" s="18">
        <v>1004055</v>
      </c>
      <c r="C31" s="19" t="s">
        <v>44</v>
      </c>
      <c r="D31" s="20">
        <f>'[1]เย็น '!D35+'[1]เช้า '!D35+[1]บ่าย!D35</f>
        <v>0</v>
      </c>
      <c r="E31" s="20">
        <f>'[1]เย็น '!E35+'[1]เช้า '!E35+[1]บ่าย!E35</f>
        <v>0</v>
      </c>
      <c r="F31" s="20">
        <f>'[1]เย็น '!F35+'[1]เช้า '!F35+[1]บ่าย!F35</f>
        <v>0</v>
      </c>
      <c r="G31" s="20">
        <f>'[1]เย็น '!G35+'[1]เช้า '!G35+[1]บ่าย!G35</f>
        <v>0</v>
      </c>
      <c r="H31" s="20">
        <f>'[1]เย็น '!H35+'[1]เช้า '!H35+[1]บ่าย!H35</f>
        <v>0</v>
      </c>
      <c r="I31" s="20">
        <f>'[1]เย็น '!I35+'[1]เช้า '!I35+[1]บ่าย!I35</f>
        <v>0</v>
      </c>
      <c r="J31" s="21">
        <f t="shared" si="0"/>
        <v>0</v>
      </c>
      <c r="K31" s="20">
        <f>'[1]เย็น '!J35+'[1]เช้า '!J35+[1]บ่าย!J35</f>
        <v>0</v>
      </c>
      <c r="L31" s="20">
        <f>'[1]เย็น '!K35+'[1]เช้า '!K35+[1]บ่าย!K35</f>
        <v>0</v>
      </c>
      <c r="M31" s="22">
        <f t="shared" si="1"/>
        <v>0</v>
      </c>
      <c r="N31" s="18"/>
      <c r="O31" s="18"/>
      <c r="P31" s="23">
        <f t="shared" si="2"/>
        <v>0</v>
      </c>
    </row>
    <row r="32" spans="1:16" x14ac:dyDescent="0.6">
      <c r="A32" s="17">
        <v>30</v>
      </c>
      <c r="B32" s="18">
        <v>1004055</v>
      </c>
      <c r="C32" s="19" t="s">
        <v>45</v>
      </c>
      <c r="D32" s="20">
        <f>'[1]เย็น '!D36+'[1]เช้า '!D36+[1]บ่าย!D36</f>
        <v>0</v>
      </c>
      <c r="E32" s="20">
        <f>'[1]เย็น '!E36+'[1]เช้า '!E36+[1]บ่าย!E36</f>
        <v>0</v>
      </c>
      <c r="F32" s="20">
        <f>'[1]เย็น '!F36+'[1]เช้า '!F36+[1]บ่าย!F36</f>
        <v>0</v>
      </c>
      <c r="G32" s="20">
        <f>'[1]เย็น '!G36+'[1]เช้า '!G36+[1]บ่าย!G36</f>
        <v>0</v>
      </c>
      <c r="H32" s="20">
        <f>'[1]เย็น '!H36+'[1]เช้า '!H36+[1]บ่าย!H36</f>
        <v>0</v>
      </c>
      <c r="I32" s="20">
        <f>'[1]เย็น '!I36+'[1]เช้า '!I36+[1]บ่าย!I36</f>
        <v>0</v>
      </c>
      <c r="J32" s="21">
        <f t="shared" si="0"/>
        <v>0</v>
      </c>
      <c r="K32" s="20">
        <f>'[1]เย็น '!J36+'[1]เช้า '!J36+[1]บ่าย!J36</f>
        <v>0</v>
      </c>
      <c r="L32" s="20">
        <f>'[1]เย็น '!K36+'[1]เช้า '!K36+[1]บ่าย!K36</f>
        <v>0</v>
      </c>
      <c r="M32" s="22">
        <f t="shared" si="1"/>
        <v>0</v>
      </c>
      <c r="N32" s="18"/>
      <c r="O32" s="18"/>
      <c r="P32" s="23">
        <f t="shared" si="2"/>
        <v>0</v>
      </c>
    </row>
    <row r="33" spans="1:18" x14ac:dyDescent="0.6">
      <c r="A33" s="17">
        <v>31</v>
      </c>
      <c r="B33" s="18">
        <v>1004055</v>
      </c>
      <c r="C33" s="19" t="s">
        <v>46</v>
      </c>
      <c r="D33" s="20">
        <f>'[1]เย็น '!D37+'[1]เช้า '!D37+[1]บ่าย!D37</f>
        <v>0</v>
      </c>
      <c r="E33" s="20">
        <f>'[1]เย็น '!E37+'[1]เช้า '!E37+[1]บ่าย!E37</f>
        <v>0</v>
      </c>
      <c r="F33" s="20">
        <f>'[1]เย็น '!F37+'[1]เช้า '!F37+[1]บ่าย!F37</f>
        <v>0</v>
      </c>
      <c r="G33" s="20">
        <f>'[1]เย็น '!G37+'[1]เช้า '!G37+[1]บ่าย!G37</f>
        <v>0</v>
      </c>
      <c r="H33" s="20">
        <f>'[1]เย็น '!H37+'[1]เช้า '!H37+[1]บ่าย!H37</f>
        <v>0</v>
      </c>
      <c r="I33" s="20">
        <f>'[1]เย็น '!I37+'[1]เช้า '!I37+[1]บ่าย!I37</f>
        <v>0</v>
      </c>
      <c r="J33" s="21">
        <f t="shared" si="0"/>
        <v>0</v>
      </c>
      <c r="K33" s="20">
        <f>'[1]เย็น '!J37+'[1]เช้า '!J37+[1]บ่าย!J37</f>
        <v>0</v>
      </c>
      <c r="L33" s="20">
        <f>'[1]เย็น '!K37+'[1]เช้า '!K37+[1]บ่าย!K37</f>
        <v>0</v>
      </c>
      <c r="M33" s="22">
        <f t="shared" si="1"/>
        <v>0</v>
      </c>
      <c r="N33" s="18"/>
      <c r="O33" s="18"/>
      <c r="P33" s="23">
        <f t="shared" si="2"/>
        <v>0</v>
      </c>
    </row>
    <row r="34" spans="1:18" x14ac:dyDescent="0.6">
      <c r="A34" s="17">
        <v>32</v>
      </c>
      <c r="B34" s="18">
        <v>1004055</v>
      </c>
      <c r="C34" s="19" t="s">
        <v>47</v>
      </c>
      <c r="D34" s="20">
        <f>'[1]เย็น '!D38+'[1]เช้า '!D38+[1]บ่าย!D38</f>
        <v>0</v>
      </c>
      <c r="E34" s="20">
        <f>'[1]เย็น '!E38+'[1]เช้า '!E38+[1]บ่าย!E38</f>
        <v>0</v>
      </c>
      <c r="F34" s="20">
        <f>'[1]เย็น '!F38+'[1]เช้า '!F38+[1]บ่าย!F38</f>
        <v>0</v>
      </c>
      <c r="G34" s="20">
        <f>'[1]เย็น '!G38+'[1]เช้า '!G38+[1]บ่าย!G38</f>
        <v>0</v>
      </c>
      <c r="H34" s="20">
        <f>'[1]เย็น '!H38+'[1]เช้า '!H38+[1]บ่าย!H38</f>
        <v>0</v>
      </c>
      <c r="I34" s="20">
        <f>'[1]เย็น '!I38+'[1]เช้า '!I38+[1]บ่าย!I38</f>
        <v>0</v>
      </c>
      <c r="J34" s="21">
        <f t="shared" si="0"/>
        <v>0</v>
      </c>
      <c r="K34" s="20">
        <f>'[1]เย็น '!J38+'[1]เช้า '!J38+[1]บ่าย!J38</f>
        <v>0</v>
      </c>
      <c r="L34" s="20">
        <f>'[1]เย็น '!K38+'[1]เช้า '!K38+[1]บ่าย!K38</f>
        <v>0</v>
      </c>
      <c r="M34" s="22">
        <f t="shared" si="1"/>
        <v>0</v>
      </c>
      <c r="N34" s="18"/>
      <c r="O34" s="18"/>
      <c r="P34" s="23">
        <f t="shared" si="2"/>
        <v>0</v>
      </c>
    </row>
    <row r="35" spans="1:18" x14ac:dyDescent="0.6">
      <c r="A35" s="17">
        <v>33</v>
      </c>
      <c r="B35" s="18">
        <v>1004055</v>
      </c>
      <c r="C35" s="19" t="s">
        <v>48</v>
      </c>
      <c r="D35" s="20">
        <f>'[1]เย็น '!D39+'[1]เช้า '!D39+[1]บ่าย!D39</f>
        <v>0</v>
      </c>
      <c r="E35" s="20">
        <f>'[1]เย็น '!E39+'[1]เช้า '!E39+[1]บ่าย!E39</f>
        <v>0</v>
      </c>
      <c r="F35" s="20">
        <f>'[1]เย็น '!F39+'[1]เช้า '!F39+[1]บ่าย!F39</f>
        <v>0</v>
      </c>
      <c r="G35" s="20">
        <f>'[1]เย็น '!G39+'[1]เช้า '!G39+[1]บ่าย!G39</f>
        <v>0</v>
      </c>
      <c r="H35" s="20">
        <f>'[1]เย็น '!H39+'[1]เช้า '!H39+[1]บ่าย!H39</f>
        <v>0</v>
      </c>
      <c r="I35" s="20">
        <f>'[1]เย็น '!I39+'[1]เช้า '!I39+[1]บ่าย!I39</f>
        <v>0</v>
      </c>
      <c r="J35" s="21">
        <f t="shared" si="0"/>
        <v>0</v>
      </c>
      <c r="K35" s="20">
        <f>'[1]เย็น '!J39+'[1]เช้า '!J39+[1]บ่าย!J39</f>
        <v>0</v>
      </c>
      <c r="L35" s="20">
        <f>'[1]เย็น '!K39+'[1]เช้า '!K39+[1]บ่าย!K39</f>
        <v>0</v>
      </c>
      <c r="M35" s="22">
        <f t="shared" si="1"/>
        <v>0</v>
      </c>
      <c r="N35" s="18"/>
      <c r="O35" s="18"/>
      <c r="P35" s="23">
        <f t="shared" si="2"/>
        <v>0</v>
      </c>
    </row>
    <row r="36" spans="1:18" x14ac:dyDescent="0.6">
      <c r="A36" s="17">
        <v>34</v>
      </c>
      <c r="B36" s="18">
        <v>1111057</v>
      </c>
      <c r="C36" s="19" t="s">
        <v>49</v>
      </c>
      <c r="D36" s="20">
        <f>'[1]เย็น '!D40+'[1]เช้า '!D40+[1]บ่าย!D40</f>
        <v>0</v>
      </c>
      <c r="E36" s="20">
        <f>'[1]เย็น '!E40+'[1]เช้า '!E40+[1]บ่าย!E40</f>
        <v>0</v>
      </c>
      <c r="F36" s="20">
        <f>'[1]เย็น '!F40+'[1]เช้า '!F40+[1]บ่าย!F40</f>
        <v>1</v>
      </c>
      <c r="G36" s="20">
        <f>'[1]เย็น '!G40+'[1]เช้า '!G40+[1]บ่าย!G40</f>
        <v>0</v>
      </c>
      <c r="H36" s="20">
        <f>'[1]เย็น '!H40+'[1]เช้า '!H40+[1]บ่าย!H40</f>
        <v>0</v>
      </c>
      <c r="I36" s="20">
        <f>'[1]เย็น '!I40+'[1]เช้า '!I40+[1]บ่าย!I40</f>
        <v>0</v>
      </c>
      <c r="J36" s="21">
        <f t="shared" si="0"/>
        <v>0</v>
      </c>
      <c r="K36" s="20">
        <f>'[1]เย็น '!J40+'[1]เช้า '!J40+[1]บ่าย!J40</f>
        <v>0</v>
      </c>
      <c r="L36" s="20">
        <f>'[1]เย็น '!K40+'[1]เช้า '!K40+[1]บ่าย!K40</f>
        <v>0</v>
      </c>
      <c r="M36" s="22">
        <f t="shared" si="1"/>
        <v>1</v>
      </c>
      <c r="N36" s="18"/>
      <c r="O36" s="18"/>
      <c r="P36" s="23">
        <f t="shared" si="2"/>
        <v>-1</v>
      </c>
    </row>
    <row r="37" spans="1:18" x14ac:dyDescent="0.6">
      <c r="A37" s="17">
        <v>35</v>
      </c>
      <c r="B37" s="18">
        <v>1111058</v>
      </c>
      <c r="C37" s="19" t="s">
        <v>50</v>
      </c>
      <c r="D37" s="20">
        <f>'[1]เย็น '!D41+'[1]เช้า '!D41+[1]บ่าย!D41</f>
        <v>0</v>
      </c>
      <c r="E37" s="20">
        <f>'[1]เย็น '!E41+'[1]เช้า '!E41+[1]บ่าย!E41</f>
        <v>0</v>
      </c>
      <c r="F37" s="20">
        <f>'[1]เย็น '!F41+'[1]เช้า '!F41+[1]บ่าย!F41</f>
        <v>0</v>
      </c>
      <c r="G37" s="20">
        <f>'[1]เย็น '!G41+'[1]เช้า '!G41+[1]บ่าย!G41</f>
        <v>0</v>
      </c>
      <c r="H37" s="20">
        <f>'[1]เย็น '!H41+'[1]เช้า '!H41+[1]บ่าย!H41</f>
        <v>0</v>
      </c>
      <c r="I37" s="20">
        <f>'[1]เย็น '!I41+'[1]เช้า '!I41+[1]บ่าย!I41</f>
        <v>0</v>
      </c>
      <c r="J37" s="21">
        <f t="shared" si="0"/>
        <v>0</v>
      </c>
      <c r="K37" s="20">
        <f>'[1]เย็น '!J41+'[1]เช้า '!J41+[1]บ่าย!J41</f>
        <v>0</v>
      </c>
      <c r="L37" s="20">
        <f>'[1]เย็น '!K41+'[1]เช้า '!K41+[1]บ่าย!K41</f>
        <v>0</v>
      </c>
      <c r="M37" s="22">
        <f t="shared" si="1"/>
        <v>0</v>
      </c>
      <c r="N37" s="18"/>
      <c r="O37" s="18"/>
      <c r="P37" s="23">
        <f t="shared" si="2"/>
        <v>0</v>
      </c>
    </row>
    <row r="38" spans="1:18" x14ac:dyDescent="0.6">
      <c r="A38" s="17">
        <v>36</v>
      </c>
      <c r="B38" s="18">
        <v>1111059</v>
      </c>
      <c r="C38" s="19" t="s">
        <v>51</v>
      </c>
      <c r="D38" s="20">
        <f>'[1]เย็น '!D42+'[1]เช้า '!D42+[1]บ่าย!D42</f>
        <v>0</v>
      </c>
      <c r="E38" s="20">
        <f>'[1]เย็น '!E42+'[1]เช้า '!E42+[1]บ่าย!E42</f>
        <v>0</v>
      </c>
      <c r="F38" s="20">
        <f>'[1]เย็น '!F42+'[1]เช้า '!F42+[1]บ่าย!F42</f>
        <v>0</v>
      </c>
      <c r="G38" s="20">
        <f>'[1]เย็น '!G42+'[1]เช้า '!G42+[1]บ่าย!G42</f>
        <v>5</v>
      </c>
      <c r="H38" s="20">
        <f>'[1]เย็น '!H42+'[1]เช้า '!H42+[1]บ่าย!H42</f>
        <v>0</v>
      </c>
      <c r="I38" s="20">
        <f>'[1]เย็น '!I42+'[1]เช้า '!I42+[1]บ่าย!I42</f>
        <v>0</v>
      </c>
      <c r="J38" s="21">
        <f t="shared" si="0"/>
        <v>5</v>
      </c>
      <c r="K38" s="20">
        <f>'[1]เย็น '!J42+'[1]เช้า '!J42+[1]บ่าย!J42</f>
        <v>0</v>
      </c>
      <c r="L38" s="20">
        <f>'[1]เย็น '!K42+'[1]เช้า '!K42+[1]บ่าย!K42</f>
        <v>0</v>
      </c>
      <c r="M38" s="22">
        <f t="shared" si="1"/>
        <v>5</v>
      </c>
      <c r="N38" s="18"/>
      <c r="O38" s="18"/>
      <c r="P38" s="23">
        <f t="shared" si="2"/>
        <v>-5</v>
      </c>
    </row>
    <row r="39" spans="1:18" x14ac:dyDescent="0.6">
      <c r="A39" s="17">
        <v>37</v>
      </c>
      <c r="B39" s="18">
        <v>1111060</v>
      </c>
      <c r="C39" s="19" t="s">
        <v>52</v>
      </c>
      <c r="D39" s="20">
        <f>'[1]เย็น '!D43+'[1]เช้า '!D43+[1]บ่าย!D43</f>
        <v>0</v>
      </c>
      <c r="E39" s="20">
        <f>'[1]เย็น '!E43+'[1]เช้า '!E43+[1]บ่าย!E43</f>
        <v>0</v>
      </c>
      <c r="F39" s="20">
        <f>'[1]เย็น '!F43+'[1]เช้า '!F43+[1]บ่าย!F43</f>
        <v>0</v>
      </c>
      <c r="G39" s="20">
        <f>'[1]เย็น '!G43+'[1]เช้า '!G43+[1]บ่าย!G43</f>
        <v>0</v>
      </c>
      <c r="H39" s="20">
        <f>'[1]เย็น '!H43+'[1]เช้า '!H43+[1]บ่าย!H43</f>
        <v>0</v>
      </c>
      <c r="I39" s="20">
        <f>'[1]เย็น '!I43+'[1]เช้า '!I43+[1]บ่าย!I43</f>
        <v>0</v>
      </c>
      <c r="J39" s="21">
        <f t="shared" si="0"/>
        <v>0</v>
      </c>
      <c r="K39" s="20">
        <f>'[1]เย็น '!J43+'[1]เช้า '!J43+[1]บ่าย!J43</f>
        <v>0</v>
      </c>
      <c r="L39" s="20">
        <f>'[1]เย็น '!K43+'[1]เช้า '!K43+[1]บ่าย!K43</f>
        <v>0</v>
      </c>
      <c r="M39" s="22">
        <f t="shared" si="1"/>
        <v>0</v>
      </c>
      <c r="N39" s="18"/>
      <c r="O39" s="18"/>
      <c r="P39" s="23">
        <f t="shared" si="2"/>
        <v>0</v>
      </c>
    </row>
    <row r="40" spans="1:18" x14ac:dyDescent="0.6">
      <c r="A40" s="17">
        <v>38</v>
      </c>
      <c r="B40" s="18">
        <v>1111061</v>
      </c>
      <c r="C40" s="19" t="s">
        <v>53</v>
      </c>
      <c r="D40" s="20">
        <f>'[1]เย็น '!D44+'[1]เช้า '!D44+[1]บ่าย!D44</f>
        <v>0</v>
      </c>
      <c r="E40" s="20">
        <f>'[1]เย็น '!E44+'[1]เช้า '!E44+[1]บ่าย!E44</f>
        <v>0</v>
      </c>
      <c r="F40" s="20">
        <f>'[1]เย็น '!F44+'[1]เช้า '!F44+[1]บ่าย!F44</f>
        <v>0</v>
      </c>
      <c r="G40" s="20">
        <f>'[1]เย็น '!G44+'[1]เช้า '!G44+[1]บ่าย!G44</f>
        <v>0</v>
      </c>
      <c r="H40" s="20">
        <f>'[1]เย็น '!H44+'[1]เช้า '!H44+[1]บ่าย!H44</f>
        <v>0</v>
      </c>
      <c r="I40" s="20">
        <f>'[1]เย็น '!I44+'[1]เช้า '!I44+[1]บ่าย!I44</f>
        <v>0</v>
      </c>
      <c r="J40" s="21">
        <f t="shared" si="0"/>
        <v>0</v>
      </c>
      <c r="K40" s="20">
        <f>'[1]เย็น '!J44+'[1]เช้า '!J44+[1]บ่าย!J44</f>
        <v>0</v>
      </c>
      <c r="L40" s="20">
        <f>'[1]เย็น '!K44+'[1]เช้า '!K44+[1]บ่าย!K44</f>
        <v>0</v>
      </c>
      <c r="M40" s="22">
        <f t="shared" si="1"/>
        <v>0</v>
      </c>
      <c r="N40" s="18"/>
      <c r="O40" s="18"/>
      <c r="P40" s="23">
        <f t="shared" si="2"/>
        <v>0</v>
      </c>
    </row>
    <row r="41" spans="1:18" x14ac:dyDescent="0.6">
      <c r="A41" s="17">
        <v>39</v>
      </c>
      <c r="B41" s="18">
        <v>1111062</v>
      </c>
      <c r="C41" s="19" t="s">
        <v>54</v>
      </c>
      <c r="D41" s="20">
        <f>'[1]เย็น '!D45+'[1]เช้า '!D45+[1]บ่าย!D45</f>
        <v>0</v>
      </c>
      <c r="E41" s="20">
        <f>'[1]เย็น '!E45+'[1]เช้า '!E45+[1]บ่าย!E45</f>
        <v>0</v>
      </c>
      <c r="F41" s="20">
        <f>'[1]เย็น '!F45+'[1]เช้า '!F45+[1]บ่าย!F45</f>
        <v>0</v>
      </c>
      <c r="G41" s="20">
        <f>'[1]เย็น '!G45+'[1]เช้า '!G45+[1]บ่าย!G45</f>
        <v>0</v>
      </c>
      <c r="H41" s="20">
        <f>'[1]เย็น '!H45+'[1]เช้า '!H45+[1]บ่าย!H45</f>
        <v>0</v>
      </c>
      <c r="I41" s="20">
        <f>'[1]เย็น '!I45+'[1]เช้า '!I45+[1]บ่าย!I45</f>
        <v>0</v>
      </c>
      <c r="J41" s="21">
        <f t="shared" si="0"/>
        <v>0</v>
      </c>
      <c r="K41" s="20">
        <f>'[1]เย็น '!J45+'[1]เช้า '!J45+[1]บ่าย!J45</f>
        <v>0</v>
      </c>
      <c r="L41" s="20">
        <f>'[1]เย็น '!K45+'[1]เช้า '!K45+[1]บ่าย!K45</f>
        <v>0</v>
      </c>
      <c r="M41" s="22">
        <f t="shared" si="1"/>
        <v>0</v>
      </c>
      <c r="N41" s="18"/>
      <c r="O41" s="18"/>
      <c r="P41" s="23">
        <f t="shared" si="2"/>
        <v>0</v>
      </c>
    </row>
    <row r="42" spans="1:18" x14ac:dyDescent="0.6">
      <c r="A42" s="17">
        <v>40</v>
      </c>
      <c r="B42" s="18">
        <v>1111063</v>
      </c>
      <c r="C42" s="19" t="s">
        <v>55</v>
      </c>
      <c r="D42" s="20">
        <f>'[1]เย็น '!D46+'[1]เช้า '!D46+[1]บ่าย!D46</f>
        <v>0</v>
      </c>
      <c r="E42" s="20">
        <f>'[1]เย็น '!E46+'[1]เช้า '!E46+[1]บ่าย!E46</f>
        <v>0</v>
      </c>
      <c r="F42" s="20">
        <f>'[1]เย็น '!F46+'[1]เช้า '!F46+[1]บ่าย!F46</f>
        <v>0</v>
      </c>
      <c r="G42" s="20">
        <f>'[1]เย็น '!G46+'[1]เช้า '!G46+[1]บ่าย!G46</f>
        <v>0</v>
      </c>
      <c r="H42" s="20">
        <f>'[1]เย็น '!H46+'[1]เช้า '!H46+[1]บ่าย!H46</f>
        <v>0</v>
      </c>
      <c r="I42" s="20">
        <f>'[1]เย็น '!I46+'[1]เช้า '!I46+[1]บ่าย!I46</f>
        <v>0</v>
      </c>
      <c r="J42" s="21">
        <f t="shared" si="0"/>
        <v>0</v>
      </c>
      <c r="K42" s="20">
        <f>'[1]เย็น '!J46+'[1]เช้า '!J46+[1]บ่าย!J46</f>
        <v>0</v>
      </c>
      <c r="L42" s="20">
        <f>'[1]เย็น '!K46+'[1]เช้า '!K46+[1]บ่าย!K46</f>
        <v>0</v>
      </c>
      <c r="M42" s="22">
        <f t="shared" si="1"/>
        <v>0</v>
      </c>
      <c r="N42" s="18"/>
      <c r="O42" s="18"/>
      <c r="P42" s="23">
        <f t="shared" si="2"/>
        <v>0</v>
      </c>
    </row>
    <row r="43" spans="1:18" x14ac:dyDescent="0.6">
      <c r="A43" s="17">
        <v>41</v>
      </c>
      <c r="B43" s="18">
        <v>1111064</v>
      </c>
      <c r="C43" s="19" t="s">
        <v>56</v>
      </c>
      <c r="D43" s="20">
        <f>'[1]เย็น '!D47+'[1]เช้า '!D47+[1]บ่าย!D47</f>
        <v>0</v>
      </c>
      <c r="E43" s="20">
        <f>'[1]เย็น '!E47+'[1]เช้า '!E47+[1]บ่าย!E47</f>
        <v>0</v>
      </c>
      <c r="F43" s="20">
        <f>'[1]เย็น '!F47+'[1]เช้า '!F47+[1]บ่าย!F47</f>
        <v>0</v>
      </c>
      <c r="G43" s="20">
        <f>'[1]เย็น '!G47+'[1]เช้า '!G47+[1]บ่าย!G47</f>
        <v>0</v>
      </c>
      <c r="H43" s="20">
        <f>'[1]เย็น '!H47+'[1]เช้า '!H47+[1]บ่าย!H47</f>
        <v>0</v>
      </c>
      <c r="I43" s="20">
        <f>'[1]เย็น '!I47+'[1]เช้า '!I47+[1]บ่าย!I47</f>
        <v>0</v>
      </c>
      <c r="J43" s="21">
        <f t="shared" si="0"/>
        <v>0</v>
      </c>
      <c r="K43" s="20">
        <f>'[1]เย็น '!J47+'[1]เช้า '!J47+[1]บ่าย!J47</f>
        <v>0</v>
      </c>
      <c r="L43" s="20">
        <f>'[1]เย็น '!K47+'[1]เช้า '!K47+[1]บ่าย!K47</f>
        <v>0</v>
      </c>
      <c r="M43" s="22">
        <f t="shared" si="1"/>
        <v>0</v>
      </c>
      <c r="N43" s="18"/>
      <c r="O43" s="18"/>
      <c r="P43" s="23">
        <f t="shared" si="2"/>
        <v>0</v>
      </c>
    </row>
    <row r="44" spans="1:18" x14ac:dyDescent="0.6">
      <c r="A44" s="17">
        <v>42</v>
      </c>
      <c r="B44" s="18">
        <v>1111065</v>
      </c>
      <c r="C44" s="19" t="s">
        <v>57</v>
      </c>
      <c r="D44" s="20">
        <f>'[1]เย็น '!D48+'[1]เช้า '!D48+[1]บ่าย!D48</f>
        <v>0</v>
      </c>
      <c r="E44" s="20">
        <f>'[1]เย็น '!E48+'[1]เช้า '!E48+[1]บ่าย!E48</f>
        <v>0</v>
      </c>
      <c r="F44" s="20">
        <f>'[1]เย็น '!F48+'[1]เช้า '!F48+[1]บ่าย!F48</f>
        <v>0</v>
      </c>
      <c r="G44" s="20">
        <f>'[1]เย็น '!G48+'[1]เช้า '!G48+[1]บ่าย!G48</f>
        <v>0</v>
      </c>
      <c r="H44" s="20">
        <f>'[1]เย็น '!H48+'[1]เช้า '!H48+[1]บ่าย!H48</f>
        <v>0</v>
      </c>
      <c r="I44" s="20">
        <f>'[1]เย็น '!I48+'[1]เช้า '!I48+[1]บ่าย!I48</f>
        <v>0</v>
      </c>
      <c r="J44" s="21">
        <f t="shared" si="0"/>
        <v>0</v>
      </c>
      <c r="K44" s="20">
        <f>'[1]เย็น '!J48+'[1]เช้า '!J48+[1]บ่าย!J48</f>
        <v>0</v>
      </c>
      <c r="L44" s="20">
        <f>'[1]เย็น '!K48+'[1]เช้า '!K48+[1]บ่าย!K48</f>
        <v>0</v>
      </c>
      <c r="M44" s="22">
        <f t="shared" si="1"/>
        <v>0</v>
      </c>
      <c r="N44" s="18"/>
      <c r="O44" s="18"/>
      <c r="P44" s="23">
        <f t="shared" si="2"/>
        <v>0</v>
      </c>
    </row>
    <row r="45" spans="1:18" x14ac:dyDescent="0.6">
      <c r="A45" s="17">
        <v>43</v>
      </c>
      <c r="B45" s="18">
        <v>1111066</v>
      </c>
      <c r="C45" s="19" t="s">
        <v>58</v>
      </c>
      <c r="D45" s="20">
        <f>'[1]เย็น '!D49+'[1]เช้า '!D49+[1]บ่าย!D49</f>
        <v>0</v>
      </c>
      <c r="E45" s="20">
        <f>'[1]เย็น '!E49+'[1]เช้า '!E49+[1]บ่าย!E49</f>
        <v>0</v>
      </c>
      <c r="F45" s="20">
        <f>'[1]เย็น '!F49+'[1]เช้า '!F49+[1]บ่าย!F49</f>
        <v>0</v>
      </c>
      <c r="G45" s="20">
        <f>'[1]เย็น '!G49+'[1]เช้า '!G49+[1]บ่าย!G49</f>
        <v>0</v>
      </c>
      <c r="H45" s="20">
        <f>'[1]เย็น '!H49+'[1]เช้า '!H49+[1]บ่าย!H49</f>
        <v>0</v>
      </c>
      <c r="I45" s="20">
        <f>'[1]เย็น '!I49+'[1]เช้า '!I49+[1]บ่าย!I49</f>
        <v>0</v>
      </c>
      <c r="J45" s="21">
        <f t="shared" si="0"/>
        <v>0</v>
      </c>
      <c r="K45" s="20">
        <f>'[1]เย็น '!J49+'[1]เช้า '!J49+[1]บ่าย!J49</f>
        <v>0</v>
      </c>
      <c r="L45" s="20">
        <f>'[1]เย็น '!K49+'[1]เช้า '!K49+[1]บ่าย!K49</f>
        <v>0</v>
      </c>
      <c r="M45" s="22">
        <f t="shared" si="1"/>
        <v>0</v>
      </c>
      <c r="N45" s="18"/>
      <c r="O45" s="18"/>
      <c r="P45" s="23">
        <f t="shared" si="2"/>
        <v>0</v>
      </c>
    </row>
    <row r="46" spans="1:18" x14ac:dyDescent="0.6">
      <c r="A46" s="17">
        <v>44</v>
      </c>
      <c r="B46" s="18">
        <v>1111067</v>
      </c>
      <c r="C46" s="19" t="s">
        <v>59</v>
      </c>
      <c r="D46" s="20">
        <f>'[1]เย็น '!D50+'[1]เช้า '!D50+[1]บ่าย!D50</f>
        <v>0</v>
      </c>
      <c r="E46" s="20">
        <f>'[1]เย็น '!E50+'[1]เช้า '!E50+[1]บ่าย!E50</f>
        <v>0</v>
      </c>
      <c r="F46" s="20">
        <f>'[1]เย็น '!F50+'[1]เช้า '!F50+[1]บ่าย!F50</f>
        <v>0</v>
      </c>
      <c r="G46" s="20">
        <f>'[1]เย็น '!G50+'[1]เช้า '!G50+[1]บ่าย!G50</f>
        <v>5</v>
      </c>
      <c r="H46" s="20">
        <f>'[1]เย็น '!H50+'[1]เช้า '!H50+[1]บ่าย!H50</f>
        <v>0</v>
      </c>
      <c r="I46" s="20">
        <f>'[1]เย็น '!I50+'[1]เช้า '!I50+[1]บ่าย!I50</f>
        <v>0</v>
      </c>
      <c r="J46" s="21">
        <f t="shared" si="0"/>
        <v>5</v>
      </c>
      <c r="K46" s="20">
        <f>'[1]เย็น '!J50+'[1]เช้า '!J50+[1]บ่าย!J50</f>
        <v>0</v>
      </c>
      <c r="L46" s="20">
        <f>'[1]เย็น '!K50+'[1]เช้า '!K50+[1]บ่าย!K50</f>
        <v>0</v>
      </c>
      <c r="M46" s="22">
        <f t="shared" si="1"/>
        <v>5</v>
      </c>
      <c r="N46" s="18"/>
      <c r="O46" s="18"/>
      <c r="P46" s="23">
        <f t="shared" si="2"/>
        <v>-5</v>
      </c>
    </row>
    <row r="47" spans="1:18" x14ac:dyDescent="0.6">
      <c r="A47" s="17">
        <v>45</v>
      </c>
      <c r="B47" s="18">
        <v>1111068</v>
      </c>
      <c r="C47" s="19" t="s">
        <v>60</v>
      </c>
      <c r="D47" s="20">
        <f>'[1]เย็น '!D51+'[1]เช้า '!D51+[1]บ่าย!D51</f>
        <v>0</v>
      </c>
      <c r="E47" s="20">
        <f>'[1]เย็น '!E51+'[1]เช้า '!E51+[1]บ่าย!E51</f>
        <v>0</v>
      </c>
      <c r="F47" s="20">
        <f>'[1]เย็น '!F51+'[1]เช้า '!F51+[1]บ่าย!F51</f>
        <v>0</v>
      </c>
      <c r="G47" s="20">
        <f>'[1]เย็น '!G51+'[1]เช้า '!G51+[1]บ่าย!G51</f>
        <v>0</v>
      </c>
      <c r="H47" s="20">
        <f>'[1]เย็น '!H51+'[1]เช้า '!H51+[1]บ่าย!H51</f>
        <v>0</v>
      </c>
      <c r="I47" s="20">
        <f>'[1]เย็น '!I51+'[1]เช้า '!I51+[1]บ่าย!I51</f>
        <v>0</v>
      </c>
      <c r="J47" s="21">
        <f t="shared" si="0"/>
        <v>0</v>
      </c>
      <c r="K47" s="20">
        <f>'[1]เย็น '!J51+'[1]เช้า '!J51+[1]บ่าย!J51</f>
        <v>0</v>
      </c>
      <c r="L47" s="20">
        <f>'[1]เย็น '!K51+'[1]เช้า '!K51+[1]บ่าย!K51</f>
        <v>0</v>
      </c>
      <c r="M47" s="22">
        <f t="shared" si="1"/>
        <v>0</v>
      </c>
      <c r="N47" s="18"/>
      <c r="O47" s="18"/>
      <c r="P47" s="23">
        <f t="shared" si="2"/>
        <v>0</v>
      </c>
    </row>
    <row r="48" spans="1:18" x14ac:dyDescent="0.6">
      <c r="A48" s="17">
        <v>46</v>
      </c>
      <c r="B48" s="18">
        <v>1111069</v>
      </c>
      <c r="C48" s="19" t="s">
        <v>61</v>
      </c>
      <c r="D48" s="20">
        <f>'[1]เย็น '!D52+'[1]เช้า '!D52+[1]บ่าย!D52</f>
        <v>0</v>
      </c>
      <c r="E48" s="20">
        <f>'[1]เย็น '!E52+'[1]เช้า '!E52+[1]บ่าย!E52</f>
        <v>0</v>
      </c>
      <c r="F48" s="20">
        <f>'[1]เย็น '!F52+'[1]เช้า '!F52+[1]บ่าย!F52</f>
        <v>0</v>
      </c>
      <c r="G48" s="20">
        <f>'[1]เย็น '!G52+'[1]เช้า '!G52+[1]บ่าย!G52</f>
        <v>0</v>
      </c>
      <c r="H48" s="20">
        <f>'[1]เย็น '!H52+'[1]เช้า '!H52+[1]บ่าย!H52</f>
        <v>0</v>
      </c>
      <c r="I48" s="20">
        <f>'[1]เย็น '!I52+'[1]เช้า '!I52+[1]บ่าย!I52</f>
        <v>0</v>
      </c>
      <c r="J48" s="21">
        <f t="shared" si="0"/>
        <v>0</v>
      </c>
      <c r="K48" s="20">
        <f>'[1]เย็น '!J52+'[1]เช้า '!J52+[1]บ่าย!J52</f>
        <v>0</v>
      </c>
      <c r="L48" s="20">
        <f>'[1]เย็น '!K52+'[1]เช้า '!K52+[1]บ่าย!K52</f>
        <v>0</v>
      </c>
      <c r="M48" s="22">
        <f t="shared" si="1"/>
        <v>0</v>
      </c>
      <c r="N48" s="18"/>
      <c r="O48" s="18"/>
      <c r="P48" s="23">
        <f t="shared" si="2"/>
        <v>0</v>
      </c>
      <c r="R48" s="24"/>
    </row>
    <row r="49" spans="1:18" x14ac:dyDescent="0.6">
      <c r="A49" s="17">
        <v>47</v>
      </c>
      <c r="B49" s="18">
        <v>1111070</v>
      </c>
      <c r="C49" s="19" t="s">
        <v>62</v>
      </c>
      <c r="D49" s="20">
        <f>'[1]เย็น '!D53+'[1]เช้า '!D53+[1]บ่าย!D53</f>
        <v>0</v>
      </c>
      <c r="E49" s="20">
        <f>'[1]เย็น '!E53+'[1]เช้า '!E53+[1]บ่าย!E53</f>
        <v>0</v>
      </c>
      <c r="F49" s="20">
        <f>'[1]เย็น '!F53+'[1]เช้า '!F53+[1]บ่าย!F53</f>
        <v>0</v>
      </c>
      <c r="G49" s="20">
        <f>'[1]เย็น '!G53+'[1]เช้า '!G53+[1]บ่าย!G53</f>
        <v>0</v>
      </c>
      <c r="H49" s="20">
        <f>'[1]เย็น '!H53+'[1]เช้า '!H53+[1]บ่าย!H53</f>
        <v>0</v>
      </c>
      <c r="I49" s="20">
        <f>'[1]เย็น '!I53+'[1]เช้า '!I53+[1]บ่าย!I53</f>
        <v>0</v>
      </c>
      <c r="J49" s="21">
        <f t="shared" si="0"/>
        <v>0</v>
      </c>
      <c r="K49" s="20">
        <f>'[1]เย็น '!J53+'[1]เช้า '!J53+[1]บ่าย!J53</f>
        <v>0</v>
      </c>
      <c r="L49" s="20">
        <f>'[1]เย็น '!K53+'[1]เช้า '!K53+[1]บ่าย!K53</f>
        <v>0</v>
      </c>
      <c r="M49" s="22">
        <f t="shared" si="1"/>
        <v>0</v>
      </c>
      <c r="N49" s="18"/>
      <c r="O49" s="18"/>
      <c r="P49" s="23">
        <f t="shared" si="2"/>
        <v>0</v>
      </c>
    </row>
    <row r="50" spans="1:18" x14ac:dyDescent="0.6">
      <c r="A50" s="17">
        <v>48</v>
      </c>
      <c r="B50" s="18">
        <v>1111071</v>
      </c>
      <c r="C50" s="19" t="s">
        <v>63</v>
      </c>
      <c r="D50" s="20">
        <f>'[1]เย็น '!D54+'[1]เช้า '!D54+[1]บ่าย!D54</f>
        <v>0</v>
      </c>
      <c r="E50" s="20">
        <f>'[1]เย็น '!E54+'[1]เช้า '!E54+[1]บ่าย!E54</f>
        <v>0</v>
      </c>
      <c r="F50" s="20">
        <f>'[1]เย็น '!F54+'[1]เช้า '!F54+[1]บ่าย!F54</f>
        <v>0</v>
      </c>
      <c r="G50" s="20">
        <f>'[1]เย็น '!G54+'[1]เช้า '!G54+[1]บ่าย!G54</f>
        <v>0</v>
      </c>
      <c r="H50" s="20">
        <f>'[1]เย็น '!H54+'[1]เช้า '!H54+[1]บ่าย!H54</f>
        <v>0</v>
      </c>
      <c r="I50" s="20">
        <f>'[1]เย็น '!I54+'[1]เช้า '!I54+[1]บ่าย!I54</f>
        <v>0</v>
      </c>
      <c r="J50" s="21">
        <f t="shared" si="0"/>
        <v>0</v>
      </c>
      <c r="K50" s="20">
        <f>'[1]เย็น '!J54+'[1]เช้า '!J54+[1]บ่าย!J54</f>
        <v>0</v>
      </c>
      <c r="L50" s="20">
        <f>'[1]เย็น '!K54+'[1]เช้า '!K54+[1]บ่าย!K54</f>
        <v>0</v>
      </c>
      <c r="M50" s="22">
        <f t="shared" si="1"/>
        <v>0</v>
      </c>
      <c r="N50" s="18"/>
      <c r="O50" s="18"/>
      <c r="P50" s="23">
        <f t="shared" si="2"/>
        <v>0</v>
      </c>
    </row>
    <row r="51" spans="1:18" x14ac:dyDescent="0.6">
      <c r="A51" s="17">
        <v>49</v>
      </c>
      <c r="B51" s="18">
        <v>1111001</v>
      </c>
      <c r="C51" s="19" t="s">
        <v>64</v>
      </c>
      <c r="D51" s="20">
        <f>'[1]เย็น '!D55+'[1]เช้า '!D55+[1]บ่าย!D55</f>
        <v>0</v>
      </c>
      <c r="E51" s="20">
        <f>'[1]เย็น '!E55+'[1]เช้า '!E55+[1]บ่าย!E55</f>
        <v>0</v>
      </c>
      <c r="F51" s="20">
        <f>'[1]เย็น '!F55+'[1]เช้า '!F55+[1]บ่าย!F55</f>
        <v>0</v>
      </c>
      <c r="G51" s="20">
        <f>'[1]เย็น '!G55+'[1]เช้า '!G55+[1]บ่าย!G55</f>
        <v>0</v>
      </c>
      <c r="H51" s="20">
        <f>'[1]เย็น '!H55+'[1]เช้า '!H55+[1]บ่าย!H55</f>
        <v>0</v>
      </c>
      <c r="I51" s="20">
        <f>'[1]เย็น '!I55+'[1]เช้า '!I55+[1]บ่าย!I55</f>
        <v>0</v>
      </c>
      <c r="J51" s="21">
        <f t="shared" si="0"/>
        <v>0</v>
      </c>
      <c r="K51" s="20">
        <f>'[1]เย็น '!J55+'[1]เช้า '!J55+[1]บ่าย!J55</f>
        <v>0</v>
      </c>
      <c r="L51" s="20">
        <f>'[1]เย็น '!K55+'[1]เช้า '!K55+[1]บ่าย!K55</f>
        <v>0</v>
      </c>
      <c r="M51" s="22">
        <f t="shared" si="1"/>
        <v>0</v>
      </c>
      <c r="N51" s="18"/>
      <c r="O51" s="18"/>
      <c r="P51" s="23">
        <f t="shared" si="2"/>
        <v>0</v>
      </c>
    </row>
    <row r="52" spans="1:18" x14ac:dyDescent="0.6">
      <c r="A52" s="17">
        <v>50</v>
      </c>
      <c r="B52" s="18">
        <v>1111074</v>
      </c>
      <c r="C52" s="19" t="s">
        <v>65</v>
      </c>
      <c r="D52" s="20">
        <f>'[1]เย็น '!D56+'[1]เช้า '!D56+[1]บ่าย!D56</f>
        <v>0</v>
      </c>
      <c r="E52" s="20">
        <f>'[1]เย็น '!E56+'[1]เช้า '!E56+[1]บ่าย!E56</f>
        <v>10</v>
      </c>
      <c r="F52" s="20">
        <f>'[1]เย็น '!F56+'[1]เช้า '!F56+[1]บ่าย!F56</f>
        <v>6</v>
      </c>
      <c r="G52" s="20">
        <f>'[1]เย็น '!G56+'[1]เช้า '!G56+[1]บ่าย!G56</f>
        <v>0</v>
      </c>
      <c r="H52" s="20">
        <f>'[1]เย็น '!H56+'[1]เช้า '!H56+[1]บ่าย!H56</f>
        <v>1</v>
      </c>
      <c r="I52" s="20">
        <f>'[1]เย็น '!I56+'[1]เช้า '!I56+[1]บ่าย!I56</f>
        <v>0</v>
      </c>
      <c r="J52" s="21">
        <f t="shared" si="0"/>
        <v>1</v>
      </c>
      <c r="K52" s="20">
        <f>'[1]เย็น '!J56+'[1]เช้า '!J56+[1]บ่าย!J56</f>
        <v>0</v>
      </c>
      <c r="L52" s="20">
        <f>'[1]เย็น '!K56+'[1]เช้า '!K56+[1]บ่าย!K56</f>
        <v>0</v>
      </c>
      <c r="M52" s="22">
        <f t="shared" si="1"/>
        <v>17</v>
      </c>
      <c r="N52" s="18"/>
      <c r="O52" s="18"/>
      <c r="P52" s="23">
        <f t="shared" si="2"/>
        <v>-17</v>
      </c>
    </row>
    <row r="53" spans="1:18" x14ac:dyDescent="0.6">
      <c r="A53" s="17">
        <v>51</v>
      </c>
      <c r="B53" s="18">
        <v>1111075</v>
      </c>
      <c r="C53" s="19" t="s">
        <v>66</v>
      </c>
      <c r="D53" s="20">
        <f>'[1]เย็น '!D57+'[1]เช้า '!D57+[1]บ่าย!D57</f>
        <v>0</v>
      </c>
      <c r="E53" s="20">
        <f>'[1]เย็น '!E57+'[1]เช้า '!E57+[1]บ่าย!E57</f>
        <v>10</v>
      </c>
      <c r="F53" s="20">
        <f>'[1]เย็น '!F57+'[1]เช้า '!F57+[1]บ่าย!F57</f>
        <v>6</v>
      </c>
      <c r="G53" s="20">
        <f>'[1]เย็น '!G57+'[1]เช้า '!G57+[1]บ่าย!G57</f>
        <v>0</v>
      </c>
      <c r="H53" s="20">
        <f>'[1]เย็น '!H57+'[1]เช้า '!H57+[1]บ่าย!H57</f>
        <v>1</v>
      </c>
      <c r="I53" s="20">
        <f>'[1]เย็น '!I57+'[1]เช้า '!I57+[1]บ่าย!I57</f>
        <v>0</v>
      </c>
      <c r="J53" s="21">
        <f t="shared" si="0"/>
        <v>1</v>
      </c>
      <c r="K53" s="20">
        <f>'[1]เย็น '!J57+'[1]เช้า '!J57+[1]บ่าย!J57</f>
        <v>0</v>
      </c>
      <c r="L53" s="20">
        <f>'[1]เย็น '!K57+'[1]เช้า '!K57+[1]บ่าย!K57</f>
        <v>0</v>
      </c>
      <c r="M53" s="22">
        <f t="shared" si="1"/>
        <v>17</v>
      </c>
      <c r="N53" s="18"/>
      <c r="O53" s="18"/>
      <c r="P53" s="23">
        <f t="shared" si="2"/>
        <v>-17</v>
      </c>
    </row>
    <row r="54" spans="1:18" x14ac:dyDescent="0.6">
      <c r="A54" s="17">
        <v>52</v>
      </c>
      <c r="B54" s="18">
        <v>1111076</v>
      </c>
      <c r="C54" s="19" t="s">
        <v>67</v>
      </c>
      <c r="D54" s="20">
        <f>'[1]เย็น '!D58+'[1]เช้า '!D58+[1]บ่าย!D58</f>
        <v>0</v>
      </c>
      <c r="E54" s="20">
        <f>'[1]เย็น '!E58+'[1]เช้า '!E58+[1]บ่าย!E58</f>
        <v>10</v>
      </c>
      <c r="F54" s="20">
        <f>'[1]เย็น '!F58+'[1]เช้า '!F58+[1]บ่าย!F58</f>
        <v>5</v>
      </c>
      <c r="G54" s="20">
        <f>'[1]เย็น '!G58+'[1]เช้า '!G58+[1]บ่าย!G58</f>
        <v>0</v>
      </c>
      <c r="H54" s="20">
        <f>'[1]เย็น '!H58+'[1]เช้า '!H58+[1]บ่าย!H58</f>
        <v>1</v>
      </c>
      <c r="I54" s="20">
        <f>'[1]เย็น '!I58+'[1]เช้า '!I58+[1]บ่าย!I58</f>
        <v>0</v>
      </c>
      <c r="J54" s="21">
        <f t="shared" si="0"/>
        <v>1</v>
      </c>
      <c r="K54" s="20">
        <f>'[1]เย็น '!J58+'[1]เช้า '!J58+[1]บ่าย!J58</f>
        <v>0</v>
      </c>
      <c r="L54" s="20">
        <f>'[1]เย็น '!K58+'[1]เช้า '!K58+[1]บ่าย!K58</f>
        <v>0</v>
      </c>
      <c r="M54" s="22">
        <f t="shared" si="1"/>
        <v>16</v>
      </c>
      <c r="N54" s="18"/>
      <c r="O54" s="18"/>
      <c r="P54" s="23">
        <f t="shared" si="2"/>
        <v>-16</v>
      </c>
    </row>
    <row r="55" spans="1:18" x14ac:dyDescent="0.6">
      <c r="A55" s="17">
        <v>53</v>
      </c>
      <c r="B55" s="18">
        <v>1111077</v>
      </c>
      <c r="C55" s="19" t="s">
        <v>68</v>
      </c>
      <c r="D55" s="20">
        <f>'[1]เย็น '!D59+'[1]เช้า '!D59+[1]บ่าย!D59</f>
        <v>0</v>
      </c>
      <c r="E55" s="20">
        <f>'[1]เย็น '!E59+'[1]เช้า '!E59+[1]บ่าย!E59</f>
        <v>10</v>
      </c>
      <c r="F55" s="20">
        <f>'[1]เย็น '!F59+'[1]เช้า '!F59+[1]บ่าย!F59</f>
        <v>6</v>
      </c>
      <c r="G55" s="20">
        <f>'[1]เย็น '!G59+'[1]เช้า '!G59+[1]บ่าย!G59</f>
        <v>0</v>
      </c>
      <c r="H55" s="20">
        <f>'[1]เย็น '!H59+'[1]เช้า '!H59+[1]บ่าย!H59</f>
        <v>1</v>
      </c>
      <c r="I55" s="20">
        <f>'[1]เย็น '!I59+'[1]เช้า '!I59+[1]บ่าย!I59</f>
        <v>0</v>
      </c>
      <c r="J55" s="21">
        <f t="shared" si="0"/>
        <v>1</v>
      </c>
      <c r="K55" s="20">
        <f>'[1]เย็น '!J59+'[1]เช้า '!J59+[1]บ่าย!J59</f>
        <v>0</v>
      </c>
      <c r="L55" s="20">
        <f>'[1]เย็น '!K59+'[1]เช้า '!K59+[1]บ่าย!K59</f>
        <v>0</v>
      </c>
      <c r="M55" s="22">
        <f t="shared" si="1"/>
        <v>17</v>
      </c>
      <c r="N55" s="18"/>
      <c r="O55" s="18"/>
      <c r="P55" s="23">
        <f t="shared" si="2"/>
        <v>-17</v>
      </c>
    </row>
    <row r="56" spans="1:18" x14ac:dyDescent="0.6">
      <c r="A56" s="17">
        <v>54</v>
      </c>
      <c r="B56" s="18">
        <v>1111078</v>
      </c>
      <c r="C56" s="19" t="s">
        <v>69</v>
      </c>
      <c r="D56" s="20">
        <f>'[1]เย็น '!D60+'[1]เช้า '!D60+[1]บ่าย!D60</f>
        <v>0</v>
      </c>
      <c r="E56" s="20">
        <f>'[1]เย็น '!E60+'[1]เช้า '!E60+[1]บ่าย!E60</f>
        <v>10</v>
      </c>
      <c r="F56" s="20">
        <f>'[1]เย็น '!F60+'[1]เช้า '!F60+[1]บ่าย!F60</f>
        <v>5</v>
      </c>
      <c r="G56" s="20">
        <f>'[1]เย็น '!G60+'[1]เช้า '!G60+[1]บ่าย!G60</f>
        <v>0</v>
      </c>
      <c r="H56" s="20">
        <f>'[1]เย็น '!H60+'[1]เช้า '!H60+[1]บ่าย!H60</f>
        <v>0</v>
      </c>
      <c r="I56" s="20">
        <f>'[1]เย็น '!I60+'[1]เช้า '!I60+[1]บ่าย!I60</f>
        <v>0</v>
      </c>
      <c r="J56" s="21">
        <f t="shared" si="0"/>
        <v>0</v>
      </c>
      <c r="K56" s="20">
        <f>'[1]เย็น '!J60+'[1]เช้า '!J60+[1]บ่าย!J60</f>
        <v>0</v>
      </c>
      <c r="L56" s="20">
        <f>'[1]เย็น '!K60+'[1]เช้า '!K60+[1]บ่าย!K60</f>
        <v>0</v>
      </c>
      <c r="M56" s="22">
        <f t="shared" si="1"/>
        <v>15</v>
      </c>
      <c r="N56" s="18"/>
      <c r="O56" s="18"/>
      <c r="P56" s="23">
        <f t="shared" si="2"/>
        <v>-15</v>
      </c>
    </row>
    <row r="57" spans="1:18" x14ac:dyDescent="0.6">
      <c r="A57" s="17">
        <v>55</v>
      </c>
      <c r="B57" s="18">
        <v>1111079</v>
      </c>
      <c r="C57" s="19" t="s">
        <v>70</v>
      </c>
      <c r="D57" s="20">
        <f>'[1]เย็น '!D61+'[1]เช้า '!D61+[1]บ่าย!D61</f>
        <v>0</v>
      </c>
      <c r="E57" s="20">
        <f>'[1]เย็น '!E61+'[1]เช้า '!E61+[1]บ่าย!E61</f>
        <v>10</v>
      </c>
      <c r="F57" s="20">
        <f>'[1]เย็น '!F61+'[1]เช้า '!F61+[1]บ่าย!F61</f>
        <v>6</v>
      </c>
      <c r="G57" s="20">
        <f>'[1]เย็น '!G61+'[1]เช้า '!G61+[1]บ่าย!G61</f>
        <v>0</v>
      </c>
      <c r="H57" s="20">
        <f>'[1]เย็น '!H61+'[1]เช้า '!H61+[1]บ่าย!H61</f>
        <v>0</v>
      </c>
      <c r="I57" s="20">
        <f>'[1]เย็น '!I61+'[1]เช้า '!I61+[1]บ่าย!I61</f>
        <v>0</v>
      </c>
      <c r="J57" s="21">
        <f t="shared" si="0"/>
        <v>0</v>
      </c>
      <c r="K57" s="20">
        <f>'[1]เย็น '!J61+'[1]เช้า '!J61+[1]บ่าย!J61</f>
        <v>0</v>
      </c>
      <c r="L57" s="20">
        <f>'[1]เย็น '!K61+'[1]เช้า '!K61+[1]บ่าย!K61</f>
        <v>0</v>
      </c>
      <c r="M57" s="22">
        <f t="shared" si="1"/>
        <v>16</v>
      </c>
      <c r="N57" s="18"/>
      <c r="O57" s="18"/>
      <c r="P57" s="23">
        <f t="shared" si="2"/>
        <v>-16</v>
      </c>
    </row>
    <row r="58" spans="1:18" x14ac:dyDescent="0.6">
      <c r="A58" s="17">
        <v>56</v>
      </c>
      <c r="B58" s="18">
        <v>1111080</v>
      </c>
      <c r="C58" s="19" t="s">
        <v>71</v>
      </c>
      <c r="D58" s="20">
        <f>'[1]เย็น '!D62+'[1]เช้า '!D62+[1]บ่าย!D62</f>
        <v>0</v>
      </c>
      <c r="E58" s="20">
        <f>'[1]เย็น '!E62+'[1]เช้า '!E62+[1]บ่าย!E62</f>
        <v>10</v>
      </c>
      <c r="F58" s="20">
        <f>'[1]เย็น '!F62+'[1]เช้า '!F62+[1]บ่าย!F62</f>
        <v>6</v>
      </c>
      <c r="G58" s="20">
        <f>'[1]เย็น '!G62+'[1]เช้า '!G62+[1]บ่าย!G62</f>
        <v>0</v>
      </c>
      <c r="H58" s="20">
        <f>'[1]เย็น '!H62+'[1]เช้า '!H62+[1]บ่าย!H62</f>
        <v>0</v>
      </c>
      <c r="I58" s="20">
        <f>'[1]เย็น '!I62+'[1]เช้า '!I62+[1]บ่าย!I62</f>
        <v>0</v>
      </c>
      <c r="J58" s="21">
        <f t="shared" si="0"/>
        <v>0</v>
      </c>
      <c r="K58" s="20">
        <f>'[1]เย็น '!J62+'[1]เช้า '!J62+[1]บ่าย!J62</f>
        <v>0</v>
      </c>
      <c r="L58" s="20">
        <f>'[1]เย็น '!K62+'[1]เช้า '!K62+[1]บ่าย!K62</f>
        <v>0</v>
      </c>
      <c r="M58" s="22">
        <f t="shared" si="1"/>
        <v>16</v>
      </c>
      <c r="N58" s="18"/>
      <c r="O58" s="18"/>
      <c r="P58" s="23">
        <f t="shared" si="2"/>
        <v>-16</v>
      </c>
    </row>
    <row r="59" spans="1:18" x14ac:dyDescent="0.6">
      <c r="A59" s="17">
        <v>57</v>
      </c>
      <c r="B59" s="18">
        <v>1111081</v>
      </c>
      <c r="C59" s="19" t="s">
        <v>72</v>
      </c>
      <c r="D59" s="20">
        <f>'[1]เย็น '!D63+'[1]เช้า '!D63+[1]บ่าย!D63</f>
        <v>0</v>
      </c>
      <c r="E59" s="20">
        <f>'[1]เย็น '!E63+'[1]เช้า '!E63+[1]บ่าย!E63</f>
        <v>10</v>
      </c>
      <c r="F59" s="20">
        <f>'[1]เย็น '!F63+'[1]เช้า '!F63+[1]บ่าย!F63</f>
        <v>5</v>
      </c>
      <c r="G59" s="20">
        <f>'[1]เย็น '!G63+'[1]เช้า '!G63+[1]บ่าย!G63</f>
        <v>0</v>
      </c>
      <c r="H59" s="20">
        <f>'[1]เย็น '!H63+'[1]เช้า '!H63+[1]บ่าย!H63</f>
        <v>0</v>
      </c>
      <c r="I59" s="20">
        <f>'[1]เย็น '!I63+'[1]เช้า '!I63+[1]บ่าย!I63</f>
        <v>0</v>
      </c>
      <c r="J59" s="21">
        <f t="shared" si="0"/>
        <v>0</v>
      </c>
      <c r="K59" s="20">
        <f>'[1]เย็น '!J63+'[1]เช้า '!J63+[1]บ่าย!J63</f>
        <v>0</v>
      </c>
      <c r="L59" s="20">
        <f>'[1]เย็น '!K63+'[1]เช้า '!K63+[1]บ่าย!K63</f>
        <v>0</v>
      </c>
      <c r="M59" s="22">
        <f t="shared" si="1"/>
        <v>15</v>
      </c>
      <c r="N59" s="18"/>
      <c r="O59" s="18"/>
      <c r="P59" s="23">
        <f t="shared" si="2"/>
        <v>-15</v>
      </c>
    </row>
    <row r="60" spans="1:18" x14ac:dyDescent="0.6">
      <c r="A60" s="17">
        <v>58</v>
      </c>
      <c r="B60" s="18">
        <v>1111082</v>
      </c>
      <c r="C60" s="19" t="s">
        <v>73</v>
      </c>
      <c r="D60" s="20">
        <f>'[1]เย็น '!D64+'[1]เช้า '!D64+[1]บ่าย!D64</f>
        <v>0</v>
      </c>
      <c r="E60" s="20">
        <f>'[1]เย็น '!E64+'[1]เช้า '!E64+[1]บ่าย!E64</f>
        <v>10</v>
      </c>
      <c r="F60" s="20">
        <f>'[1]เย็น '!F64+'[1]เช้า '!F64+[1]บ่าย!F64</f>
        <v>5</v>
      </c>
      <c r="G60" s="20">
        <f>'[1]เย็น '!G64+'[1]เช้า '!G64+[1]บ่าย!G64</f>
        <v>0</v>
      </c>
      <c r="H60" s="20">
        <f>'[1]เย็น '!H64+'[1]เช้า '!H64+[1]บ่าย!H64</f>
        <v>0</v>
      </c>
      <c r="I60" s="20">
        <f>'[1]เย็น '!I64+'[1]เช้า '!I64+[1]บ่าย!I64</f>
        <v>0</v>
      </c>
      <c r="J60" s="21">
        <f t="shared" si="0"/>
        <v>0</v>
      </c>
      <c r="K60" s="20">
        <f>'[1]เย็น '!J64+'[1]เช้า '!J64+[1]บ่าย!J64</f>
        <v>0</v>
      </c>
      <c r="L60" s="20">
        <f>'[1]เย็น '!K64+'[1]เช้า '!K64+[1]บ่าย!K64</f>
        <v>0</v>
      </c>
      <c r="M60" s="22">
        <f t="shared" si="1"/>
        <v>15</v>
      </c>
      <c r="N60" s="18"/>
      <c r="O60" s="18"/>
      <c r="P60" s="23">
        <f t="shared" si="2"/>
        <v>-15</v>
      </c>
    </row>
    <row r="61" spans="1:18" x14ac:dyDescent="0.6">
      <c r="A61" s="17">
        <v>59</v>
      </c>
      <c r="B61" s="18">
        <v>1111083</v>
      </c>
      <c r="C61" s="19" t="s">
        <v>74</v>
      </c>
      <c r="D61" s="20">
        <f>'[1]เย็น '!D65+'[1]เช้า '!D65+[1]บ่าย!D65</f>
        <v>0</v>
      </c>
      <c r="E61" s="20">
        <f>'[1]เย็น '!E65+'[1]เช้า '!E65+[1]บ่าย!E65</f>
        <v>10</v>
      </c>
      <c r="F61" s="20">
        <f>'[1]เย็น '!F65+'[1]เช้า '!F65+[1]บ่าย!F65</f>
        <v>2</v>
      </c>
      <c r="G61" s="20">
        <f>'[1]เย็น '!G65+'[1]เช้า '!G65+[1]บ่าย!G65</f>
        <v>0</v>
      </c>
      <c r="H61" s="20">
        <f>'[1]เย็น '!H65+'[1]เช้า '!H65+[1]บ่าย!H65</f>
        <v>0</v>
      </c>
      <c r="I61" s="20">
        <f>'[1]เย็น '!I65+'[1]เช้า '!I65+[1]บ่าย!I65</f>
        <v>0</v>
      </c>
      <c r="J61" s="21">
        <f t="shared" si="0"/>
        <v>0</v>
      </c>
      <c r="K61" s="20">
        <f>'[1]เย็น '!J65+'[1]เช้า '!J65+[1]บ่าย!J65</f>
        <v>0</v>
      </c>
      <c r="L61" s="20">
        <f>'[1]เย็น '!K65+'[1]เช้า '!K65+[1]บ่าย!K65</f>
        <v>0</v>
      </c>
      <c r="M61" s="22">
        <f t="shared" si="1"/>
        <v>12</v>
      </c>
      <c r="N61" s="18"/>
      <c r="O61" s="18"/>
      <c r="P61" s="23">
        <f t="shared" si="2"/>
        <v>-12</v>
      </c>
      <c r="R61" s="24"/>
    </row>
    <row r="62" spans="1:18" x14ac:dyDescent="0.6">
      <c r="A62" s="17">
        <v>60</v>
      </c>
      <c r="B62" s="18">
        <v>1111010</v>
      </c>
      <c r="C62" s="19" t="s">
        <v>75</v>
      </c>
      <c r="D62" s="20">
        <f>[1]บ่าย!D66+'[1]เช้า '!D66+'[1]เย็น '!D66</f>
        <v>0</v>
      </c>
      <c r="E62" s="20">
        <f>[1]บ่าย!E66+'[1]เช้า '!E66+'[1]เย็น '!E66</f>
        <v>0</v>
      </c>
      <c r="F62" s="20">
        <f>[1]บ่าย!F66+'[1]เช้า '!F66+'[1]เย็น '!F66</f>
        <v>0</v>
      </c>
      <c r="G62" s="20">
        <f>[1]บ่าย!G66+'[1]เช้า '!G66+'[1]เย็น '!G66</f>
        <v>0</v>
      </c>
      <c r="H62" s="20">
        <f>[1]บ่าย!H66+'[1]เช้า '!H66+'[1]เย็น '!H66</f>
        <v>0</v>
      </c>
      <c r="I62" s="20">
        <f>[1]บ่าย!I66+'[1]เช้า '!I66+'[1]เย็น '!I66</f>
        <v>0</v>
      </c>
      <c r="J62" s="21">
        <f t="shared" si="0"/>
        <v>0</v>
      </c>
      <c r="K62" s="20">
        <f>[1]บ่าย!J66+'[1]เช้า '!J66+'[1]เย็น '!J66</f>
        <v>0</v>
      </c>
      <c r="L62" s="25"/>
      <c r="M62" s="22">
        <f t="shared" si="1"/>
        <v>0</v>
      </c>
      <c r="N62" s="18"/>
      <c r="O62" s="18"/>
      <c r="P62" s="23">
        <f t="shared" si="2"/>
        <v>0</v>
      </c>
    </row>
    <row r="63" spans="1:18" x14ac:dyDescent="0.6">
      <c r="A63" s="17">
        <v>61</v>
      </c>
      <c r="B63" s="18">
        <v>1111009</v>
      </c>
      <c r="C63" s="26" t="s">
        <v>76</v>
      </c>
      <c r="D63" s="20">
        <f>'[1]เย็น '!D69+'[1]เช้า '!D69+[1]บ่าย!D69</f>
        <v>14</v>
      </c>
      <c r="E63" s="20">
        <f>'[1]เย็น '!E69+'[1]เช้า '!E69+[1]บ่าย!E69</f>
        <v>4</v>
      </c>
      <c r="F63" s="20">
        <f>'[1]เย็น '!F69+'[1]เช้า '!F69+[1]บ่าย!F69</f>
        <v>21</v>
      </c>
      <c r="G63" s="20">
        <f>'[1]เย็น '!G69+'[1]เช้า '!G69+[1]บ่าย!G69</f>
        <v>7</v>
      </c>
      <c r="H63" s="20">
        <f>'[1]เย็น '!H69+'[1]เช้า '!H69+[1]บ่าย!H69</f>
        <v>1</v>
      </c>
      <c r="I63" s="20">
        <f>'[1]เย็น '!I69+'[1]เช้า '!I69+[1]บ่าย!I69</f>
        <v>0</v>
      </c>
      <c r="J63" s="21">
        <f t="shared" si="0"/>
        <v>8</v>
      </c>
      <c r="K63" s="20">
        <f>'[1]เย็น '!J69+'[1]เช้า '!J69+[1]บ่าย!J69</f>
        <v>0</v>
      </c>
      <c r="L63" s="20">
        <f>'[1]เย็น '!K69+'[1]เช้า '!K69+[1]บ่าย!K69</f>
        <v>0</v>
      </c>
      <c r="M63" s="22">
        <f t="shared" si="1"/>
        <v>47</v>
      </c>
      <c r="N63" s="18"/>
      <c r="O63" s="18"/>
      <c r="P63" s="23">
        <f t="shared" si="2"/>
        <v>-47</v>
      </c>
    </row>
    <row r="64" spans="1:18" x14ac:dyDescent="0.6">
      <c r="A64" s="17">
        <v>62</v>
      </c>
      <c r="B64" s="18">
        <v>1111023</v>
      </c>
      <c r="C64" s="26" t="s">
        <v>77</v>
      </c>
      <c r="D64" s="20">
        <f>'[1]เย็น '!D70+'[1]เช้า '!D70+[1]บ่าย!D70</f>
        <v>0</v>
      </c>
      <c r="E64" s="20">
        <f>'[1]เย็น '!E70+'[1]เช้า '!E70+[1]บ่าย!E70</f>
        <v>0</v>
      </c>
      <c r="F64" s="20">
        <f>'[1]เย็น '!F70+'[1]เช้า '!F70+[1]บ่าย!F70</f>
        <v>0</v>
      </c>
      <c r="G64" s="20">
        <f>'[1]เย็น '!G70+'[1]เช้า '!G70+[1]บ่าย!G70</f>
        <v>0</v>
      </c>
      <c r="H64" s="20">
        <f>'[1]เย็น '!H70+'[1]เช้า '!H70+[1]บ่าย!H70</f>
        <v>0</v>
      </c>
      <c r="I64" s="20">
        <f>'[1]เย็น '!I70+'[1]เช้า '!I70+[1]บ่าย!I70</f>
        <v>0</v>
      </c>
      <c r="J64" s="21">
        <f t="shared" si="0"/>
        <v>0</v>
      </c>
      <c r="K64" s="20">
        <f>'[1]เย็น '!J70+'[1]เช้า '!J70+[1]บ่าย!J70</f>
        <v>0</v>
      </c>
      <c r="L64" s="20">
        <f>'[1]เย็น '!K70+'[1]เช้า '!K70+[1]บ่าย!K70</f>
        <v>0</v>
      </c>
      <c r="M64" s="22">
        <f t="shared" si="1"/>
        <v>0</v>
      </c>
      <c r="N64" s="18"/>
      <c r="O64" s="18"/>
      <c r="P64" s="23">
        <f t="shared" si="2"/>
        <v>0</v>
      </c>
    </row>
    <row r="65" spans="1:16" x14ac:dyDescent="0.6">
      <c r="A65" s="17">
        <v>63</v>
      </c>
      <c r="B65" s="18">
        <v>1111016</v>
      </c>
      <c r="C65" s="26" t="s">
        <v>78</v>
      </c>
      <c r="D65" s="20">
        <f>'[1]เย็น '!D71+'[1]เช้า '!D71+[1]บ่าย!D71</f>
        <v>0</v>
      </c>
      <c r="E65" s="20">
        <f>'[1]เย็น '!E71+'[1]เช้า '!E71+[1]บ่าย!E71</f>
        <v>0</v>
      </c>
      <c r="F65" s="20">
        <f>'[1]เย็น '!F71+'[1]เช้า '!F71+[1]บ่าย!F71</f>
        <v>0</v>
      </c>
      <c r="G65" s="20">
        <f>'[1]เย็น '!G71+'[1]เช้า '!G71+[1]บ่าย!G71</f>
        <v>0</v>
      </c>
      <c r="H65" s="20">
        <f>'[1]เย็น '!H71+'[1]เช้า '!H71+[1]บ่าย!H71</f>
        <v>0</v>
      </c>
      <c r="I65" s="20">
        <f>'[1]เย็น '!I71+'[1]เช้า '!I71+[1]บ่าย!I71</f>
        <v>0</v>
      </c>
      <c r="J65" s="21">
        <f t="shared" si="0"/>
        <v>0</v>
      </c>
      <c r="K65" s="20">
        <f>'[1]เย็น '!J71+'[1]เช้า '!J71+[1]บ่าย!J71</f>
        <v>0</v>
      </c>
      <c r="L65" s="20">
        <f>'[1]เย็น '!K71+'[1]เช้า '!K71+[1]บ่าย!K71</f>
        <v>0</v>
      </c>
      <c r="M65" s="22">
        <f t="shared" si="1"/>
        <v>0</v>
      </c>
      <c r="N65" s="18"/>
      <c r="O65" s="18"/>
      <c r="P65" s="23">
        <f t="shared" si="2"/>
        <v>0</v>
      </c>
    </row>
    <row r="66" spans="1:16" x14ac:dyDescent="0.6">
      <c r="A66" s="17">
        <v>64</v>
      </c>
      <c r="B66" s="18">
        <v>1111014</v>
      </c>
      <c r="C66" s="26" t="s">
        <v>79</v>
      </c>
      <c r="D66" s="20">
        <f>'[1]เย็น '!D72+'[1]เช้า '!D72+[1]บ่าย!D72</f>
        <v>0</v>
      </c>
      <c r="E66" s="20">
        <f>'[1]เย็น '!E72+'[1]เช้า '!E72+[1]บ่าย!E72</f>
        <v>0</v>
      </c>
      <c r="F66" s="20">
        <f>'[1]เย็น '!F72+'[1]เช้า '!F72+[1]บ่าย!F72</f>
        <v>0</v>
      </c>
      <c r="G66" s="20">
        <f>'[1]เย็น '!G72+'[1]เช้า '!G72+[1]บ่าย!G72</f>
        <v>0</v>
      </c>
      <c r="H66" s="20">
        <f>'[1]เย็น '!H72+'[1]เช้า '!H72+[1]บ่าย!H72</f>
        <v>0</v>
      </c>
      <c r="I66" s="20">
        <f>'[1]เย็น '!I72+'[1]เช้า '!I72+[1]บ่าย!I72</f>
        <v>0</v>
      </c>
      <c r="J66" s="21">
        <f t="shared" si="0"/>
        <v>0</v>
      </c>
      <c r="K66" s="20">
        <f>'[1]เย็น '!J72+'[1]เช้า '!J72+[1]บ่าย!J72</f>
        <v>0</v>
      </c>
      <c r="L66" s="20">
        <f>'[1]เย็น '!K72+'[1]เช้า '!K72+[1]บ่าย!K72</f>
        <v>0</v>
      </c>
      <c r="M66" s="22">
        <f t="shared" si="1"/>
        <v>0</v>
      </c>
      <c r="N66" s="18"/>
      <c r="O66" s="18"/>
      <c r="P66" s="23">
        <f t="shared" si="2"/>
        <v>0</v>
      </c>
    </row>
    <row r="67" spans="1:16" x14ac:dyDescent="0.6">
      <c r="A67" s="17">
        <v>65</v>
      </c>
      <c r="B67" s="18">
        <v>1111025</v>
      </c>
      <c r="C67" s="26" t="s">
        <v>80</v>
      </c>
      <c r="D67" s="20">
        <f>'[1]เย็น '!D73+'[1]เช้า '!D73+[1]บ่าย!D73</f>
        <v>0</v>
      </c>
      <c r="E67" s="20">
        <f>'[1]เย็น '!E73+'[1]เช้า '!E73+[1]บ่าย!E73</f>
        <v>0</v>
      </c>
      <c r="F67" s="20">
        <f>'[1]เย็น '!F73+'[1]เช้า '!F73+[1]บ่าย!F73</f>
        <v>0</v>
      </c>
      <c r="G67" s="20">
        <f>'[1]เย็น '!G73+'[1]เช้า '!G73+[1]บ่าย!G73</f>
        <v>0</v>
      </c>
      <c r="H67" s="20">
        <f>'[1]เย็น '!H73+'[1]เช้า '!H73+[1]บ่าย!H73</f>
        <v>0</v>
      </c>
      <c r="I67" s="20">
        <f>'[1]เย็น '!I73+'[1]เช้า '!I73+[1]บ่าย!I73</f>
        <v>0</v>
      </c>
      <c r="J67" s="21">
        <f t="shared" si="0"/>
        <v>0</v>
      </c>
      <c r="K67" s="20">
        <f>'[1]เย็น '!J73+'[1]เช้า '!J73+[1]บ่าย!J73</f>
        <v>0</v>
      </c>
      <c r="L67" s="20">
        <f>'[1]เย็น '!K73+'[1]เช้า '!K73+[1]บ่าย!K73</f>
        <v>0</v>
      </c>
      <c r="M67" s="22">
        <f t="shared" si="1"/>
        <v>0</v>
      </c>
      <c r="N67" s="18"/>
      <c r="O67" s="18"/>
      <c r="P67" s="23">
        <f t="shared" si="2"/>
        <v>0</v>
      </c>
    </row>
    <row r="68" spans="1:16" x14ac:dyDescent="0.6">
      <c r="A68" s="17">
        <v>66</v>
      </c>
      <c r="B68" s="18">
        <v>1111018</v>
      </c>
      <c r="C68" s="26" t="s">
        <v>81</v>
      </c>
      <c r="D68" s="20">
        <f>'[1]เย็น '!D74+'[1]เช้า '!D74+[1]บ่าย!D74</f>
        <v>0</v>
      </c>
      <c r="E68" s="20">
        <f>'[1]เย็น '!E74+'[1]เช้า '!E74+[1]บ่าย!E74</f>
        <v>0</v>
      </c>
      <c r="F68" s="20">
        <f>'[1]เย็น '!F74+'[1]เช้า '!F74+[1]บ่าย!F74</f>
        <v>0</v>
      </c>
      <c r="G68" s="20">
        <f>'[1]เย็น '!G74+'[1]เช้า '!G74+[1]บ่าย!G74</f>
        <v>0</v>
      </c>
      <c r="H68" s="20">
        <f>'[1]เย็น '!H74+'[1]เช้า '!H74+[1]บ่าย!H74</f>
        <v>0</v>
      </c>
      <c r="I68" s="20">
        <f>'[1]เย็น '!I74+'[1]เช้า '!I74+[1]บ่าย!I74</f>
        <v>0</v>
      </c>
      <c r="J68" s="21">
        <f t="shared" ref="J68:J125" si="3">+G68+H68+I68</f>
        <v>0</v>
      </c>
      <c r="K68" s="20">
        <f>'[1]เย็น '!J74+'[1]เช้า '!J74+[1]บ่าย!J74</f>
        <v>0</v>
      </c>
      <c r="L68" s="20">
        <f>'[1]เย็น '!K74+'[1]เช้า '!K74+[1]บ่าย!K74</f>
        <v>0</v>
      </c>
      <c r="M68" s="22">
        <f t="shared" ref="M68:M125" si="4">+D68+E68+F68+J68+K68+L68</f>
        <v>0</v>
      </c>
      <c r="N68" s="18"/>
      <c r="O68" s="18"/>
      <c r="P68" s="23">
        <f t="shared" ref="P68:P88" si="5">(N68+O68)-M68</f>
        <v>0</v>
      </c>
    </row>
    <row r="69" spans="1:16" x14ac:dyDescent="0.6">
      <c r="A69" s="17">
        <v>67</v>
      </c>
      <c r="B69" s="18">
        <v>1111012</v>
      </c>
      <c r="C69" s="26" t="s">
        <v>82</v>
      </c>
      <c r="D69" s="20">
        <f>'[1]เย็น '!D75+'[1]เช้า '!D75+[1]บ่าย!D75</f>
        <v>0</v>
      </c>
      <c r="E69" s="20">
        <f>'[1]เย็น '!E75+'[1]เช้า '!E75+[1]บ่าย!E75</f>
        <v>0</v>
      </c>
      <c r="F69" s="20">
        <f>'[1]เย็น '!F75+'[1]เช้า '!F75+[1]บ่าย!F75</f>
        <v>0</v>
      </c>
      <c r="G69" s="20">
        <f>'[1]เย็น '!G75+'[1]เช้า '!G75+[1]บ่าย!G75</f>
        <v>0</v>
      </c>
      <c r="H69" s="20">
        <f>'[1]เย็น '!H75+'[1]เช้า '!H75+[1]บ่าย!H75</f>
        <v>0</v>
      </c>
      <c r="I69" s="20">
        <f>'[1]เย็น '!I75+'[1]เช้า '!I75+[1]บ่าย!I75</f>
        <v>0</v>
      </c>
      <c r="J69" s="21">
        <f t="shared" si="3"/>
        <v>0</v>
      </c>
      <c r="K69" s="20">
        <f>'[1]เย็น '!J75+'[1]เช้า '!J75+[1]บ่าย!J75</f>
        <v>0</v>
      </c>
      <c r="L69" s="20">
        <f>'[1]เย็น '!K75+'[1]เช้า '!K75+[1]บ่าย!K75</f>
        <v>0</v>
      </c>
      <c r="M69" s="22">
        <f t="shared" si="4"/>
        <v>0</v>
      </c>
      <c r="N69" s="18"/>
      <c r="O69" s="18"/>
      <c r="P69" s="23">
        <f t="shared" si="5"/>
        <v>0</v>
      </c>
    </row>
    <row r="70" spans="1:16" x14ac:dyDescent="0.6">
      <c r="A70" s="17">
        <v>68</v>
      </c>
      <c r="B70" s="18">
        <v>1111020</v>
      </c>
      <c r="C70" s="26" t="s">
        <v>83</v>
      </c>
      <c r="D70" s="20">
        <f>'[1]เย็น '!D76+'[1]เช้า '!D76+[1]บ่าย!D76</f>
        <v>0</v>
      </c>
      <c r="E70" s="20">
        <f>'[1]เย็น '!E76+'[1]เช้า '!E76+[1]บ่าย!E76</f>
        <v>0</v>
      </c>
      <c r="F70" s="20">
        <f>'[1]เย็น '!F76+'[1]เช้า '!F76+[1]บ่าย!F76</f>
        <v>0</v>
      </c>
      <c r="G70" s="20">
        <f>'[1]เย็น '!G76+'[1]เช้า '!G76+[1]บ่าย!G76</f>
        <v>0</v>
      </c>
      <c r="H70" s="20">
        <f>'[1]เย็น '!H76+'[1]เช้า '!H76+[1]บ่าย!H76</f>
        <v>0</v>
      </c>
      <c r="I70" s="20">
        <f>'[1]เย็น '!I76+'[1]เช้า '!I76+[1]บ่าย!I76</f>
        <v>0</v>
      </c>
      <c r="J70" s="21">
        <f t="shared" si="3"/>
        <v>0</v>
      </c>
      <c r="K70" s="20">
        <f>'[1]เย็น '!J76+'[1]เช้า '!J76+[1]บ่าย!J76</f>
        <v>0</v>
      </c>
      <c r="L70" s="20">
        <f>'[1]เย็น '!K76+'[1]เช้า '!K76+[1]บ่าย!K76</f>
        <v>0</v>
      </c>
      <c r="M70" s="22">
        <f t="shared" si="4"/>
        <v>0</v>
      </c>
      <c r="N70" s="18"/>
      <c r="O70" s="18"/>
      <c r="P70" s="23">
        <f t="shared" si="5"/>
        <v>0</v>
      </c>
    </row>
    <row r="71" spans="1:16" x14ac:dyDescent="0.6">
      <c r="A71" s="17">
        <v>69</v>
      </c>
      <c r="B71" s="18">
        <v>1111022</v>
      </c>
      <c r="C71" s="26" t="s">
        <v>84</v>
      </c>
      <c r="D71" s="20">
        <f>'[1]เย็น '!D79+'[1]เช้า '!D79+[1]บ่าย!D79</f>
        <v>0</v>
      </c>
      <c r="E71" s="20">
        <f>'[1]เย็น '!E79+'[1]เช้า '!E79+[1]บ่าย!E79</f>
        <v>0</v>
      </c>
      <c r="F71" s="20">
        <f>'[1]เย็น '!F79+'[1]เช้า '!F79+[1]บ่าย!F79</f>
        <v>0</v>
      </c>
      <c r="G71" s="20">
        <f>'[1]เย็น '!G79+'[1]เช้า '!G79+[1]บ่าย!G79</f>
        <v>0</v>
      </c>
      <c r="H71" s="20">
        <f>'[1]เย็น '!H79+'[1]เช้า '!H79+[1]บ่าย!H79</f>
        <v>0</v>
      </c>
      <c r="I71" s="20">
        <f>'[1]เย็น '!I79+'[1]เช้า '!I79+[1]บ่าย!I79</f>
        <v>0</v>
      </c>
      <c r="J71" s="21">
        <f t="shared" si="3"/>
        <v>0</v>
      </c>
      <c r="K71" s="20">
        <f>'[1]เย็น '!J79+'[1]เช้า '!J79+[1]บ่าย!J79</f>
        <v>0</v>
      </c>
      <c r="L71" s="20">
        <f>'[1]เย็น '!K79+'[1]เช้า '!K79+[1]บ่าย!K79</f>
        <v>0</v>
      </c>
      <c r="M71" s="22">
        <f t="shared" si="4"/>
        <v>0</v>
      </c>
      <c r="N71" s="18"/>
      <c r="O71" s="18"/>
      <c r="P71" s="23">
        <f t="shared" si="5"/>
        <v>0</v>
      </c>
    </row>
    <row r="72" spans="1:16" x14ac:dyDescent="0.6">
      <c r="A72" s="17">
        <v>70</v>
      </c>
      <c r="B72" s="18">
        <v>1111015</v>
      </c>
      <c r="C72" s="26" t="s">
        <v>85</v>
      </c>
      <c r="D72" s="20">
        <f>'[1]เย็น '!D80+'[1]เช้า '!D80+[1]บ่าย!D80</f>
        <v>0</v>
      </c>
      <c r="E72" s="20">
        <f>'[1]เย็น '!E80+'[1]เช้า '!E80+[1]บ่าย!E80</f>
        <v>0</v>
      </c>
      <c r="F72" s="20">
        <f>'[1]เย็น '!F80+'[1]เช้า '!F80+[1]บ่าย!F80</f>
        <v>0</v>
      </c>
      <c r="G72" s="20">
        <f>'[1]เย็น '!G80+'[1]เช้า '!G80+[1]บ่าย!G80</f>
        <v>0</v>
      </c>
      <c r="H72" s="20">
        <f>'[1]เย็น '!H80+'[1]เช้า '!H80+[1]บ่าย!H80</f>
        <v>0</v>
      </c>
      <c r="I72" s="20">
        <f>'[1]เย็น '!I80+'[1]เช้า '!I80+[1]บ่าย!I80</f>
        <v>0</v>
      </c>
      <c r="J72" s="21">
        <f t="shared" si="3"/>
        <v>0</v>
      </c>
      <c r="K72" s="20">
        <f>'[1]เย็น '!J80+'[1]เช้า '!J80+[1]บ่าย!J80</f>
        <v>0</v>
      </c>
      <c r="L72" s="20">
        <f>'[1]เย็น '!K80+'[1]เช้า '!K80+[1]บ่าย!K80</f>
        <v>0</v>
      </c>
      <c r="M72" s="22">
        <f t="shared" si="4"/>
        <v>0</v>
      </c>
      <c r="N72" s="18"/>
      <c r="O72" s="18"/>
      <c r="P72" s="23">
        <f t="shared" si="5"/>
        <v>0</v>
      </c>
    </row>
    <row r="73" spans="1:16" x14ac:dyDescent="0.6">
      <c r="A73" s="17">
        <v>71</v>
      </c>
      <c r="B73" s="18">
        <v>1111013</v>
      </c>
      <c r="C73" s="26" t="s">
        <v>86</v>
      </c>
      <c r="D73" s="20">
        <f>'[1]เย็น '!D81+'[1]เช้า '!D81+[1]บ่าย!D81</f>
        <v>0</v>
      </c>
      <c r="E73" s="20">
        <f>'[1]เย็น '!E81+'[1]เช้า '!E81+[1]บ่าย!E81</f>
        <v>0</v>
      </c>
      <c r="F73" s="20">
        <f>'[1]เย็น '!F81+'[1]เช้า '!F81+[1]บ่าย!F81</f>
        <v>0</v>
      </c>
      <c r="G73" s="20">
        <f>'[1]เย็น '!G81+'[1]เช้า '!G81+[1]บ่าย!G81</f>
        <v>0</v>
      </c>
      <c r="H73" s="20">
        <f>'[1]เย็น '!H81+'[1]เช้า '!H81+[1]บ่าย!H81</f>
        <v>0</v>
      </c>
      <c r="I73" s="20">
        <f>'[1]เย็น '!I81+'[1]เช้า '!I81+[1]บ่าย!I81</f>
        <v>0</v>
      </c>
      <c r="J73" s="21">
        <f t="shared" si="3"/>
        <v>0</v>
      </c>
      <c r="K73" s="20">
        <f>'[1]เย็น '!J81+'[1]เช้า '!J81+[1]บ่าย!J81</f>
        <v>0</v>
      </c>
      <c r="L73" s="20">
        <f>'[1]เย็น '!K81+'[1]เช้า '!K81+[1]บ่าย!K81</f>
        <v>0</v>
      </c>
      <c r="M73" s="22">
        <f t="shared" si="4"/>
        <v>0</v>
      </c>
      <c r="N73" s="18"/>
      <c r="O73" s="18"/>
      <c r="P73" s="23">
        <f t="shared" si="5"/>
        <v>0</v>
      </c>
    </row>
    <row r="74" spans="1:16" x14ac:dyDescent="0.6">
      <c r="A74" s="17">
        <v>72</v>
      </c>
      <c r="B74" s="18">
        <v>1111024</v>
      </c>
      <c r="C74" s="26" t="s">
        <v>87</v>
      </c>
      <c r="D74" s="20">
        <f>'[1]เย็น '!D82+'[1]เช้า '!D82+[1]บ่าย!D82</f>
        <v>0</v>
      </c>
      <c r="E74" s="20">
        <f>'[1]เย็น '!E82+'[1]เช้า '!E82+[1]บ่าย!E82</f>
        <v>0</v>
      </c>
      <c r="F74" s="20">
        <f>'[1]เย็น '!F82+'[1]เช้า '!F82+[1]บ่าย!F82</f>
        <v>0</v>
      </c>
      <c r="G74" s="20">
        <f>'[1]เย็น '!G82+'[1]เช้า '!G82+[1]บ่าย!G82</f>
        <v>0</v>
      </c>
      <c r="H74" s="20">
        <f>'[1]เย็น '!H82+'[1]เช้า '!H82+[1]บ่าย!H82</f>
        <v>0</v>
      </c>
      <c r="I74" s="20">
        <f>'[1]เย็น '!I82+'[1]เช้า '!I82+[1]บ่าย!I82</f>
        <v>0</v>
      </c>
      <c r="J74" s="21">
        <f t="shared" si="3"/>
        <v>0</v>
      </c>
      <c r="K74" s="20">
        <f>'[1]เย็น '!J82+'[1]เช้า '!J82+[1]บ่าย!J82</f>
        <v>0</v>
      </c>
      <c r="L74" s="20">
        <f>'[1]เย็น '!K82+'[1]เช้า '!K82+[1]บ่าย!K82</f>
        <v>0</v>
      </c>
      <c r="M74" s="22">
        <f t="shared" si="4"/>
        <v>0</v>
      </c>
      <c r="N74" s="18"/>
      <c r="O74" s="18"/>
      <c r="P74" s="23">
        <f t="shared" si="5"/>
        <v>0</v>
      </c>
    </row>
    <row r="75" spans="1:16" x14ac:dyDescent="0.6">
      <c r="A75" s="17">
        <v>73</v>
      </c>
      <c r="B75" s="18">
        <v>1111017</v>
      </c>
      <c r="C75" s="26" t="s">
        <v>88</v>
      </c>
      <c r="D75" s="20">
        <f>'[1]เย็น '!D83+'[1]เช้า '!D83+[1]บ่าย!D83</f>
        <v>0</v>
      </c>
      <c r="E75" s="20">
        <f>'[1]เย็น '!E83+'[1]เช้า '!E83+[1]บ่าย!E83</f>
        <v>0</v>
      </c>
      <c r="F75" s="20">
        <f>'[1]เย็น '!F83+'[1]เช้า '!F83+[1]บ่าย!F83</f>
        <v>0</v>
      </c>
      <c r="G75" s="20">
        <f>'[1]เย็น '!G83+'[1]เช้า '!G83+[1]บ่าย!G83</f>
        <v>0</v>
      </c>
      <c r="H75" s="20">
        <f>'[1]เย็น '!H83+'[1]เช้า '!H83+[1]บ่าย!H83</f>
        <v>0</v>
      </c>
      <c r="I75" s="20">
        <f>'[1]เย็น '!I83+'[1]เช้า '!I83+[1]บ่าย!I83</f>
        <v>0</v>
      </c>
      <c r="J75" s="21">
        <f t="shared" si="3"/>
        <v>0</v>
      </c>
      <c r="K75" s="20">
        <f>'[1]เย็น '!J83+'[1]เช้า '!J83+[1]บ่าย!J83</f>
        <v>0</v>
      </c>
      <c r="L75" s="20">
        <f>'[1]เย็น '!K83+'[1]เช้า '!K83+[1]บ่าย!K83</f>
        <v>0</v>
      </c>
      <c r="M75" s="22">
        <f t="shared" si="4"/>
        <v>0</v>
      </c>
      <c r="N75" s="18"/>
      <c r="O75" s="18"/>
      <c r="P75" s="23">
        <f t="shared" si="5"/>
        <v>0</v>
      </c>
    </row>
    <row r="76" spans="1:16" x14ac:dyDescent="0.6">
      <c r="A76" s="17">
        <v>74</v>
      </c>
      <c r="B76" s="18">
        <v>1111011</v>
      </c>
      <c r="C76" s="26" t="s">
        <v>89</v>
      </c>
      <c r="D76" s="20">
        <f>'[1]เย็น '!D84+'[1]เช้า '!D84+[1]บ่าย!D84</f>
        <v>0</v>
      </c>
      <c r="E76" s="20">
        <f>'[1]เย็น '!E84+'[1]เช้า '!E84+[1]บ่าย!E84</f>
        <v>0</v>
      </c>
      <c r="F76" s="20">
        <f>'[1]เย็น '!F84+'[1]เช้า '!F84+[1]บ่าย!F84</f>
        <v>0</v>
      </c>
      <c r="G76" s="20">
        <f>'[1]เย็น '!G84+'[1]เช้า '!G84+[1]บ่าย!G84</f>
        <v>0</v>
      </c>
      <c r="H76" s="20">
        <f>'[1]เย็น '!H84+'[1]เช้า '!H84+[1]บ่าย!H84</f>
        <v>0</v>
      </c>
      <c r="I76" s="20">
        <f>'[1]เย็น '!I84+'[1]เช้า '!I84+[1]บ่าย!I84</f>
        <v>0</v>
      </c>
      <c r="J76" s="21">
        <f t="shared" si="3"/>
        <v>0</v>
      </c>
      <c r="K76" s="20">
        <f>'[1]เย็น '!J84+'[1]เช้า '!J84+[1]บ่าย!J84</f>
        <v>0</v>
      </c>
      <c r="L76" s="20">
        <f>'[1]เย็น '!K84+'[1]เช้า '!K84+[1]บ่าย!K84</f>
        <v>0</v>
      </c>
      <c r="M76" s="22">
        <f t="shared" si="4"/>
        <v>0</v>
      </c>
      <c r="N76" s="18"/>
      <c r="O76" s="18"/>
      <c r="P76" s="23">
        <f t="shared" si="5"/>
        <v>0</v>
      </c>
    </row>
    <row r="77" spans="1:16" x14ac:dyDescent="0.6">
      <c r="A77" s="17">
        <v>75</v>
      </c>
      <c r="B77" s="18">
        <v>1111019</v>
      </c>
      <c r="C77" s="26" t="s">
        <v>90</v>
      </c>
      <c r="D77" s="20">
        <f>'[1]เย็น '!D85+'[1]เช้า '!D85+[1]บ่าย!D85</f>
        <v>0</v>
      </c>
      <c r="E77" s="20">
        <f>'[1]เย็น '!E85+'[1]เช้า '!E85+[1]บ่าย!E85</f>
        <v>0</v>
      </c>
      <c r="F77" s="20">
        <f>'[1]เย็น '!F85+'[1]เช้า '!F85+[1]บ่าย!F85</f>
        <v>0</v>
      </c>
      <c r="G77" s="20">
        <f>'[1]เย็น '!G85+'[1]เช้า '!G85+[1]บ่าย!G85</f>
        <v>0</v>
      </c>
      <c r="H77" s="20">
        <f>'[1]เย็น '!H85+'[1]เช้า '!H85+[1]บ่าย!H85</f>
        <v>0</v>
      </c>
      <c r="I77" s="20">
        <f>'[1]เย็น '!I85+'[1]เช้า '!I85+[1]บ่าย!I85</f>
        <v>0</v>
      </c>
      <c r="J77" s="21">
        <f t="shared" si="3"/>
        <v>0</v>
      </c>
      <c r="K77" s="20">
        <f>'[1]เย็น '!J85+'[1]เช้า '!J85+[1]บ่าย!J85</f>
        <v>0</v>
      </c>
      <c r="L77" s="20">
        <f>'[1]เย็น '!K85+'[1]เช้า '!K85+[1]บ่าย!K85</f>
        <v>0</v>
      </c>
      <c r="M77" s="22">
        <f t="shared" si="4"/>
        <v>0</v>
      </c>
      <c r="N77" s="18"/>
      <c r="O77" s="18"/>
      <c r="P77" s="23">
        <f t="shared" si="5"/>
        <v>0</v>
      </c>
    </row>
    <row r="78" spans="1:16" x14ac:dyDescent="0.6">
      <c r="A78" s="17">
        <v>76</v>
      </c>
      <c r="B78" s="18">
        <v>1113081</v>
      </c>
      <c r="C78" s="26" t="s">
        <v>91</v>
      </c>
      <c r="D78" s="20">
        <f>'[1]เย็น '!D86+'[1]เช้า '!D86+[1]บ่าย!D86</f>
        <v>0</v>
      </c>
      <c r="E78" s="20">
        <f>'[1]เย็น '!E86+'[1]เช้า '!E86+[1]บ่าย!E86</f>
        <v>0</v>
      </c>
      <c r="F78" s="20">
        <f>'[1]เย็น '!F86+'[1]เช้า '!F86+[1]บ่าย!F86</f>
        <v>0</v>
      </c>
      <c r="G78" s="20">
        <f>'[1]เย็น '!G86+'[1]เช้า '!G86+[1]บ่าย!G86</f>
        <v>0</v>
      </c>
      <c r="H78" s="20">
        <f>'[1]เย็น '!H86+'[1]เช้า '!H86+[1]บ่าย!H86</f>
        <v>0</v>
      </c>
      <c r="I78" s="20">
        <f>'[1]เย็น '!I86+'[1]เช้า '!I86+[1]บ่าย!I86</f>
        <v>0</v>
      </c>
      <c r="J78" s="21">
        <f t="shared" si="3"/>
        <v>0</v>
      </c>
      <c r="K78" s="20">
        <f>'[1]เย็น '!J86+'[1]เช้า '!J86+[1]บ่าย!J86</f>
        <v>0</v>
      </c>
      <c r="L78" s="20">
        <f>'[1]เย็น '!K86+'[1]เช้า '!K86+[1]บ่าย!K86</f>
        <v>0</v>
      </c>
      <c r="M78" s="22">
        <f t="shared" si="4"/>
        <v>0</v>
      </c>
      <c r="N78" s="18"/>
      <c r="O78" s="18"/>
      <c r="P78" s="23">
        <f t="shared" si="5"/>
        <v>0</v>
      </c>
    </row>
    <row r="79" spans="1:16" x14ac:dyDescent="0.6">
      <c r="A79" s="17">
        <v>77</v>
      </c>
      <c r="B79" s="18">
        <v>1111008</v>
      </c>
      <c r="C79" s="26" t="s">
        <v>92</v>
      </c>
      <c r="D79" s="20">
        <f>'[1]เย็น '!D87+'[1]เช้า '!D87+[1]บ่าย!D87</f>
        <v>20</v>
      </c>
      <c r="E79" s="20">
        <f>'[1]เย็น '!E87+'[1]เช้า '!E87+[1]บ่าย!E87</f>
        <v>9</v>
      </c>
      <c r="F79" s="20">
        <f>'[1]เย็น '!F87+'[1]เช้า '!F87+[1]บ่าย!F87</f>
        <v>0</v>
      </c>
      <c r="G79" s="20">
        <f>'[1]เย็น '!G87+'[1]เช้า '!G87+[1]บ่าย!G87</f>
        <v>366</v>
      </c>
      <c r="H79" s="20">
        <f>'[1]เย็น '!H87+'[1]เช้า '!H87+[1]บ่าย!H87</f>
        <v>211</v>
      </c>
      <c r="I79" s="20">
        <f>'[1]เย็น '!I87+'[1]เช้า '!I87+[1]บ่าย!I87</f>
        <v>0</v>
      </c>
      <c r="J79" s="21">
        <f t="shared" si="3"/>
        <v>577</v>
      </c>
      <c r="K79" s="20">
        <f>'[1]เย็น '!J87+'[1]เช้า '!J87+[1]บ่าย!J87</f>
        <v>0</v>
      </c>
      <c r="L79" s="20">
        <f>'[1]เย็น '!K87+'[1]เช้า '!K87+[1]บ่าย!K87</f>
        <v>0</v>
      </c>
      <c r="M79" s="22">
        <f t="shared" si="4"/>
        <v>606</v>
      </c>
      <c r="N79" s="18"/>
      <c r="O79" s="18"/>
      <c r="P79" s="23">
        <f t="shared" si="5"/>
        <v>-606</v>
      </c>
    </row>
    <row r="80" spans="1:16" x14ac:dyDescent="0.6">
      <c r="A80" s="17">
        <v>78</v>
      </c>
      <c r="B80" s="18">
        <v>1112009</v>
      </c>
      <c r="C80" s="26" t="s">
        <v>93</v>
      </c>
      <c r="D80" s="20">
        <f>'[1]เย็น '!D90+'[1]เช้า '!D90+[1]บ่าย!D90</f>
        <v>19</v>
      </c>
      <c r="E80" s="20">
        <f>'[1]เย็น '!E90+'[1]เช้า '!E90+[1]บ่าย!E90</f>
        <v>29</v>
      </c>
      <c r="F80" s="20">
        <f>'[1]เย็น '!F90+'[1]เช้า '!F90+[1]บ่าย!F90</f>
        <v>32</v>
      </c>
      <c r="G80" s="20">
        <f>'[1]เย็น '!G90+'[1]เช้า '!G90+[1]บ่าย!G90</f>
        <v>123</v>
      </c>
      <c r="H80" s="20">
        <f>'[1]เย็น '!H90+'[1]เช้า '!H90+[1]บ่าย!H90</f>
        <v>60</v>
      </c>
      <c r="I80" s="20">
        <f>'[1]เย็น '!I90+'[1]เช้า '!I90+[1]บ่าย!I90</f>
        <v>0</v>
      </c>
      <c r="J80" s="21">
        <f t="shared" si="3"/>
        <v>183</v>
      </c>
      <c r="K80" s="20">
        <f>'[1]เย็น '!J90+'[1]เช้า '!J90+[1]บ่าย!J90</f>
        <v>0</v>
      </c>
      <c r="L80" s="20">
        <f>'[1]เย็น '!K90+'[1]เช้า '!K90+[1]บ่าย!K90</f>
        <v>0</v>
      </c>
      <c r="M80" s="22">
        <f t="shared" si="4"/>
        <v>263</v>
      </c>
      <c r="N80" s="18"/>
      <c r="O80" s="18"/>
      <c r="P80" s="23">
        <f t="shared" si="5"/>
        <v>-263</v>
      </c>
    </row>
    <row r="81" spans="1:16" x14ac:dyDescent="0.6">
      <c r="A81" s="17">
        <v>79</v>
      </c>
      <c r="B81" s="18">
        <v>1112011</v>
      </c>
      <c r="C81" s="26" t="s">
        <v>94</v>
      </c>
      <c r="D81" s="20">
        <f>'[1]เย็น '!D91+'[1]เช้า '!D91+[1]บ่าย!D91</f>
        <v>21</v>
      </c>
      <c r="E81" s="20">
        <f>'[1]เย็น '!E91+'[1]เช้า '!E91+[1]บ่าย!E91</f>
        <v>31</v>
      </c>
      <c r="F81" s="20">
        <f>'[1]เย็น '!F91+'[1]เช้า '!F91+[1]บ่าย!F91</f>
        <v>34</v>
      </c>
      <c r="G81" s="20">
        <f>'[1]เย็น '!G91+'[1]เช้า '!G91+[1]บ่าย!G91</f>
        <v>123</v>
      </c>
      <c r="H81" s="20">
        <f>'[1]เย็น '!H91+'[1]เช้า '!H91+[1]บ่าย!H91</f>
        <v>60</v>
      </c>
      <c r="I81" s="20">
        <f>'[1]เย็น '!I91+'[1]เช้า '!I91+[1]บ่าย!I91</f>
        <v>0</v>
      </c>
      <c r="J81" s="21">
        <f t="shared" si="3"/>
        <v>183</v>
      </c>
      <c r="K81" s="20">
        <f>'[1]เย็น '!J91+'[1]เช้า '!J91+[1]บ่าย!J91</f>
        <v>0</v>
      </c>
      <c r="L81" s="20">
        <f>'[1]เย็น '!K91+'[1]เช้า '!K91+[1]บ่าย!K91</f>
        <v>0</v>
      </c>
      <c r="M81" s="22">
        <f t="shared" si="4"/>
        <v>269</v>
      </c>
      <c r="N81" s="18"/>
      <c r="O81" s="18"/>
      <c r="P81" s="23">
        <f t="shared" si="5"/>
        <v>-269</v>
      </c>
    </row>
    <row r="82" spans="1:16" x14ac:dyDescent="0.6">
      <c r="A82" s="17">
        <v>80</v>
      </c>
      <c r="B82" s="18">
        <v>1112003</v>
      </c>
      <c r="C82" s="26" t="s">
        <v>95</v>
      </c>
      <c r="D82" s="20">
        <f>'[1]เย็น '!D92+'[1]เช้า '!D92+[1]บ่าย!D92</f>
        <v>14</v>
      </c>
      <c r="E82" s="20">
        <f>'[1]เย็น '!E92+'[1]เช้า '!E92+[1]บ่าย!E92</f>
        <v>0</v>
      </c>
      <c r="F82" s="20">
        <f>'[1]เย็น '!F92+'[1]เช้า '!F92+[1]บ่าย!F92</f>
        <v>2</v>
      </c>
      <c r="G82" s="20">
        <f>'[1]เย็น '!G92+'[1]เช้า '!G92+[1]บ่าย!G92</f>
        <v>87</v>
      </c>
      <c r="H82" s="20">
        <f>'[1]เย็น '!H92+'[1]เช้า '!H92+[1]บ่าย!H92</f>
        <v>50</v>
      </c>
      <c r="I82" s="20">
        <f>'[1]เย็น '!I92+'[1]เช้า '!I92+[1]บ่าย!I92</f>
        <v>0</v>
      </c>
      <c r="J82" s="21">
        <f t="shared" si="3"/>
        <v>137</v>
      </c>
      <c r="K82" s="20">
        <f>'[1]เย็น '!J92+'[1]เช้า '!J92+[1]บ่าย!J92</f>
        <v>0</v>
      </c>
      <c r="L82" s="20">
        <f>'[1]เย็น '!K92+'[1]เช้า '!K92+[1]บ่าย!K92</f>
        <v>0</v>
      </c>
      <c r="M82" s="22">
        <f t="shared" si="4"/>
        <v>153</v>
      </c>
      <c r="N82" s="18"/>
      <c r="O82" s="18"/>
      <c r="P82" s="23">
        <f t="shared" si="5"/>
        <v>-153</v>
      </c>
    </row>
    <row r="83" spans="1:16" x14ac:dyDescent="0.6">
      <c r="A83" s="17">
        <v>81</v>
      </c>
      <c r="B83" s="18">
        <v>1112005</v>
      </c>
      <c r="C83" s="26" t="s">
        <v>96</v>
      </c>
      <c r="D83" s="20">
        <f>'[1]เย็น '!D93+'[1]เช้า '!D93+[1]บ่าย!D93</f>
        <v>15</v>
      </c>
      <c r="E83" s="20">
        <f>'[1]เย็น '!E93+'[1]เช้า '!E93+[1]บ่าย!E93</f>
        <v>0</v>
      </c>
      <c r="F83" s="20">
        <f>'[1]เย็น '!F93+'[1]เช้า '!F93+[1]บ่าย!F93</f>
        <v>0</v>
      </c>
      <c r="G83" s="20">
        <f>'[1]เย็น '!G93+'[1]เช้า '!G93+[1]บ่าย!G93</f>
        <v>35</v>
      </c>
      <c r="H83" s="20">
        <f>'[1]เย็น '!H93+'[1]เช้า '!H93+[1]บ่าย!H93</f>
        <v>13</v>
      </c>
      <c r="I83" s="20">
        <f>'[1]เย็น '!I93+'[1]เช้า '!I93+[1]บ่าย!I93</f>
        <v>0</v>
      </c>
      <c r="J83" s="21">
        <f t="shared" si="3"/>
        <v>48</v>
      </c>
      <c r="K83" s="20">
        <f>'[1]เย็น '!J93+'[1]เช้า '!J93+[1]บ่าย!J93</f>
        <v>0</v>
      </c>
      <c r="L83" s="20">
        <f>'[1]เย็น '!K93+'[1]เช้า '!K93+[1]บ่าย!K93</f>
        <v>0</v>
      </c>
      <c r="M83" s="22">
        <f t="shared" si="4"/>
        <v>63</v>
      </c>
      <c r="N83" s="18"/>
      <c r="O83" s="18"/>
      <c r="P83" s="23">
        <f t="shared" si="5"/>
        <v>-63</v>
      </c>
    </row>
    <row r="84" spans="1:16" x14ac:dyDescent="0.6">
      <c r="A84" s="17">
        <v>82</v>
      </c>
      <c r="B84" s="18">
        <v>1112007</v>
      </c>
      <c r="C84" s="26" t="s">
        <v>97</v>
      </c>
      <c r="D84" s="20">
        <f>'[1]เย็น '!D94+'[1]เช้า '!D94+[1]บ่าย!D94</f>
        <v>0</v>
      </c>
      <c r="E84" s="20">
        <f>'[1]เย็น '!E94+'[1]เช้า '!E94+[1]บ่าย!E94</f>
        <v>0</v>
      </c>
      <c r="F84" s="20">
        <f>'[1]เย็น '!F94+'[1]เช้า '!F94+[1]บ่าย!F94</f>
        <v>0</v>
      </c>
      <c r="G84" s="20">
        <f>'[1]เย็น '!G94+'[1]เช้า '!G94+[1]บ่าย!G94</f>
        <v>0</v>
      </c>
      <c r="H84" s="20">
        <f>'[1]เย็น '!H94+'[1]เช้า '!H94+[1]บ่าย!H94</f>
        <v>0</v>
      </c>
      <c r="I84" s="20">
        <f>'[1]เย็น '!I94+'[1]เช้า '!I94+[1]บ่าย!I94</f>
        <v>0</v>
      </c>
      <c r="J84" s="21">
        <f t="shared" si="3"/>
        <v>0</v>
      </c>
      <c r="K84" s="20">
        <f>'[1]เย็น '!J94+'[1]เช้า '!J94+[1]บ่าย!J94</f>
        <v>0</v>
      </c>
      <c r="L84" s="20">
        <f>'[1]เย็น '!K94+'[1]เช้า '!K94+[1]บ่าย!K94</f>
        <v>0</v>
      </c>
      <c r="M84" s="22">
        <f t="shared" si="4"/>
        <v>0</v>
      </c>
      <c r="N84" s="18"/>
      <c r="O84" s="18"/>
      <c r="P84" s="23">
        <f t="shared" si="5"/>
        <v>0</v>
      </c>
    </row>
    <row r="85" spans="1:16" x14ac:dyDescent="0.6">
      <c r="A85" s="17">
        <v>83</v>
      </c>
      <c r="B85" s="18">
        <v>1112019</v>
      </c>
      <c r="C85" s="26" t="s">
        <v>98</v>
      </c>
      <c r="D85" s="20">
        <f>'[1]เย็น '!D95+'[1]เช้า '!D95+[1]บ่าย!D95</f>
        <v>0</v>
      </c>
      <c r="E85" s="20">
        <f>'[1]เย็น '!E95+'[1]เช้า '!E95+[1]บ่าย!E95</f>
        <v>0</v>
      </c>
      <c r="F85" s="20">
        <f>'[1]เย็น '!F95+'[1]เช้า '!F95+[1]บ่าย!F95</f>
        <v>0</v>
      </c>
      <c r="G85" s="20">
        <f>'[1]เย็น '!G95+'[1]เช้า '!G95+[1]บ่าย!G95</f>
        <v>0</v>
      </c>
      <c r="H85" s="20">
        <f>'[1]เย็น '!H95+'[1]เช้า '!H95+[1]บ่าย!H95</f>
        <v>0</v>
      </c>
      <c r="I85" s="20">
        <f>'[1]เย็น '!I95+'[1]เช้า '!I95+[1]บ่าย!I95</f>
        <v>0</v>
      </c>
      <c r="J85" s="21">
        <f t="shared" si="3"/>
        <v>0</v>
      </c>
      <c r="K85" s="20">
        <f>'[1]เย็น '!J95+'[1]เช้า '!J95+[1]บ่าย!J95</f>
        <v>0</v>
      </c>
      <c r="L85" s="20">
        <f>'[1]เย็น '!K95+'[1]เช้า '!K95+[1]บ่าย!K95</f>
        <v>0</v>
      </c>
      <c r="M85" s="22">
        <f t="shared" si="4"/>
        <v>0</v>
      </c>
      <c r="N85" s="18"/>
      <c r="O85" s="18"/>
      <c r="P85" s="23">
        <f t="shared" si="5"/>
        <v>0</v>
      </c>
    </row>
    <row r="86" spans="1:16" x14ac:dyDescent="0.6">
      <c r="A86" s="17">
        <v>84</v>
      </c>
      <c r="B86" s="18">
        <v>1112017</v>
      </c>
      <c r="C86" s="26" t="s">
        <v>99</v>
      </c>
      <c r="D86" s="20">
        <f>'[1]เย็น '!D96+'[1]เช้า '!D96+[1]บ่าย!D96</f>
        <v>12</v>
      </c>
      <c r="E86" s="20">
        <f>'[1]เย็น '!E96+'[1]เช้า '!E96+[1]บ่าย!E96</f>
        <v>0</v>
      </c>
      <c r="F86" s="20">
        <f>'[1]เย็น '!F96+'[1]เช้า '!F96+[1]บ่าย!F96</f>
        <v>2</v>
      </c>
      <c r="G86" s="20">
        <f>'[1]เย็น '!G96+'[1]เช้า '!G96+[1]บ่าย!G96</f>
        <v>86</v>
      </c>
      <c r="H86" s="20">
        <f>'[1]เย็น '!H96+'[1]เช้า '!H96+[1]บ่าย!H96</f>
        <v>49</v>
      </c>
      <c r="I86" s="20">
        <f>'[1]เย็น '!I96+'[1]เช้า '!I96+[1]บ่าย!I96</f>
        <v>0</v>
      </c>
      <c r="J86" s="21">
        <f t="shared" si="3"/>
        <v>135</v>
      </c>
      <c r="K86" s="20">
        <f>'[1]เย็น '!J96+'[1]เช้า '!J96+[1]บ่าย!J96</f>
        <v>0</v>
      </c>
      <c r="L86" s="20">
        <f>'[1]เย็น '!K96+'[1]เช้า '!K96+[1]บ่าย!K96</f>
        <v>0</v>
      </c>
      <c r="M86" s="22">
        <f t="shared" si="4"/>
        <v>149</v>
      </c>
      <c r="N86" s="18"/>
      <c r="O86" s="18"/>
      <c r="P86" s="23">
        <f t="shared" si="5"/>
        <v>-149</v>
      </c>
    </row>
    <row r="87" spans="1:16" x14ac:dyDescent="0.6">
      <c r="A87" s="17">
        <v>85</v>
      </c>
      <c r="B87" s="18">
        <v>1112015</v>
      </c>
      <c r="C87" s="26" t="s">
        <v>100</v>
      </c>
      <c r="D87" s="20">
        <f>'[1]เย็น '!D97+'[1]เช้า '!D97+[1]บ่าย!D97</f>
        <v>15</v>
      </c>
      <c r="E87" s="20">
        <f>'[1]เย็น '!E97+'[1]เช้า '!E97+[1]บ่าย!E97</f>
        <v>0</v>
      </c>
      <c r="F87" s="20">
        <f>'[1]เย็น '!F97+'[1]เช้า '!F97+[1]บ่าย!F97</f>
        <v>2</v>
      </c>
      <c r="G87" s="20">
        <f>'[1]เย็น '!G97+'[1]เช้า '!G97+[1]บ่าย!G97</f>
        <v>86</v>
      </c>
      <c r="H87" s="20">
        <f>'[1]เย็น '!H97+'[1]เช้า '!H97+[1]บ่าย!H97</f>
        <v>49</v>
      </c>
      <c r="I87" s="20">
        <f>'[1]เย็น '!I97+'[1]เช้า '!I97+[1]บ่าย!I97</f>
        <v>0</v>
      </c>
      <c r="J87" s="21">
        <f t="shared" si="3"/>
        <v>135</v>
      </c>
      <c r="K87" s="20">
        <f>'[1]เย็น '!J97+'[1]เช้า '!J97+[1]บ่าย!J97</f>
        <v>0</v>
      </c>
      <c r="L87" s="20">
        <f>'[1]เย็น '!K97+'[1]เช้า '!K97+[1]บ่าย!K97</f>
        <v>0</v>
      </c>
      <c r="M87" s="22">
        <f t="shared" si="4"/>
        <v>152</v>
      </c>
      <c r="N87" s="18"/>
      <c r="O87" s="18"/>
      <c r="P87" s="23">
        <f t="shared" si="5"/>
        <v>-152</v>
      </c>
    </row>
    <row r="88" spans="1:16" x14ac:dyDescent="0.6">
      <c r="A88" s="17">
        <v>86</v>
      </c>
      <c r="B88" s="18">
        <v>1112013</v>
      </c>
      <c r="C88" s="26" t="s">
        <v>101</v>
      </c>
      <c r="D88" s="20">
        <f>'[1]เย็น '!D98+'[1]เช้า '!D98+[1]บ่าย!D98</f>
        <v>21</v>
      </c>
      <c r="E88" s="20">
        <f>'[1]เย็น '!E98+'[1]เช้า '!E98+[1]บ่าย!E98</f>
        <v>29</v>
      </c>
      <c r="F88" s="20">
        <f>'[1]เย็น '!F98+'[1]เช้า '!F98+[1]บ่าย!F98</f>
        <v>32</v>
      </c>
      <c r="G88" s="20">
        <f>'[1]เย็น '!G98+'[1]เช้า '!G98+[1]บ่าย!G98</f>
        <v>123</v>
      </c>
      <c r="H88" s="20">
        <f>'[1]เย็น '!H98+'[1]เช้า '!H98+[1]บ่าย!H98</f>
        <v>59</v>
      </c>
      <c r="I88" s="20">
        <f>'[1]เย็น '!I98+'[1]เช้า '!I98+[1]บ่าย!I98</f>
        <v>0</v>
      </c>
      <c r="J88" s="21">
        <f t="shared" si="3"/>
        <v>182</v>
      </c>
      <c r="K88" s="20">
        <f>'[1]เย็น '!J98+'[1]เช้า '!J98+[1]บ่าย!J98</f>
        <v>0</v>
      </c>
      <c r="L88" s="20">
        <f>'[1]เย็น '!K98+'[1]เช้า '!K98+[1]บ่าย!K98</f>
        <v>0</v>
      </c>
      <c r="M88" s="22">
        <f t="shared" si="4"/>
        <v>264</v>
      </c>
      <c r="N88" s="18"/>
      <c r="O88" s="18"/>
      <c r="P88" s="23">
        <f t="shared" si="5"/>
        <v>-264</v>
      </c>
    </row>
    <row r="89" spans="1:16" x14ac:dyDescent="0.6">
      <c r="A89" s="17">
        <v>87</v>
      </c>
      <c r="B89" s="18">
        <v>1124043</v>
      </c>
      <c r="C89" s="26" t="s">
        <v>102</v>
      </c>
      <c r="D89" s="20">
        <f>[1]บ่าย!D99+'[1]เช้า '!D99+'[1]เย็น '!D99</f>
        <v>0</v>
      </c>
      <c r="E89" s="20">
        <f>[1]บ่าย!E99+'[1]เช้า '!E99+'[1]เย็น '!E99</f>
        <v>0</v>
      </c>
      <c r="F89" s="20">
        <f>[1]บ่าย!F99+'[1]เช้า '!F99+'[1]เย็น '!F99</f>
        <v>0</v>
      </c>
      <c r="G89" s="20">
        <f>[1]บ่าย!G99+'[1]เช้า '!G99+'[1]เย็น '!G99</f>
        <v>0</v>
      </c>
      <c r="H89" s="20">
        <f>[1]บ่าย!H99+'[1]เช้า '!H99+'[1]เย็น '!H99</f>
        <v>0</v>
      </c>
      <c r="I89" s="20">
        <f>[1]บ่าย!I99+'[1]เช้า '!I99+'[1]เย็น '!I99</f>
        <v>0</v>
      </c>
      <c r="J89" s="21">
        <f t="shared" si="3"/>
        <v>0</v>
      </c>
      <c r="K89" s="20">
        <f>[1]บ่าย!J99+'[1]เช้า '!J99+'[1]เย็น '!J99</f>
        <v>0</v>
      </c>
      <c r="L89" s="25"/>
      <c r="M89" s="22">
        <f t="shared" si="4"/>
        <v>0</v>
      </c>
      <c r="N89" s="18"/>
      <c r="O89" s="18"/>
      <c r="P89" s="23"/>
    </row>
    <row r="90" spans="1:16" x14ac:dyDescent="0.6">
      <c r="A90" s="17">
        <v>88</v>
      </c>
      <c r="B90" s="18">
        <v>1112008</v>
      </c>
      <c r="C90" s="26" t="s">
        <v>103</v>
      </c>
      <c r="D90" s="20">
        <f>[1]บ่าย!D102+'[1]เช้า '!D102+'[1]เย็น '!D102</f>
        <v>0</v>
      </c>
      <c r="E90" s="20">
        <f>[1]บ่าย!E102+'[1]เช้า '!E102+'[1]เย็น '!E102</f>
        <v>0</v>
      </c>
      <c r="F90" s="20">
        <f>[1]บ่าย!F102+'[1]เช้า '!F102+'[1]เย็น '!F102</f>
        <v>0</v>
      </c>
      <c r="G90" s="20">
        <f>[1]บ่าย!G102+'[1]เช้า '!G102+'[1]เย็น '!G102</f>
        <v>0</v>
      </c>
      <c r="H90" s="20">
        <f>[1]บ่าย!H102+'[1]เช้า '!H102+'[1]เย็น '!H102</f>
        <v>0</v>
      </c>
      <c r="I90" s="20">
        <f>[1]บ่าย!I102+'[1]เช้า '!I102+'[1]เย็น '!I102</f>
        <v>0</v>
      </c>
      <c r="J90" s="21">
        <f t="shared" si="3"/>
        <v>0</v>
      </c>
      <c r="K90" s="20">
        <f>[1]บ่าย!J102+'[1]เช้า '!J102+'[1]เย็น '!J102</f>
        <v>0</v>
      </c>
      <c r="L90" s="25"/>
      <c r="M90" s="22">
        <f t="shared" si="4"/>
        <v>0</v>
      </c>
      <c r="N90" s="18"/>
      <c r="O90" s="18"/>
      <c r="P90" s="23">
        <f t="shared" ref="P90:P126" si="6">(N90+O90)-M90</f>
        <v>0</v>
      </c>
    </row>
    <row r="91" spans="1:16" x14ac:dyDescent="0.6">
      <c r="A91" s="17">
        <v>89</v>
      </c>
      <c r="B91" s="18">
        <v>1112010</v>
      </c>
      <c r="C91" s="26" t="s">
        <v>104</v>
      </c>
      <c r="D91" s="20">
        <f>[1]บ่าย!D103+'[1]เช้า '!D103+'[1]เย็น '!D103</f>
        <v>0</v>
      </c>
      <c r="E91" s="20">
        <f>[1]บ่าย!E103+'[1]เช้า '!E103+'[1]เย็น '!E103</f>
        <v>0</v>
      </c>
      <c r="F91" s="20">
        <f>[1]บ่าย!F103+'[1]เช้า '!F103+'[1]เย็น '!F103</f>
        <v>0</v>
      </c>
      <c r="G91" s="20">
        <f>[1]บ่าย!G103+'[1]เช้า '!G103+'[1]เย็น '!G103</f>
        <v>0</v>
      </c>
      <c r="H91" s="20">
        <f>[1]บ่าย!H103+'[1]เช้า '!H103+'[1]เย็น '!H103</f>
        <v>0</v>
      </c>
      <c r="I91" s="20">
        <f>[1]บ่าย!I103+'[1]เช้า '!I103+'[1]เย็น '!I103</f>
        <v>0</v>
      </c>
      <c r="J91" s="21">
        <f t="shared" si="3"/>
        <v>0</v>
      </c>
      <c r="K91" s="20">
        <f>[1]บ่าย!J103+'[1]เช้า '!J103+'[1]เย็น '!J103</f>
        <v>0</v>
      </c>
      <c r="L91" s="25"/>
      <c r="M91" s="22">
        <f t="shared" si="4"/>
        <v>0</v>
      </c>
      <c r="N91" s="18"/>
      <c r="O91" s="18"/>
      <c r="P91" s="23">
        <f t="shared" si="6"/>
        <v>0</v>
      </c>
    </row>
    <row r="92" spans="1:16" x14ac:dyDescent="0.6">
      <c r="A92" s="17">
        <v>90</v>
      </c>
      <c r="B92" s="18">
        <v>1112002</v>
      </c>
      <c r="C92" s="26" t="s">
        <v>105</v>
      </c>
      <c r="D92" s="20">
        <f>[1]บ่าย!D104+'[1]เช้า '!D104+'[1]เย็น '!D104</f>
        <v>0</v>
      </c>
      <c r="E92" s="20">
        <f>[1]บ่าย!E104+'[1]เช้า '!E104+'[1]เย็น '!E104</f>
        <v>0</v>
      </c>
      <c r="F92" s="20">
        <f>[1]บ่าย!F104+'[1]เช้า '!F104+'[1]เย็น '!F104</f>
        <v>0</v>
      </c>
      <c r="G92" s="20">
        <f>[1]บ่าย!G104+'[1]เช้า '!G104+'[1]เย็น '!G104</f>
        <v>0</v>
      </c>
      <c r="H92" s="20">
        <f>[1]บ่าย!H104+'[1]เช้า '!H104+'[1]เย็น '!H104</f>
        <v>0</v>
      </c>
      <c r="I92" s="20">
        <f>[1]บ่าย!I104+'[1]เช้า '!I104+'[1]เย็น '!I104</f>
        <v>0</v>
      </c>
      <c r="J92" s="21">
        <f t="shared" si="3"/>
        <v>0</v>
      </c>
      <c r="K92" s="20">
        <f>[1]บ่าย!J104+'[1]เช้า '!J104+'[1]เย็น '!J104</f>
        <v>0</v>
      </c>
      <c r="L92" s="25"/>
      <c r="M92" s="22">
        <f t="shared" si="4"/>
        <v>0</v>
      </c>
      <c r="N92" s="18"/>
      <c r="O92" s="18"/>
      <c r="P92" s="23">
        <f t="shared" si="6"/>
        <v>0</v>
      </c>
    </row>
    <row r="93" spans="1:16" x14ac:dyDescent="0.6">
      <c r="A93" s="17">
        <v>91</v>
      </c>
      <c r="B93" s="18">
        <v>1112004</v>
      </c>
      <c r="C93" s="26" t="s">
        <v>106</v>
      </c>
      <c r="D93" s="20">
        <f>[1]บ่าย!D105+'[1]เช้า '!D105+'[1]เย็น '!D105</f>
        <v>0</v>
      </c>
      <c r="E93" s="20">
        <f>[1]บ่าย!E105+'[1]เช้า '!E105+'[1]เย็น '!E105</f>
        <v>0</v>
      </c>
      <c r="F93" s="20">
        <f>[1]บ่าย!F105+'[1]เช้า '!F105+'[1]เย็น '!F105</f>
        <v>0</v>
      </c>
      <c r="G93" s="20">
        <f>[1]บ่าย!G105+'[1]เช้า '!G105+'[1]เย็น '!G105</f>
        <v>0</v>
      </c>
      <c r="H93" s="20">
        <f>[1]บ่าย!H105+'[1]เช้า '!H105+'[1]เย็น '!H105</f>
        <v>0</v>
      </c>
      <c r="I93" s="20">
        <f>[1]บ่าย!I105+'[1]เช้า '!I105+'[1]เย็น '!I105</f>
        <v>0</v>
      </c>
      <c r="J93" s="21">
        <f t="shared" si="3"/>
        <v>0</v>
      </c>
      <c r="K93" s="20">
        <f>[1]บ่าย!J105+'[1]เช้า '!J105+'[1]เย็น '!J105</f>
        <v>0</v>
      </c>
      <c r="L93" s="25"/>
      <c r="M93" s="22">
        <f t="shared" si="4"/>
        <v>0</v>
      </c>
      <c r="N93" s="18"/>
      <c r="O93" s="18"/>
      <c r="P93" s="23">
        <f t="shared" si="6"/>
        <v>0</v>
      </c>
    </row>
    <row r="94" spans="1:16" x14ac:dyDescent="0.6">
      <c r="A94" s="17">
        <v>92</v>
      </c>
      <c r="B94" s="18">
        <v>1112006</v>
      </c>
      <c r="C94" s="26" t="s">
        <v>107</v>
      </c>
      <c r="D94" s="20">
        <f>[1]บ่าย!D106+'[1]เช้า '!D106+'[1]เย็น '!D106</f>
        <v>0</v>
      </c>
      <c r="E94" s="20">
        <f>[1]บ่าย!E106+'[1]เช้า '!E106+'[1]เย็น '!E106</f>
        <v>0</v>
      </c>
      <c r="F94" s="20">
        <f>[1]บ่าย!F106+'[1]เช้า '!F106+'[1]เย็น '!F106</f>
        <v>0</v>
      </c>
      <c r="G94" s="20">
        <f>[1]บ่าย!G106+'[1]เช้า '!G106+'[1]เย็น '!G106</f>
        <v>0</v>
      </c>
      <c r="H94" s="20">
        <f>[1]บ่าย!H106+'[1]เช้า '!H106+'[1]เย็น '!H106</f>
        <v>0</v>
      </c>
      <c r="I94" s="20">
        <f>[1]บ่าย!I106+'[1]เช้า '!I106+'[1]เย็น '!I106</f>
        <v>0</v>
      </c>
      <c r="J94" s="21">
        <f t="shared" si="3"/>
        <v>0</v>
      </c>
      <c r="K94" s="20">
        <f>[1]บ่าย!J106+'[1]เช้า '!J106+'[1]เย็น '!J106</f>
        <v>0</v>
      </c>
      <c r="L94" s="25"/>
      <c r="M94" s="22">
        <f t="shared" si="4"/>
        <v>0</v>
      </c>
      <c r="N94" s="18"/>
      <c r="O94" s="18"/>
      <c r="P94" s="23">
        <f t="shared" si="6"/>
        <v>0</v>
      </c>
    </row>
    <row r="95" spans="1:16" x14ac:dyDescent="0.6">
      <c r="A95" s="17">
        <v>93</v>
      </c>
      <c r="B95" s="18">
        <v>1112018</v>
      </c>
      <c r="C95" s="26" t="s">
        <v>108</v>
      </c>
      <c r="D95" s="20">
        <f>[1]บ่าย!D107+'[1]เช้า '!D107+'[1]เย็น '!D107</f>
        <v>0</v>
      </c>
      <c r="E95" s="20">
        <f>[1]บ่าย!E107+'[1]เช้า '!E107+'[1]เย็น '!E107</f>
        <v>0</v>
      </c>
      <c r="F95" s="20">
        <f>[1]บ่าย!F107+'[1]เช้า '!F107+'[1]เย็น '!F107</f>
        <v>0</v>
      </c>
      <c r="G95" s="20">
        <f>[1]บ่าย!G107+'[1]เช้า '!G107+'[1]เย็น '!G107</f>
        <v>0</v>
      </c>
      <c r="H95" s="20">
        <f>[1]บ่าย!H107+'[1]เช้า '!H107+'[1]เย็น '!H107</f>
        <v>0</v>
      </c>
      <c r="I95" s="20">
        <f>[1]บ่าย!I107+'[1]เช้า '!I107+'[1]เย็น '!I107</f>
        <v>0</v>
      </c>
      <c r="J95" s="21">
        <f t="shared" si="3"/>
        <v>0</v>
      </c>
      <c r="K95" s="20">
        <f>[1]บ่าย!J107+'[1]เช้า '!J107+'[1]เย็น '!J107</f>
        <v>0</v>
      </c>
      <c r="L95" s="25"/>
      <c r="M95" s="22">
        <f t="shared" si="4"/>
        <v>0</v>
      </c>
      <c r="N95" s="18"/>
      <c r="O95" s="18"/>
      <c r="P95" s="23">
        <f t="shared" si="6"/>
        <v>0</v>
      </c>
    </row>
    <row r="96" spans="1:16" x14ac:dyDescent="0.6">
      <c r="A96" s="17">
        <v>94</v>
      </c>
      <c r="B96" s="18">
        <v>1112016</v>
      </c>
      <c r="C96" s="26" t="s">
        <v>109</v>
      </c>
      <c r="D96" s="20">
        <f>[1]บ่าย!D108+'[1]เช้า '!D108+'[1]เย็น '!D108</f>
        <v>0</v>
      </c>
      <c r="E96" s="20">
        <f>[1]บ่าย!E108+'[1]เช้า '!E108+'[1]เย็น '!E108</f>
        <v>0</v>
      </c>
      <c r="F96" s="20">
        <f>[1]บ่าย!F108+'[1]เช้า '!F108+'[1]เย็น '!F108</f>
        <v>0</v>
      </c>
      <c r="G96" s="20">
        <f>[1]บ่าย!G108+'[1]เช้า '!G108+'[1]เย็น '!G108</f>
        <v>0</v>
      </c>
      <c r="H96" s="20">
        <f>[1]บ่าย!H108+'[1]เช้า '!H108+'[1]เย็น '!H108</f>
        <v>0</v>
      </c>
      <c r="I96" s="20">
        <f>[1]บ่าย!I108+'[1]เช้า '!I108+'[1]เย็น '!I108</f>
        <v>0</v>
      </c>
      <c r="J96" s="21">
        <f t="shared" si="3"/>
        <v>0</v>
      </c>
      <c r="K96" s="20">
        <f>[1]บ่าย!J108+'[1]เช้า '!J108+'[1]เย็น '!J108</f>
        <v>0</v>
      </c>
      <c r="L96" s="25"/>
      <c r="M96" s="22">
        <f t="shared" si="4"/>
        <v>0</v>
      </c>
      <c r="N96" s="18"/>
      <c r="O96" s="18"/>
      <c r="P96" s="23">
        <f t="shared" si="6"/>
        <v>0</v>
      </c>
    </row>
    <row r="97" spans="1:16" x14ac:dyDescent="0.6">
      <c r="A97" s="17">
        <v>95</v>
      </c>
      <c r="B97" s="18">
        <v>1112014</v>
      </c>
      <c r="C97" s="26" t="s">
        <v>110</v>
      </c>
      <c r="D97" s="20">
        <f>[1]บ่าย!D109+'[1]เช้า '!D109+'[1]เย็น '!D109</f>
        <v>0</v>
      </c>
      <c r="E97" s="20">
        <f>[1]บ่าย!E109+'[1]เช้า '!E109+'[1]เย็น '!E109</f>
        <v>0</v>
      </c>
      <c r="F97" s="20">
        <f>[1]บ่าย!F109+'[1]เช้า '!F109+'[1]เย็น '!F109</f>
        <v>0</v>
      </c>
      <c r="G97" s="20">
        <f>[1]บ่าย!G109+'[1]เช้า '!G109+'[1]เย็น '!G109</f>
        <v>0</v>
      </c>
      <c r="H97" s="20">
        <f>[1]บ่าย!H109+'[1]เช้า '!H109+'[1]เย็น '!H109</f>
        <v>0</v>
      </c>
      <c r="I97" s="20">
        <f>[1]บ่าย!I109+'[1]เช้า '!I109+'[1]เย็น '!I109</f>
        <v>0</v>
      </c>
      <c r="J97" s="21">
        <f t="shared" si="3"/>
        <v>0</v>
      </c>
      <c r="K97" s="20">
        <f>[1]บ่าย!J109+'[1]เช้า '!J109+'[1]เย็น '!J109</f>
        <v>0</v>
      </c>
      <c r="L97" s="25"/>
      <c r="M97" s="22">
        <f t="shared" si="4"/>
        <v>0</v>
      </c>
      <c r="N97" s="18"/>
      <c r="O97" s="18"/>
      <c r="P97" s="23">
        <f t="shared" si="6"/>
        <v>0</v>
      </c>
    </row>
    <row r="98" spans="1:16" x14ac:dyDescent="0.6">
      <c r="A98" s="17">
        <v>96</v>
      </c>
      <c r="B98" s="18">
        <v>1112012</v>
      </c>
      <c r="C98" s="26" t="s">
        <v>111</v>
      </c>
      <c r="D98" s="20">
        <f>[1]บ่าย!D110+'[1]เช้า '!D110+'[1]เย็น '!D110</f>
        <v>0</v>
      </c>
      <c r="E98" s="20">
        <f>[1]บ่าย!E110+'[1]เช้า '!E110+'[1]เย็น '!E110</f>
        <v>0</v>
      </c>
      <c r="F98" s="20">
        <f>[1]บ่าย!F110+'[1]เช้า '!F110+'[1]เย็น '!F110</f>
        <v>0</v>
      </c>
      <c r="G98" s="20">
        <f>[1]บ่าย!G110+'[1]เช้า '!G110+'[1]เย็น '!G110</f>
        <v>0</v>
      </c>
      <c r="H98" s="20">
        <f>[1]บ่าย!H110+'[1]เช้า '!H110+'[1]เย็น '!H110</f>
        <v>0</v>
      </c>
      <c r="I98" s="20">
        <f>[1]บ่าย!I110+'[1]เช้า '!I110+'[1]เย็น '!I110</f>
        <v>0</v>
      </c>
      <c r="J98" s="21">
        <f t="shared" si="3"/>
        <v>0</v>
      </c>
      <c r="K98" s="20">
        <f>[1]บ่าย!J110+'[1]เช้า '!J110+'[1]เย็น '!J110</f>
        <v>0</v>
      </c>
      <c r="L98" s="25"/>
      <c r="M98" s="22">
        <f t="shared" si="4"/>
        <v>0</v>
      </c>
      <c r="N98" s="18"/>
      <c r="O98" s="18"/>
      <c r="P98" s="23">
        <f t="shared" si="6"/>
        <v>0</v>
      </c>
    </row>
    <row r="99" spans="1:16" x14ac:dyDescent="0.6">
      <c r="A99" s="17">
        <v>97</v>
      </c>
      <c r="B99" s="18"/>
      <c r="C99" s="26" t="s">
        <v>112</v>
      </c>
      <c r="D99" s="20">
        <f>[1]บ่าย!D111+'[1]เช้า '!D111+'[1]เย็น '!D111</f>
        <v>0</v>
      </c>
      <c r="E99" s="20">
        <f>[1]บ่าย!E111+'[1]เช้า '!E111+'[1]เย็น '!E111</f>
        <v>0</v>
      </c>
      <c r="F99" s="20">
        <f>[1]บ่าย!F111+'[1]เช้า '!F111+'[1]เย็น '!F111</f>
        <v>0</v>
      </c>
      <c r="G99" s="20">
        <f>[1]บ่าย!G111+'[1]เช้า '!G111+'[1]เย็น '!G111</f>
        <v>0</v>
      </c>
      <c r="H99" s="20">
        <f>[1]บ่าย!H111+'[1]เช้า '!H111+'[1]เย็น '!H111</f>
        <v>0</v>
      </c>
      <c r="I99" s="20">
        <f>[1]บ่าย!I111+'[1]เช้า '!I111+'[1]เย็น '!I111</f>
        <v>0</v>
      </c>
      <c r="J99" s="21">
        <f t="shared" si="3"/>
        <v>0</v>
      </c>
      <c r="K99" s="20">
        <f>[1]บ่าย!J111+'[1]เช้า '!J111+'[1]เย็น '!J111</f>
        <v>0</v>
      </c>
      <c r="L99" s="25"/>
      <c r="M99" s="22">
        <f t="shared" si="4"/>
        <v>0</v>
      </c>
      <c r="N99" s="18"/>
      <c r="O99" s="18"/>
      <c r="P99" s="23">
        <f t="shared" si="6"/>
        <v>0</v>
      </c>
    </row>
    <row r="100" spans="1:16" x14ac:dyDescent="0.6">
      <c r="A100" s="17">
        <v>98</v>
      </c>
      <c r="B100" s="18">
        <v>1113170</v>
      </c>
      <c r="C100" s="27" t="s">
        <v>113</v>
      </c>
      <c r="D100" s="20">
        <f>'[1]เย็น '!D114+'[1]เช้า '!D114+[1]บ่าย!D114</f>
        <v>2</v>
      </c>
      <c r="E100" s="20">
        <f>'[1]เย็น '!E114+'[1]เช้า '!E114+[1]บ่าย!E114</f>
        <v>0</v>
      </c>
      <c r="F100" s="20">
        <f>'[1]เย็น '!F114+'[1]เช้า '!F114+[1]บ่าย!F114</f>
        <v>0</v>
      </c>
      <c r="G100" s="20">
        <f>'[1]เย็น '!G114+'[1]เช้า '!G114+[1]บ่าย!G114</f>
        <v>12</v>
      </c>
      <c r="H100" s="20">
        <f>'[1]เย็น '!H114+'[1]เช้า '!H114+[1]บ่าย!H114</f>
        <v>15</v>
      </c>
      <c r="I100" s="20">
        <f>'[1]เย็น '!I114+'[1]เช้า '!I114+[1]บ่าย!I114</f>
        <v>0</v>
      </c>
      <c r="J100" s="21">
        <f t="shared" si="3"/>
        <v>27</v>
      </c>
      <c r="K100" s="20">
        <f>'[1]เย็น '!J114+'[1]เช้า '!J114+[1]บ่าย!J114</f>
        <v>0</v>
      </c>
      <c r="L100" s="20">
        <f>'[1]เย็น '!K114+'[1]เช้า '!K114+[1]บ่าย!K114</f>
        <v>0</v>
      </c>
      <c r="M100" s="22">
        <f t="shared" si="4"/>
        <v>29</v>
      </c>
      <c r="N100" s="18"/>
      <c r="O100" s="18"/>
      <c r="P100" s="23">
        <f t="shared" si="6"/>
        <v>-29</v>
      </c>
    </row>
    <row r="101" spans="1:16" x14ac:dyDescent="0.6">
      <c r="A101" s="17">
        <v>99</v>
      </c>
      <c r="B101" s="18">
        <v>1113171</v>
      </c>
      <c r="C101" s="27" t="s">
        <v>114</v>
      </c>
      <c r="D101" s="20">
        <f>'[1]เย็น '!D115+'[1]เช้า '!D115+[1]บ่าย!D115</f>
        <v>5</v>
      </c>
      <c r="E101" s="20">
        <f>'[1]เย็น '!E115+'[1]เช้า '!E115+[1]บ่าย!E115</f>
        <v>0</v>
      </c>
      <c r="F101" s="20">
        <f>'[1]เย็น '!F115+'[1]เช้า '!F115+[1]บ่าย!F115</f>
        <v>0</v>
      </c>
      <c r="G101" s="20">
        <f>'[1]เย็น '!G115+'[1]เช้า '!G115+[1]บ่าย!G115</f>
        <v>10</v>
      </c>
      <c r="H101" s="20">
        <f>'[1]เย็น '!H115+'[1]เช้า '!H115+[1]บ่าย!H115</f>
        <v>10</v>
      </c>
      <c r="I101" s="20">
        <f>'[1]เย็น '!I115+'[1]เช้า '!I115+[1]บ่าย!I115</f>
        <v>0</v>
      </c>
      <c r="J101" s="21">
        <f t="shared" si="3"/>
        <v>20</v>
      </c>
      <c r="K101" s="20">
        <f>'[1]เย็น '!J115+'[1]เช้า '!J115+[1]บ่าย!J115</f>
        <v>0</v>
      </c>
      <c r="L101" s="20">
        <f>'[1]เย็น '!K115+'[1]เช้า '!K115+[1]บ่าย!K115</f>
        <v>0</v>
      </c>
      <c r="M101" s="22">
        <f t="shared" si="4"/>
        <v>25</v>
      </c>
      <c r="N101" s="18"/>
      <c r="O101" s="18"/>
      <c r="P101" s="23">
        <f t="shared" si="6"/>
        <v>-25</v>
      </c>
    </row>
    <row r="102" spans="1:16" x14ac:dyDescent="0.6">
      <c r="A102" s="17">
        <v>100</v>
      </c>
      <c r="B102" s="18">
        <v>1113172</v>
      </c>
      <c r="C102" s="27" t="s">
        <v>115</v>
      </c>
      <c r="D102" s="20">
        <f>'[1]เย็น '!D116+'[1]เช้า '!D116+[1]บ่าย!D116</f>
        <v>1</v>
      </c>
      <c r="E102" s="20">
        <f>'[1]เย็น '!E116+'[1]เช้า '!E116+[1]บ่าย!E116</f>
        <v>0</v>
      </c>
      <c r="F102" s="20">
        <f>'[1]เย็น '!F116+'[1]เช้า '!F116+[1]บ่าย!F116</f>
        <v>0</v>
      </c>
      <c r="G102" s="20">
        <f>'[1]เย็น '!G116+'[1]เช้า '!G116+[1]บ่าย!G116</f>
        <v>14</v>
      </c>
      <c r="H102" s="20">
        <f>'[1]เย็น '!H116+'[1]เช้า '!H116+[1]บ่าย!H116</f>
        <v>26</v>
      </c>
      <c r="I102" s="20">
        <f>'[1]เย็น '!I116+'[1]เช้า '!I116+[1]บ่าย!I116</f>
        <v>0</v>
      </c>
      <c r="J102" s="21">
        <f t="shared" si="3"/>
        <v>40</v>
      </c>
      <c r="K102" s="20">
        <f>'[1]เย็น '!J116+'[1]เช้า '!J116+[1]บ่าย!J116</f>
        <v>0</v>
      </c>
      <c r="L102" s="20">
        <f>'[1]เย็น '!K116+'[1]เช้า '!K116+[1]บ่าย!K116</f>
        <v>0</v>
      </c>
      <c r="M102" s="22">
        <f t="shared" si="4"/>
        <v>41</v>
      </c>
      <c r="N102" s="18"/>
      <c r="O102" s="18"/>
      <c r="P102" s="23">
        <f t="shared" si="6"/>
        <v>-41</v>
      </c>
    </row>
    <row r="103" spans="1:16" x14ac:dyDescent="0.6">
      <c r="A103" s="17">
        <v>101</v>
      </c>
      <c r="B103" s="18">
        <v>1113173</v>
      </c>
      <c r="C103" s="27" t="s">
        <v>116</v>
      </c>
      <c r="D103" s="20">
        <f>'[1]เย็น '!D117+'[1]เช้า '!D117+[1]บ่าย!D117</f>
        <v>0</v>
      </c>
      <c r="E103" s="20">
        <f>'[1]เย็น '!E117+'[1]เช้า '!E117+[1]บ่าย!E117</f>
        <v>0</v>
      </c>
      <c r="F103" s="20">
        <f>'[1]เย็น '!F117+'[1]เช้า '!F117+[1]บ่าย!F117</f>
        <v>0</v>
      </c>
      <c r="G103" s="20">
        <f>'[1]เย็น '!G117+'[1]เช้า '!G117+[1]บ่าย!G117</f>
        <v>0</v>
      </c>
      <c r="H103" s="20">
        <f>'[1]เย็น '!H117+'[1]เช้า '!H117+[1]บ่าย!H117</f>
        <v>0</v>
      </c>
      <c r="I103" s="20">
        <f>'[1]เย็น '!I117+'[1]เช้า '!I117+[1]บ่าย!I117</f>
        <v>0</v>
      </c>
      <c r="J103" s="21">
        <f t="shared" si="3"/>
        <v>0</v>
      </c>
      <c r="K103" s="20">
        <f>'[1]เย็น '!J117+'[1]เช้า '!J117+[1]บ่าย!J117</f>
        <v>0</v>
      </c>
      <c r="L103" s="20">
        <f>'[1]เย็น '!K117+'[1]เช้า '!K117+[1]บ่าย!K117</f>
        <v>0</v>
      </c>
      <c r="M103" s="22">
        <f t="shared" si="4"/>
        <v>0</v>
      </c>
      <c r="N103" s="18"/>
      <c r="O103" s="18"/>
      <c r="P103" s="23">
        <f t="shared" si="6"/>
        <v>0</v>
      </c>
    </row>
    <row r="104" spans="1:16" x14ac:dyDescent="0.6">
      <c r="A104" s="17">
        <v>102</v>
      </c>
      <c r="B104" s="18">
        <v>1100003</v>
      </c>
      <c r="C104" s="27" t="s">
        <v>117</v>
      </c>
      <c r="D104" s="20">
        <f>'[1]เย็น '!D118+'[1]เช้า '!D118+[1]บ่าย!D118</f>
        <v>0</v>
      </c>
      <c r="E104" s="20">
        <f>'[1]เย็น '!E118+'[1]เช้า '!E118+[1]บ่าย!E118</f>
        <v>0</v>
      </c>
      <c r="F104" s="20">
        <f>'[1]เย็น '!F118+'[1]เช้า '!F118+[1]บ่าย!F118</f>
        <v>1</v>
      </c>
      <c r="G104" s="20">
        <f>'[1]เย็น '!G118+'[1]เช้า '!G118+[1]บ่าย!G118</f>
        <v>0</v>
      </c>
      <c r="H104" s="20">
        <f>'[1]เย็น '!H118+'[1]เช้า '!H118+[1]บ่าย!H118</f>
        <v>0</v>
      </c>
      <c r="I104" s="20">
        <f>'[1]เย็น '!I118+'[1]เช้า '!I118+[1]บ่าย!I118</f>
        <v>0</v>
      </c>
      <c r="J104" s="21">
        <f t="shared" si="3"/>
        <v>0</v>
      </c>
      <c r="K104" s="20">
        <f>'[1]เย็น '!J118+'[1]เช้า '!J118+[1]บ่าย!J118</f>
        <v>0</v>
      </c>
      <c r="L104" s="20">
        <f>'[1]เย็น '!K118+'[1]เช้า '!K118+[1]บ่าย!K118</f>
        <v>0</v>
      </c>
      <c r="M104" s="22">
        <f t="shared" si="4"/>
        <v>1</v>
      </c>
      <c r="N104" s="18"/>
      <c r="O104" s="18"/>
      <c r="P104" s="23">
        <f t="shared" si="6"/>
        <v>-1</v>
      </c>
    </row>
    <row r="105" spans="1:16" x14ac:dyDescent="0.6">
      <c r="A105" s="17">
        <v>103</v>
      </c>
      <c r="B105" s="18">
        <v>1100001</v>
      </c>
      <c r="C105" s="27" t="s">
        <v>118</v>
      </c>
      <c r="D105" s="20">
        <f>'[1]เย็น '!D119+'[1]เช้า '!D119+[1]บ่าย!D119</f>
        <v>0</v>
      </c>
      <c r="E105" s="20">
        <f>'[1]เย็น '!E119+'[1]เช้า '!E119+[1]บ่าย!E119</f>
        <v>0</v>
      </c>
      <c r="F105" s="20">
        <f>'[1]เย็น '!F119+'[1]เช้า '!F119+[1]บ่าย!F119</f>
        <v>2</v>
      </c>
      <c r="G105" s="20">
        <f>'[1]เย็น '!G119+'[1]เช้า '!G119+[1]บ่าย!G119</f>
        <v>0</v>
      </c>
      <c r="H105" s="20">
        <f>'[1]เย็น '!H119+'[1]เช้า '!H119+[1]บ่าย!H119</f>
        <v>0</v>
      </c>
      <c r="I105" s="20">
        <f>'[1]เย็น '!I119+'[1]เช้า '!I119+[1]บ่าย!I119</f>
        <v>0</v>
      </c>
      <c r="J105" s="21">
        <f t="shared" si="3"/>
        <v>0</v>
      </c>
      <c r="K105" s="20">
        <f>'[1]เย็น '!J119+'[1]เช้า '!J119+[1]บ่าย!J119</f>
        <v>0</v>
      </c>
      <c r="L105" s="20">
        <f>'[1]เย็น '!K119+'[1]เช้า '!K119+[1]บ่าย!K119</f>
        <v>0</v>
      </c>
      <c r="M105" s="22">
        <f t="shared" si="4"/>
        <v>2</v>
      </c>
      <c r="N105" s="18"/>
      <c r="O105" s="18"/>
      <c r="P105" s="23">
        <f t="shared" si="6"/>
        <v>-2</v>
      </c>
    </row>
    <row r="106" spans="1:16" x14ac:dyDescent="0.6">
      <c r="A106" s="17">
        <v>104</v>
      </c>
      <c r="B106" s="18">
        <v>1100002</v>
      </c>
      <c r="C106" s="27" t="s">
        <v>119</v>
      </c>
      <c r="D106" s="20">
        <f>'[1]เย็น '!D120+'[1]เช้า '!D120+[1]บ่าย!D120</f>
        <v>0</v>
      </c>
      <c r="E106" s="20">
        <f>'[1]เย็น '!E120+'[1]เช้า '!E120+[1]บ่าย!E120</f>
        <v>0</v>
      </c>
      <c r="F106" s="20">
        <f>'[1]เย็น '!F120+'[1]เช้า '!F120+[1]บ่าย!F120</f>
        <v>0</v>
      </c>
      <c r="G106" s="20">
        <f>'[1]เย็น '!G120+'[1]เช้า '!G120+[1]บ่าย!G120</f>
        <v>4</v>
      </c>
      <c r="H106" s="20">
        <f>'[1]เย็น '!H120+'[1]เช้า '!H120+[1]บ่าย!H120</f>
        <v>5</v>
      </c>
      <c r="I106" s="20">
        <f>'[1]เย็น '!I120+'[1]เช้า '!I120+[1]บ่าย!I120</f>
        <v>0</v>
      </c>
      <c r="J106" s="21">
        <f t="shared" si="3"/>
        <v>9</v>
      </c>
      <c r="K106" s="20">
        <f>'[1]เย็น '!J120+'[1]เช้า '!J120+[1]บ่าย!J120</f>
        <v>0</v>
      </c>
      <c r="L106" s="20">
        <f>'[1]เย็น '!K120+'[1]เช้า '!K120+[1]บ่าย!K120</f>
        <v>0</v>
      </c>
      <c r="M106" s="22">
        <f t="shared" si="4"/>
        <v>9</v>
      </c>
      <c r="N106" s="18"/>
      <c r="O106" s="18"/>
      <c r="P106" s="23">
        <f t="shared" si="6"/>
        <v>-9</v>
      </c>
    </row>
    <row r="107" spans="1:16" x14ac:dyDescent="0.6">
      <c r="A107" s="17">
        <v>105</v>
      </c>
      <c r="B107" s="18">
        <v>1200001</v>
      </c>
      <c r="C107" s="27" t="s">
        <v>120</v>
      </c>
      <c r="D107" s="20">
        <f>'[1]เย็น '!D121+'[1]เช้า '!D121+[1]บ่าย!D121</f>
        <v>50</v>
      </c>
      <c r="E107" s="20">
        <f>'[1]เย็น '!E121+'[1]เช้า '!E121+[1]บ่าย!E121</f>
        <v>0</v>
      </c>
      <c r="F107" s="20">
        <f>'[1]เย็น '!F121+'[1]เช้า '!F121+[1]บ่าย!F121</f>
        <v>0</v>
      </c>
      <c r="G107" s="20">
        <f>'[1]เย็น '!G121+'[1]เช้า '!G121+[1]บ่าย!G121</f>
        <v>0</v>
      </c>
      <c r="H107" s="20">
        <f>'[1]เย็น '!H121+'[1]เช้า '!H121+[1]บ่าย!H121</f>
        <v>0</v>
      </c>
      <c r="I107" s="20">
        <f>'[1]เย็น '!I121+'[1]เช้า '!I121+[1]บ่าย!I121</f>
        <v>0</v>
      </c>
      <c r="J107" s="21">
        <f t="shared" si="3"/>
        <v>0</v>
      </c>
      <c r="K107" s="20">
        <f>'[1]เย็น '!J121+'[1]เช้า '!J121+[1]บ่าย!J121</f>
        <v>0</v>
      </c>
      <c r="L107" s="20">
        <f>'[1]เย็น '!K121+'[1]เช้า '!K121+[1]บ่าย!K121</f>
        <v>0</v>
      </c>
      <c r="M107" s="22">
        <f t="shared" si="4"/>
        <v>50</v>
      </c>
      <c r="N107" s="18"/>
      <c r="O107" s="18"/>
      <c r="P107" s="23">
        <f t="shared" si="6"/>
        <v>-50</v>
      </c>
    </row>
    <row r="108" spans="1:16" x14ac:dyDescent="0.6">
      <c r="A108" s="17">
        <v>106</v>
      </c>
      <c r="B108" s="18">
        <v>1005761</v>
      </c>
      <c r="C108" s="27" t="s">
        <v>121</v>
      </c>
      <c r="D108" s="20">
        <f>'[1]เย็น '!D122+'[1]เช้า '!D122+[1]บ่าย!D122</f>
        <v>0</v>
      </c>
      <c r="E108" s="20">
        <f>'[1]เย็น '!E122+'[1]เช้า '!E122+[1]บ่าย!E122</f>
        <v>0</v>
      </c>
      <c r="F108" s="20">
        <f>'[1]เย็น '!F122+'[1]เช้า '!F122+[1]บ่าย!F122</f>
        <v>0</v>
      </c>
      <c r="G108" s="20">
        <f>'[1]เย็น '!G122+'[1]เช้า '!G122+[1]บ่าย!G122</f>
        <v>0</v>
      </c>
      <c r="H108" s="20">
        <f>'[1]เย็น '!H122+'[1]เช้า '!H122+[1]บ่าย!H122</f>
        <v>0</v>
      </c>
      <c r="I108" s="20">
        <f>'[1]เย็น '!I122+'[1]เช้า '!I122+[1]บ่าย!I122</f>
        <v>0</v>
      </c>
      <c r="J108" s="21">
        <f t="shared" si="3"/>
        <v>0</v>
      </c>
      <c r="K108" s="20">
        <f>'[1]เย็น '!J122+'[1]เช้า '!J122+[1]บ่าย!J122</f>
        <v>0</v>
      </c>
      <c r="L108" s="20">
        <f>'[1]เย็น '!K122+'[1]เช้า '!K122+[1]บ่าย!K122</f>
        <v>0</v>
      </c>
      <c r="M108" s="22">
        <f t="shared" si="4"/>
        <v>0</v>
      </c>
      <c r="N108" s="18"/>
      <c r="O108" s="18"/>
      <c r="P108" s="23">
        <f t="shared" si="6"/>
        <v>0</v>
      </c>
    </row>
    <row r="109" spans="1:16" x14ac:dyDescent="0.6">
      <c r="A109" s="17">
        <v>107</v>
      </c>
      <c r="B109" s="18">
        <v>1114501</v>
      </c>
      <c r="C109" s="27" t="s">
        <v>122</v>
      </c>
      <c r="D109" s="20">
        <f>'[1]เย็น '!D123+'[1]เช้า '!D123+[1]บ่าย!D123</f>
        <v>1</v>
      </c>
      <c r="E109" s="20">
        <f>'[1]เย็น '!E123+'[1]เช้า '!E123+[1]บ่าย!E123</f>
        <v>3</v>
      </c>
      <c r="F109" s="20">
        <f>'[1]เย็น '!F123+'[1]เช้า '!F123+[1]บ่าย!F123</f>
        <v>5</v>
      </c>
      <c r="G109" s="20">
        <f>'[1]เย็น '!G123+'[1]เช้า '!G123+[1]บ่าย!G123</f>
        <v>29</v>
      </c>
      <c r="H109" s="20">
        <f>'[1]เย็น '!H123+'[1]เช้า '!H123+[1]บ่าย!H123</f>
        <v>8</v>
      </c>
      <c r="I109" s="20">
        <f>'[1]เย็น '!I123+'[1]เช้า '!I123+[1]บ่าย!I123</f>
        <v>0</v>
      </c>
      <c r="J109" s="21">
        <f t="shared" si="3"/>
        <v>37</v>
      </c>
      <c r="K109" s="20">
        <f>'[1]เย็น '!J123+'[1]เช้า '!J123+[1]บ่าย!J123</f>
        <v>0</v>
      </c>
      <c r="L109" s="20">
        <f>'[1]เย็น '!K123+'[1]เช้า '!K123+[1]บ่าย!K123</f>
        <v>0</v>
      </c>
      <c r="M109" s="22">
        <f t="shared" si="4"/>
        <v>46</v>
      </c>
      <c r="N109" s="18"/>
      <c r="O109" s="18"/>
      <c r="P109" s="23">
        <f t="shared" si="6"/>
        <v>-46</v>
      </c>
    </row>
    <row r="110" spans="1:16" x14ac:dyDescent="0.6">
      <c r="A110" s="17">
        <v>108</v>
      </c>
      <c r="B110" s="18">
        <v>1114502</v>
      </c>
      <c r="C110" s="27" t="s">
        <v>123</v>
      </c>
      <c r="D110" s="20">
        <f>'[1]เย็น '!D124+'[1]เช้า '!D124+[1]บ่าย!D124</f>
        <v>1</v>
      </c>
      <c r="E110" s="20">
        <f>'[1]เย็น '!E124+'[1]เช้า '!E124+[1]บ่าย!E124</f>
        <v>3</v>
      </c>
      <c r="F110" s="20">
        <f>'[1]เย็น '!F124+'[1]เช้า '!F124+[1]บ่าย!F124</f>
        <v>4</v>
      </c>
      <c r="G110" s="20">
        <f>'[1]เย็น '!G124+'[1]เช้า '!G124+[1]บ่าย!G124</f>
        <v>28</v>
      </c>
      <c r="H110" s="20">
        <f>'[1]เย็น '!H124+'[1]เช้า '!H124+[1]บ่าย!H124</f>
        <v>7</v>
      </c>
      <c r="I110" s="20">
        <f>'[1]เย็น '!I124+'[1]เช้า '!I124+[1]บ่าย!I124</f>
        <v>0</v>
      </c>
      <c r="J110" s="21">
        <f t="shared" si="3"/>
        <v>35</v>
      </c>
      <c r="K110" s="20">
        <f>'[1]เย็น '!J124+'[1]เช้า '!J124+[1]บ่าย!J124</f>
        <v>0</v>
      </c>
      <c r="L110" s="20">
        <f>'[1]เย็น '!K124+'[1]เช้า '!K124+[1]บ่าย!K124</f>
        <v>0</v>
      </c>
      <c r="M110" s="22">
        <f t="shared" si="4"/>
        <v>43</v>
      </c>
      <c r="N110" s="18"/>
      <c r="O110" s="18"/>
      <c r="P110" s="23">
        <f t="shared" si="6"/>
        <v>-43</v>
      </c>
    </row>
    <row r="111" spans="1:16" x14ac:dyDescent="0.6">
      <c r="A111" s="17">
        <v>109</v>
      </c>
      <c r="B111" s="18">
        <v>1114503</v>
      </c>
      <c r="C111" s="27" t="s">
        <v>124</v>
      </c>
      <c r="D111" s="20">
        <f>'[1]เย็น '!D125+'[1]เช้า '!D125+[1]บ่าย!D125</f>
        <v>1</v>
      </c>
      <c r="E111" s="20">
        <f>'[1]เย็น '!E125+'[1]เช้า '!E125+[1]บ่าย!E125</f>
        <v>4</v>
      </c>
      <c r="F111" s="20">
        <f>'[1]เย็น '!F125+'[1]เช้า '!F125+[1]บ่าย!F125</f>
        <v>5</v>
      </c>
      <c r="G111" s="20">
        <f>'[1]เย็น '!G125+'[1]เช้า '!G125+[1]บ่าย!G125</f>
        <v>28</v>
      </c>
      <c r="H111" s="20">
        <f>'[1]เย็น '!H125+'[1]เช้า '!H125+[1]บ่าย!H125</f>
        <v>7</v>
      </c>
      <c r="I111" s="20">
        <f>'[1]เย็น '!I125+'[1]เช้า '!I125+[1]บ่าย!I125</f>
        <v>0</v>
      </c>
      <c r="J111" s="21">
        <f t="shared" si="3"/>
        <v>35</v>
      </c>
      <c r="K111" s="20">
        <f>'[1]เย็น '!J125+'[1]เช้า '!J125+[1]บ่าย!J125</f>
        <v>0</v>
      </c>
      <c r="L111" s="20">
        <f>'[1]เย็น '!K125+'[1]เช้า '!K125+[1]บ่าย!K125</f>
        <v>0</v>
      </c>
      <c r="M111" s="22">
        <f t="shared" si="4"/>
        <v>45</v>
      </c>
      <c r="N111" s="18"/>
      <c r="O111" s="18"/>
      <c r="P111" s="23">
        <f t="shared" si="6"/>
        <v>-45</v>
      </c>
    </row>
    <row r="112" spans="1:16" x14ac:dyDescent="0.6">
      <c r="A112" s="17">
        <v>110</v>
      </c>
      <c r="B112" s="18">
        <v>1124021</v>
      </c>
      <c r="C112" s="27" t="s">
        <v>125</v>
      </c>
      <c r="D112" s="20">
        <f>'[1]เย็น '!D126+'[1]เช้า '!D126+[1]บ่าย!D126</f>
        <v>0</v>
      </c>
      <c r="E112" s="20">
        <f>'[1]เย็น '!E126+'[1]เช้า '!E126+[1]บ่าย!E126</f>
        <v>29</v>
      </c>
      <c r="F112" s="20">
        <f>'[1]เย็น '!F126+'[1]เช้า '!F126+[1]บ่าย!F126</f>
        <v>48</v>
      </c>
      <c r="G112" s="20">
        <f>'[1]เย็น '!G126+'[1]เช้า '!G126+[1]บ่าย!G126</f>
        <v>112</v>
      </c>
      <c r="H112" s="20">
        <f>'[1]เย็น '!H126+'[1]เช้า '!H126+[1]บ่าย!H126</f>
        <v>127</v>
      </c>
      <c r="I112" s="20">
        <f>'[1]เย็น '!I126+'[1]เช้า '!I126+[1]บ่าย!I126</f>
        <v>0</v>
      </c>
      <c r="J112" s="21">
        <f t="shared" si="3"/>
        <v>239</v>
      </c>
      <c r="K112" s="20">
        <f>'[1]เย็น '!J126+'[1]เช้า '!J126+[1]บ่าย!J126</f>
        <v>0</v>
      </c>
      <c r="L112" s="20">
        <f>'[1]เย็น '!K126+'[1]เช้า '!K126+[1]บ่าย!K126</f>
        <v>0</v>
      </c>
      <c r="M112" s="22">
        <f t="shared" si="4"/>
        <v>316</v>
      </c>
      <c r="N112" s="18"/>
      <c r="O112" s="18"/>
      <c r="P112" s="23">
        <f t="shared" si="6"/>
        <v>-316</v>
      </c>
    </row>
    <row r="113" spans="1:16" x14ac:dyDescent="0.6">
      <c r="A113" s="17">
        <v>111</v>
      </c>
      <c r="B113" s="18">
        <v>1113084</v>
      </c>
      <c r="C113" s="27" t="s">
        <v>126</v>
      </c>
      <c r="D113" s="20">
        <f>'[1]เย็น '!D127+'[1]เช้า '!D127+[1]บ่าย!D127</f>
        <v>0</v>
      </c>
      <c r="E113" s="20">
        <f>'[1]เย็น '!E127+'[1]เช้า '!E127+[1]บ่าย!E127</f>
        <v>0</v>
      </c>
      <c r="F113" s="20">
        <f>'[1]เย็น '!F127+'[1]เช้า '!F127+[1]บ่าย!F127</f>
        <v>0</v>
      </c>
      <c r="G113" s="20">
        <f>'[1]เย็น '!G127+'[1]เช้า '!G127+[1]บ่าย!G127</f>
        <v>0</v>
      </c>
      <c r="H113" s="20">
        <f>'[1]เย็น '!H127+'[1]เช้า '!H127+[1]บ่าย!H127</f>
        <v>0</v>
      </c>
      <c r="I113" s="20">
        <f>'[1]เย็น '!I127+'[1]เช้า '!I127+[1]บ่าย!I127</f>
        <v>0</v>
      </c>
      <c r="J113" s="21">
        <f t="shared" si="3"/>
        <v>0</v>
      </c>
      <c r="K113" s="20">
        <f>'[1]เย็น '!J127+'[1]เช้า '!J127+[1]บ่าย!J127</f>
        <v>0</v>
      </c>
      <c r="L113" s="20">
        <f>'[1]เย็น '!K127+'[1]เช้า '!K127+[1]บ่าย!K127</f>
        <v>0</v>
      </c>
      <c r="M113" s="22">
        <f t="shared" si="4"/>
        <v>0</v>
      </c>
      <c r="N113" s="18"/>
      <c r="O113" s="18"/>
      <c r="P113" s="23">
        <f t="shared" si="6"/>
        <v>0</v>
      </c>
    </row>
    <row r="114" spans="1:16" x14ac:dyDescent="0.6">
      <c r="A114" s="17">
        <v>112</v>
      </c>
      <c r="B114" s="18">
        <v>900003</v>
      </c>
      <c r="C114" s="27" t="s">
        <v>127</v>
      </c>
      <c r="D114" s="20">
        <f>'[1]เย็น '!D128+'[1]เช้า '!D128+[1]บ่าย!D128</f>
        <v>0</v>
      </c>
      <c r="E114" s="20">
        <f>'[1]เย็น '!E128+'[1]เช้า '!E128+[1]บ่าย!E128</f>
        <v>0</v>
      </c>
      <c r="F114" s="20">
        <f>'[1]เย็น '!F128+'[1]เช้า '!F128+[1]บ่าย!F128</f>
        <v>0</v>
      </c>
      <c r="G114" s="20">
        <f>'[1]เย็น '!G128+'[1]เช้า '!G128+[1]บ่าย!G128</f>
        <v>0</v>
      </c>
      <c r="H114" s="20">
        <f>'[1]เย็น '!H128+'[1]เช้า '!H128+[1]บ่าย!H128</f>
        <v>0</v>
      </c>
      <c r="I114" s="20">
        <f>'[1]เย็น '!I128+'[1]เช้า '!I128+[1]บ่าย!I128</f>
        <v>0</v>
      </c>
      <c r="J114" s="21">
        <f t="shared" si="3"/>
        <v>0</v>
      </c>
      <c r="K114" s="20">
        <f>'[1]เย็น '!J128+'[1]เช้า '!J128+[1]บ่าย!J128</f>
        <v>0</v>
      </c>
      <c r="L114" s="20">
        <f>'[1]เย็น '!K128+'[1]เช้า '!K128+[1]บ่าย!K128</f>
        <v>0</v>
      </c>
      <c r="M114" s="22">
        <f t="shared" si="4"/>
        <v>0</v>
      </c>
      <c r="N114" s="18"/>
      <c r="O114" s="18"/>
      <c r="P114" s="23">
        <f t="shared" si="6"/>
        <v>0</v>
      </c>
    </row>
    <row r="115" spans="1:16" x14ac:dyDescent="0.6">
      <c r="A115" s="17">
        <v>113</v>
      </c>
      <c r="B115" s="18">
        <v>900004</v>
      </c>
      <c r="C115" s="27" t="s">
        <v>128</v>
      </c>
      <c r="D115" s="20">
        <f>'[1]เย็น '!D129+'[1]เช้า '!D129+[1]บ่าย!D129</f>
        <v>0</v>
      </c>
      <c r="E115" s="20">
        <f>'[1]เย็น '!E129+'[1]เช้า '!E129+[1]บ่าย!E129</f>
        <v>0</v>
      </c>
      <c r="F115" s="20">
        <f>'[1]เย็น '!F129+'[1]เช้า '!F129+[1]บ่าย!F129</f>
        <v>0</v>
      </c>
      <c r="G115" s="20">
        <f>'[1]เย็น '!G129+'[1]เช้า '!G129+[1]บ่าย!G129</f>
        <v>0</v>
      </c>
      <c r="H115" s="20">
        <f>'[1]เย็น '!H129+'[1]เช้า '!H129+[1]บ่าย!H129</f>
        <v>0</v>
      </c>
      <c r="I115" s="20">
        <f>'[1]เย็น '!I129+'[1]เช้า '!I129+[1]บ่าย!I129</f>
        <v>0</v>
      </c>
      <c r="J115" s="21">
        <f t="shared" si="3"/>
        <v>0</v>
      </c>
      <c r="K115" s="20">
        <f>'[1]เย็น '!J129+'[1]เช้า '!J129+[1]บ่าย!J129</f>
        <v>0</v>
      </c>
      <c r="L115" s="20">
        <f>'[1]เย็น '!K129+'[1]เช้า '!K129+[1]บ่าย!K129</f>
        <v>0</v>
      </c>
      <c r="M115" s="22">
        <f t="shared" si="4"/>
        <v>0</v>
      </c>
      <c r="N115" s="18"/>
      <c r="O115" s="18"/>
      <c r="P115" s="23">
        <f t="shared" si="6"/>
        <v>0</v>
      </c>
    </row>
    <row r="116" spans="1:16" x14ac:dyDescent="0.6">
      <c r="A116" s="17">
        <v>114</v>
      </c>
      <c r="B116" s="18">
        <v>1200002</v>
      </c>
      <c r="C116" s="27" t="s">
        <v>129</v>
      </c>
      <c r="D116" s="20">
        <f>'[1]เย็น '!D130+'[1]เช้า '!D130+[1]บ่าย!D130</f>
        <v>0</v>
      </c>
      <c r="E116" s="20">
        <f>'[1]เย็น '!E130+'[1]เช้า '!E130+[1]บ่าย!E130</f>
        <v>0</v>
      </c>
      <c r="F116" s="20">
        <f>'[1]เย็น '!F130+'[1]เช้า '!F130+[1]บ่าย!F130</f>
        <v>0</v>
      </c>
      <c r="G116" s="20">
        <f>'[1]เย็น '!G130+'[1]เช้า '!G130+[1]บ่าย!G130</f>
        <v>0</v>
      </c>
      <c r="H116" s="20">
        <f>'[1]เย็น '!H130+'[1]เช้า '!H130+[1]บ่าย!H130</f>
        <v>0</v>
      </c>
      <c r="I116" s="20">
        <f>'[1]เย็น '!I130+'[1]เช้า '!I130+[1]บ่าย!I130</f>
        <v>0</v>
      </c>
      <c r="J116" s="21">
        <f t="shared" si="3"/>
        <v>0</v>
      </c>
      <c r="K116" s="20">
        <f>'[1]เย็น '!J130+'[1]เช้า '!J130+[1]บ่าย!J130</f>
        <v>0</v>
      </c>
      <c r="L116" s="20">
        <f>'[1]เย็น '!K130+'[1]เช้า '!K130+[1]บ่าย!K130</f>
        <v>0</v>
      </c>
      <c r="M116" s="22">
        <f t="shared" si="4"/>
        <v>0</v>
      </c>
      <c r="N116" s="18"/>
      <c r="O116" s="18"/>
      <c r="P116" s="23">
        <f t="shared" si="6"/>
        <v>0</v>
      </c>
    </row>
    <row r="117" spans="1:16" x14ac:dyDescent="0.6">
      <c r="A117" s="17">
        <v>115</v>
      </c>
      <c r="B117" s="18">
        <v>1200003</v>
      </c>
      <c r="C117" s="27" t="s">
        <v>130</v>
      </c>
      <c r="D117" s="20">
        <f>'[1]เย็น '!D131+'[1]เช้า '!D131+[1]บ่าย!D131</f>
        <v>0</v>
      </c>
      <c r="E117" s="20">
        <f>'[1]เย็น '!E131+'[1]เช้า '!E131+[1]บ่าย!E131</f>
        <v>0</v>
      </c>
      <c r="F117" s="20">
        <f>'[1]เย็น '!F131+'[1]เช้า '!F131+[1]บ่าย!F131</f>
        <v>0</v>
      </c>
      <c r="G117" s="20">
        <f>'[1]เย็น '!G131+'[1]เช้า '!G131+[1]บ่าย!G131</f>
        <v>0</v>
      </c>
      <c r="H117" s="20">
        <f>'[1]เย็น '!H131+'[1]เช้า '!H131+[1]บ่าย!H131</f>
        <v>0</v>
      </c>
      <c r="I117" s="20">
        <f>'[1]เย็น '!I131+'[1]เช้า '!I131+[1]บ่าย!I131</f>
        <v>0</v>
      </c>
      <c r="J117" s="21">
        <f t="shared" si="3"/>
        <v>0</v>
      </c>
      <c r="K117" s="20">
        <f>'[1]เย็น '!J131+'[1]เช้า '!J131+[1]บ่าย!J131</f>
        <v>0</v>
      </c>
      <c r="L117" s="20">
        <f>'[1]เย็น '!K131+'[1]เช้า '!K131+[1]บ่าย!K131</f>
        <v>0</v>
      </c>
      <c r="M117" s="22">
        <f t="shared" si="4"/>
        <v>0</v>
      </c>
      <c r="N117" s="18"/>
      <c r="O117" s="18"/>
      <c r="P117" s="23">
        <f t="shared" si="6"/>
        <v>0</v>
      </c>
    </row>
    <row r="118" spans="1:16" x14ac:dyDescent="0.6">
      <c r="A118" s="17">
        <v>116</v>
      </c>
      <c r="B118" s="18">
        <v>1200004</v>
      </c>
      <c r="C118" s="27" t="s">
        <v>131</v>
      </c>
      <c r="D118" s="20">
        <f>'[1]เย็น '!D132+'[1]เช้า '!D132+[1]บ่าย!D132</f>
        <v>0</v>
      </c>
      <c r="E118" s="20">
        <f>'[1]เย็น '!E132+'[1]เช้า '!E132+[1]บ่าย!E132</f>
        <v>0</v>
      </c>
      <c r="F118" s="20">
        <f>'[1]เย็น '!F132+'[1]เช้า '!F132+[1]บ่าย!F132</f>
        <v>0</v>
      </c>
      <c r="G118" s="20">
        <f>'[1]เย็น '!G132+'[1]เช้า '!G132+[1]บ่าย!G132</f>
        <v>0</v>
      </c>
      <c r="H118" s="20">
        <f>'[1]เย็น '!H132+'[1]เช้า '!H132+[1]บ่าย!H132</f>
        <v>0</v>
      </c>
      <c r="I118" s="20">
        <f>'[1]เย็น '!I132+'[1]เช้า '!I132+[1]บ่าย!I132</f>
        <v>0</v>
      </c>
      <c r="J118" s="21">
        <f t="shared" si="3"/>
        <v>0</v>
      </c>
      <c r="K118" s="20">
        <f>'[1]เย็น '!J132+'[1]เช้า '!J132+[1]บ่าย!J132</f>
        <v>0</v>
      </c>
      <c r="L118" s="20">
        <f>'[1]เย็น '!K132+'[1]เช้า '!K132+[1]บ่าย!K132</f>
        <v>0</v>
      </c>
      <c r="M118" s="22">
        <f t="shared" si="4"/>
        <v>0</v>
      </c>
      <c r="N118" s="18"/>
      <c r="O118" s="18"/>
      <c r="P118" s="23">
        <f t="shared" si="6"/>
        <v>0</v>
      </c>
    </row>
    <row r="119" spans="1:16" x14ac:dyDescent="0.6">
      <c r="A119" s="17">
        <v>117</v>
      </c>
      <c r="B119" s="18">
        <v>1200093</v>
      </c>
      <c r="C119" s="27" t="s">
        <v>132</v>
      </c>
      <c r="D119" s="20">
        <f>'[1]เย็น '!D133+'[1]เช้า '!D133+[1]บ่าย!D133</f>
        <v>0</v>
      </c>
      <c r="E119" s="20">
        <f>'[1]เย็น '!E133+'[1]เช้า '!E133+[1]บ่าย!E133</f>
        <v>0</v>
      </c>
      <c r="F119" s="20">
        <f>'[1]เย็น '!F133+'[1]เช้า '!F133+[1]บ่าย!F133</f>
        <v>0</v>
      </c>
      <c r="G119" s="20">
        <f>'[1]เย็น '!G133+'[1]เช้า '!G133+[1]บ่าย!G133</f>
        <v>0</v>
      </c>
      <c r="H119" s="20">
        <f>'[1]เย็น '!H133+'[1]เช้า '!H133+[1]บ่าย!H133</f>
        <v>0</v>
      </c>
      <c r="I119" s="20">
        <f>'[1]เย็น '!I133+'[1]เช้า '!I133+[1]บ่าย!I133</f>
        <v>0</v>
      </c>
      <c r="J119" s="21">
        <f t="shared" si="3"/>
        <v>0</v>
      </c>
      <c r="K119" s="20">
        <f>'[1]เย็น '!J133+'[1]เช้า '!J133+[1]บ่าย!J133</f>
        <v>0</v>
      </c>
      <c r="L119" s="20">
        <f>'[1]เย็น '!K133+'[1]เช้า '!K133+[1]บ่าย!K133</f>
        <v>0</v>
      </c>
      <c r="M119" s="22">
        <f t="shared" si="4"/>
        <v>0</v>
      </c>
      <c r="N119" s="18"/>
      <c r="O119" s="18"/>
      <c r="P119" s="23">
        <f t="shared" si="6"/>
        <v>0</v>
      </c>
    </row>
    <row r="120" spans="1:16" x14ac:dyDescent="0.6">
      <c r="A120" s="17">
        <v>118</v>
      </c>
      <c r="B120" s="18">
        <v>1200092</v>
      </c>
      <c r="C120" s="26" t="s">
        <v>133</v>
      </c>
      <c r="D120" s="20">
        <f>'[1]เย็น '!D134+'[1]เช้า '!D134+[1]บ่าย!D134</f>
        <v>0</v>
      </c>
      <c r="E120" s="20">
        <f>'[1]เย็น '!E134+'[1]เช้า '!E134+[1]บ่าย!E134</f>
        <v>0</v>
      </c>
      <c r="F120" s="20">
        <f>'[1]เย็น '!F134+'[1]เช้า '!F134+[1]บ่าย!F134</f>
        <v>0</v>
      </c>
      <c r="G120" s="20">
        <f>'[1]เย็น '!G134+'[1]เช้า '!G134+[1]บ่าย!G134</f>
        <v>0</v>
      </c>
      <c r="H120" s="20">
        <f>'[1]เย็น '!H134+'[1]เช้า '!H134+[1]บ่าย!H134</f>
        <v>0</v>
      </c>
      <c r="I120" s="20">
        <f>'[1]เย็น '!I134+'[1]เช้า '!I134+[1]บ่าย!I134</f>
        <v>0</v>
      </c>
      <c r="J120" s="21">
        <f t="shared" si="3"/>
        <v>0</v>
      </c>
      <c r="K120" s="20">
        <f>'[1]เย็น '!J134+'[1]เช้า '!J134+[1]บ่าย!J134</f>
        <v>0</v>
      </c>
      <c r="L120" s="20">
        <f>'[1]เย็น '!K134+'[1]เช้า '!K134+[1]บ่าย!K134</f>
        <v>0</v>
      </c>
      <c r="M120" s="22">
        <f t="shared" si="4"/>
        <v>0</v>
      </c>
      <c r="N120" s="18"/>
      <c r="O120" s="18"/>
      <c r="P120" s="23">
        <f t="shared" si="6"/>
        <v>0</v>
      </c>
    </row>
    <row r="121" spans="1:16" x14ac:dyDescent="0.6">
      <c r="A121" s="17">
        <v>119</v>
      </c>
      <c r="B121" s="28"/>
      <c r="C121" s="27" t="s">
        <v>134</v>
      </c>
      <c r="D121" s="20">
        <f>'[1]เย็น '!D135+'[1]เช้า '!D135+[1]บ่าย!D135</f>
        <v>0</v>
      </c>
      <c r="E121" s="20">
        <f>'[1]เย็น '!E135+'[1]เช้า '!E135+[1]บ่าย!E135</f>
        <v>0</v>
      </c>
      <c r="F121" s="20">
        <f>'[1]เย็น '!F135+'[1]เช้า '!F135+[1]บ่าย!F135</f>
        <v>0</v>
      </c>
      <c r="G121" s="20">
        <f>'[1]เย็น '!G135+'[1]เช้า '!G135+[1]บ่าย!G135</f>
        <v>0</v>
      </c>
      <c r="H121" s="20">
        <f>'[1]เย็น '!H135+'[1]เช้า '!H135+[1]บ่าย!H135</f>
        <v>0</v>
      </c>
      <c r="I121" s="20">
        <f>'[1]เย็น '!I135+'[1]เช้า '!I135+[1]บ่าย!I135</f>
        <v>0</v>
      </c>
      <c r="J121" s="21">
        <f t="shared" si="3"/>
        <v>0</v>
      </c>
      <c r="K121" s="20">
        <f>'[1]เย็น '!J135+'[1]เช้า '!J135+[1]บ่าย!J135</f>
        <v>0</v>
      </c>
      <c r="L121" s="20">
        <f>'[1]เย็น '!K135+'[1]เช้า '!K135+[1]บ่าย!K135</f>
        <v>0</v>
      </c>
      <c r="M121" s="22">
        <f t="shared" si="4"/>
        <v>0</v>
      </c>
      <c r="N121" s="18"/>
      <c r="O121" s="18"/>
      <c r="P121" s="23">
        <f t="shared" si="6"/>
        <v>0</v>
      </c>
    </row>
    <row r="122" spans="1:16" x14ac:dyDescent="0.6">
      <c r="A122" s="17">
        <v>120</v>
      </c>
      <c r="B122" s="28"/>
      <c r="C122" s="27" t="s">
        <v>135</v>
      </c>
      <c r="D122" s="20">
        <f>'[1]เย็น '!D136+'[1]เช้า '!D136+[1]บ่าย!D136</f>
        <v>0</v>
      </c>
      <c r="E122" s="20">
        <f>'[1]เย็น '!E136+'[1]เช้า '!E136+[1]บ่าย!E136</f>
        <v>5</v>
      </c>
      <c r="F122" s="20">
        <f>'[1]เย็น '!F136+'[1]เช้า '!F136+[1]บ่าย!F136</f>
        <v>0</v>
      </c>
      <c r="G122" s="20">
        <f>'[1]เย็น '!G136+'[1]เช้า '!G136+[1]บ่าย!G136</f>
        <v>0</v>
      </c>
      <c r="H122" s="20">
        <f>'[1]เย็น '!H136+'[1]เช้า '!H136+[1]บ่าย!H136</f>
        <v>0</v>
      </c>
      <c r="I122" s="20">
        <f>'[1]เย็น '!I136+'[1]เช้า '!I136+[1]บ่าย!I136</f>
        <v>0</v>
      </c>
      <c r="J122" s="21">
        <f t="shared" si="3"/>
        <v>0</v>
      </c>
      <c r="K122" s="20">
        <f>'[1]เย็น '!J136+'[1]เช้า '!J136+[1]บ่าย!J136</f>
        <v>0</v>
      </c>
      <c r="L122" s="20">
        <f>'[1]เย็น '!K136+'[1]เช้า '!K136+[1]บ่าย!K136</f>
        <v>0</v>
      </c>
      <c r="M122" s="22">
        <f t="shared" si="4"/>
        <v>5</v>
      </c>
      <c r="N122" s="18"/>
      <c r="O122" s="18"/>
      <c r="P122" s="23">
        <f t="shared" si="6"/>
        <v>-5</v>
      </c>
    </row>
    <row r="123" spans="1:16" x14ac:dyDescent="0.6">
      <c r="A123" s="17">
        <v>121</v>
      </c>
      <c r="B123" s="28"/>
      <c r="C123" s="27" t="s">
        <v>136</v>
      </c>
      <c r="D123" s="20">
        <f>'[1]เย็น '!D137+'[1]เช้า '!D137+[1]บ่าย!D137</f>
        <v>0</v>
      </c>
      <c r="E123" s="20">
        <f>'[1]เย็น '!E137+'[1]เช้า '!E137+[1]บ่าย!E137</f>
        <v>0</v>
      </c>
      <c r="F123" s="20">
        <f>'[1]เย็น '!F137+'[1]เช้า '!F137+[1]บ่าย!F137</f>
        <v>0</v>
      </c>
      <c r="G123" s="20">
        <f>'[1]เย็น '!G137+'[1]เช้า '!G137+[1]บ่าย!G137</f>
        <v>0</v>
      </c>
      <c r="H123" s="20">
        <f>'[1]เย็น '!H137+'[1]เช้า '!H137+[1]บ่าย!H137</f>
        <v>0</v>
      </c>
      <c r="I123" s="20">
        <f>'[1]เย็น '!I137+'[1]เช้า '!I137+[1]บ่าย!I137</f>
        <v>0</v>
      </c>
      <c r="J123" s="21">
        <f t="shared" si="3"/>
        <v>0</v>
      </c>
      <c r="K123" s="20">
        <f>'[1]เย็น '!J137+'[1]เช้า '!J137+[1]บ่าย!J137</f>
        <v>0</v>
      </c>
      <c r="L123" s="20">
        <f>'[1]เย็น '!K137+'[1]เช้า '!K137+[1]บ่าย!K137</f>
        <v>0</v>
      </c>
      <c r="M123" s="22">
        <f t="shared" si="4"/>
        <v>0</v>
      </c>
      <c r="N123" s="18"/>
      <c r="O123" s="18"/>
      <c r="P123" s="23">
        <f t="shared" si="6"/>
        <v>0</v>
      </c>
    </row>
    <row r="124" spans="1:16" x14ac:dyDescent="0.6">
      <c r="A124" s="17">
        <v>122</v>
      </c>
      <c r="B124" s="28"/>
      <c r="C124" s="27" t="s">
        <v>137</v>
      </c>
      <c r="D124" s="20">
        <f>'[1]เย็น '!D138+'[1]เช้า '!D138+[1]บ่าย!D138</f>
        <v>0</v>
      </c>
      <c r="E124" s="20">
        <f>'[1]เย็น '!E138+'[1]เช้า '!E138+[1]บ่าย!E138</f>
        <v>0</v>
      </c>
      <c r="F124" s="20">
        <f>'[1]เย็น '!F138+'[1]เช้า '!F138+[1]บ่าย!F138</f>
        <v>0</v>
      </c>
      <c r="G124" s="20">
        <f>'[1]เย็น '!G138+'[1]เช้า '!G138+[1]บ่าย!G138</f>
        <v>0</v>
      </c>
      <c r="H124" s="20">
        <f>'[1]เย็น '!H138+'[1]เช้า '!H138+[1]บ่าย!H138</f>
        <v>0</v>
      </c>
      <c r="I124" s="20">
        <f>'[1]เย็น '!I138+'[1]เช้า '!I138+[1]บ่าย!I138</f>
        <v>0</v>
      </c>
      <c r="J124" s="21">
        <f t="shared" si="3"/>
        <v>0</v>
      </c>
      <c r="K124" s="20">
        <f>'[1]เย็น '!J138+'[1]เช้า '!J138+[1]บ่าย!J138</f>
        <v>0</v>
      </c>
      <c r="L124" s="20">
        <f>'[1]เย็น '!K138+'[1]เช้า '!K138+[1]บ่าย!K138</f>
        <v>0</v>
      </c>
      <c r="M124" s="22">
        <f t="shared" si="4"/>
        <v>0</v>
      </c>
      <c r="N124" s="18"/>
      <c r="O124" s="18"/>
      <c r="P124" s="23">
        <f t="shared" si="6"/>
        <v>0</v>
      </c>
    </row>
    <row r="125" spans="1:16" x14ac:dyDescent="0.6">
      <c r="A125" s="17">
        <v>123</v>
      </c>
      <c r="B125" s="28"/>
      <c r="C125" s="27" t="s">
        <v>138</v>
      </c>
      <c r="D125" s="29">
        <f>'[1]เย็น '!D139+'[1]เช้า '!D139+[1]บ่าย!D139</f>
        <v>0</v>
      </c>
      <c r="E125" s="29">
        <f>'[1]เย็น '!E139+'[1]เช้า '!E139+[1]บ่าย!E139</f>
        <v>0</v>
      </c>
      <c r="F125" s="29">
        <f>'[1]เย็น '!F139+'[1]เช้า '!F139+[1]บ่าย!F139</f>
        <v>0</v>
      </c>
      <c r="G125" s="29">
        <f>'[1]เย็น '!G139+'[1]เช้า '!G139+[1]บ่าย!G139</f>
        <v>0</v>
      </c>
      <c r="H125" s="29">
        <f>'[1]เย็น '!H139+'[1]เช้า '!H139+[1]บ่าย!H139</f>
        <v>0</v>
      </c>
      <c r="I125" s="29">
        <f>'[1]เย็น '!I139+'[1]เช้า '!I139+[1]บ่าย!I139</f>
        <v>0</v>
      </c>
      <c r="J125" s="30">
        <f t="shared" si="3"/>
        <v>0</v>
      </c>
      <c r="K125" s="29">
        <f>'[1]เย็น '!J139+'[1]เช้า '!J139+[1]บ่าย!J139</f>
        <v>0</v>
      </c>
      <c r="L125" s="29">
        <f>'[1]เย็น '!K139+'[1]เช้า '!K139+[1]บ่าย!K139</f>
        <v>0</v>
      </c>
      <c r="M125" s="31">
        <f t="shared" si="4"/>
        <v>0</v>
      </c>
      <c r="N125" s="32"/>
      <c r="O125" s="32"/>
      <c r="P125" s="33">
        <f t="shared" si="6"/>
        <v>0</v>
      </c>
    </row>
    <row r="126" spans="1:16" ht="24" customHeight="1" thickBot="1" x14ac:dyDescent="0.65">
      <c r="C126" s="34" t="s">
        <v>139</v>
      </c>
      <c r="D126" s="35">
        <f>SUM(D100:D125,D80:D89,D71:D79,D63:D70,D3:D62,D90:D99)</f>
        <v>293</v>
      </c>
      <c r="E126" s="35">
        <f>SUM(E100:E125,E80:E89,E71:E79,E63:E70,E3:E62,E90:E99)</f>
        <v>540</v>
      </c>
      <c r="F126" s="35">
        <f>SUM(F100:F125,F80:F89,F71:F79,F63:F70,F3:F62,F90:F99)</f>
        <v>364</v>
      </c>
      <c r="G126" s="35">
        <f>SUM(G100:G125,G80:G89,G71:G79,G63:G70,G3:G62,G90:G99)</f>
        <v>1713</v>
      </c>
      <c r="H126" s="35">
        <f>SUM(H100:H125,H80:H89,H71:H79,H63:H70,H3:H62,H90:H99)</f>
        <v>972</v>
      </c>
      <c r="I126" s="35">
        <f>SUM(I100:I125,I80:I89,I71:I79,I63:I70,I3:I62,I90:I99)</f>
        <v>0</v>
      </c>
      <c r="J126" s="35"/>
      <c r="K126" s="35">
        <f>SUM(K100:K125,K80:K89,K71:K79,K63:K70,K3:K62,K90:K99)</f>
        <v>0</v>
      </c>
      <c r="L126" s="35">
        <f>SUM(L100:L125,L80:L89,L71:L79,L63:L70,L3:L62,L90:L99)</f>
        <v>0</v>
      </c>
      <c r="M126" s="35">
        <f>SUM(M100:M125,M80:M89,M71:M79,M63:M70,M3:M62,M90:M99)</f>
        <v>3882</v>
      </c>
      <c r="N126" s="36">
        <f>SUM(N100:N122,N80:N88,N71:N79,N63:N70,N3:N62)</f>
        <v>0</v>
      </c>
      <c r="O126" s="36">
        <f>SUM(O100:O122,O80:O88,O71:O79,O63:O70,O3:O62)</f>
        <v>0</v>
      </c>
      <c r="P126" s="35">
        <f t="shared" si="6"/>
        <v>-3882</v>
      </c>
    </row>
    <row r="127" spans="1:16" ht="24" thickTop="1" x14ac:dyDescent="0.6">
      <c r="B127" s="37"/>
      <c r="C127" s="38"/>
      <c r="D127" s="39"/>
      <c r="E127" s="39"/>
      <c r="F127" s="39"/>
      <c r="G127" s="39"/>
      <c r="H127" s="39"/>
      <c r="I127" s="40"/>
      <c r="J127" s="40"/>
      <c r="K127" s="40"/>
      <c r="L127" s="40"/>
      <c r="M127" s="41"/>
    </row>
    <row r="128" spans="1:16" x14ac:dyDescent="0.6">
      <c r="B128" s="37"/>
      <c r="C128" s="38"/>
      <c r="D128" s="39"/>
      <c r="E128" s="39"/>
      <c r="F128" s="39"/>
      <c r="G128" s="39"/>
      <c r="H128" s="39"/>
      <c r="I128" s="40"/>
      <c r="J128" s="40"/>
      <c r="K128" s="40"/>
      <c r="L128" s="40"/>
      <c r="M128" s="41"/>
    </row>
    <row r="129" spans="2:19" x14ac:dyDescent="0.6">
      <c r="C129" s="43"/>
      <c r="D129" s="38"/>
      <c r="E129" s="44"/>
      <c r="F129" s="44"/>
      <c r="G129" s="4"/>
      <c r="M129" s="41"/>
    </row>
    <row r="130" spans="2:19" x14ac:dyDescent="0.6">
      <c r="B130" s="44" t="s">
        <v>140</v>
      </c>
      <c r="C130" s="44"/>
      <c r="D130" s="38"/>
      <c r="E130" s="44"/>
      <c r="F130" s="44"/>
      <c r="G130" s="4"/>
      <c r="H130" s="4"/>
      <c r="I130" s="44" t="s">
        <v>140</v>
      </c>
      <c r="J130" s="44"/>
      <c r="K130" s="44"/>
      <c r="L130" s="44"/>
      <c r="M130" s="44"/>
    </row>
    <row r="131" spans="2:19" s="4" customFormat="1" x14ac:dyDescent="0.6">
      <c r="B131" s="44" t="s">
        <v>141</v>
      </c>
      <c r="C131" s="44"/>
      <c r="D131" s="46"/>
      <c r="E131" s="46"/>
      <c r="F131" s="46"/>
      <c r="G131" s="46"/>
      <c r="H131" s="46"/>
      <c r="I131" s="44" t="s">
        <v>142</v>
      </c>
      <c r="J131" s="44"/>
      <c r="K131" s="44"/>
      <c r="L131" s="44"/>
      <c r="M131" s="44"/>
      <c r="P131" s="42"/>
      <c r="Q131" s="2"/>
      <c r="R131" s="2"/>
      <c r="S131" s="2"/>
    </row>
    <row r="132" spans="2:19" s="4" customFormat="1" x14ac:dyDescent="0.6">
      <c r="B132" s="38"/>
      <c r="C132" s="38"/>
      <c r="D132" s="46"/>
      <c r="E132" s="46"/>
      <c r="F132" s="46"/>
      <c r="G132" s="46"/>
      <c r="H132" s="46"/>
      <c r="I132" s="38"/>
      <c r="J132" s="38"/>
      <c r="K132" s="38"/>
      <c r="L132" s="38"/>
      <c r="M132" s="38"/>
      <c r="P132" s="42"/>
      <c r="Q132" s="2"/>
      <c r="R132" s="2"/>
      <c r="S132" s="2"/>
    </row>
    <row r="133" spans="2:19" s="4" customFormat="1" x14ac:dyDescent="0.6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P133" s="42"/>
      <c r="Q133" s="2"/>
      <c r="R133" s="2"/>
      <c r="S133" s="2"/>
    </row>
    <row r="134" spans="2:19" s="4" customFormat="1" x14ac:dyDescent="0.6"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P134" s="42"/>
      <c r="Q134" s="2"/>
      <c r="R134" s="2"/>
      <c r="S134" s="2"/>
    </row>
    <row r="135" spans="2:19" s="4" customFormat="1" x14ac:dyDescent="0.6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P135" s="42"/>
      <c r="Q135" s="2"/>
      <c r="R135" s="2"/>
      <c r="S135" s="2"/>
    </row>
    <row r="136" spans="2:19" s="4" customFormat="1" x14ac:dyDescent="0.6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P136" s="42"/>
      <c r="Q136" s="2"/>
      <c r="R136" s="2"/>
      <c r="S136" s="2"/>
    </row>
    <row r="137" spans="2:19" s="4" customFormat="1" x14ac:dyDescent="0.6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P137" s="42"/>
      <c r="Q137" s="2"/>
      <c r="R137" s="2"/>
      <c r="S137" s="2"/>
    </row>
    <row r="138" spans="2:19" s="4" customFormat="1" x14ac:dyDescent="0.6">
      <c r="D138" s="38"/>
      <c r="E138" s="38"/>
      <c r="F138" s="38"/>
      <c r="G138" s="38"/>
      <c r="H138" s="38"/>
      <c r="I138" s="45"/>
      <c r="J138" s="45"/>
      <c r="K138" s="45"/>
      <c r="L138" s="45"/>
      <c r="M138" s="42"/>
      <c r="P138" s="42"/>
      <c r="Q138" s="2"/>
      <c r="R138" s="2"/>
      <c r="S138" s="2"/>
    </row>
    <row r="139" spans="2:19" s="4" customFormat="1" x14ac:dyDescent="0.6">
      <c r="D139" s="38"/>
      <c r="E139" s="38"/>
      <c r="F139" s="38"/>
      <c r="G139" s="38"/>
      <c r="H139" s="38"/>
      <c r="I139" s="45"/>
      <c r="J139" s="45"/>
      <c r="K139" s="45"/>
      <c r="L139" s="45"/>
      <c r="M139" s="42"/>
      <c r="P139" s="42"/>
      <c r="Q139" s="2"/>
      <c r="R139" s="2"/>
      <c r="S139" s="2"/>
    </row>
    <row r="140" spans="2:19" s="4" customFormat="1" x14ac:dyDescent="0.6">
      <c r="D140" s="38"/>
      <c r="E140" s="38"/>
      <c r="F140" s="38"/>
      <c r="G140" s="38"/>
      <c r="H140" s="38"/>
      <c r="I140" s="45"/>
      <c r="J140" s="45"/>
      <c r="K140" s="45"/>
      <c r="L140" s="45"/>
      <c r="M140" s="42"/>
      <c r="P140" s="42"/>
      <c r="Q140" s="2"/>
      <c r="R140" s="2"/>
      <c r="S140" s="2"/>
    </row>
    <row r="141" spans="2:19" s="4" customFormat="1" x14ac:dyDescent="0.6">
      <c r="D141" s="38"/>
      <c r="E141" s="38"/>
      <c r="F141" s="38"/>
      <c r="G141" s="38"/>
      <c r="H141" s="38"/>
      <c r="I141" s="45"/>
      <c r="J141" s="45"/>
      <c r="K141" s="45"/>
      <c r="L141" s="45"/>
      <c r="M141" s="42"/>
      <c r="P141" s="42"/>
      <c r="Q141" s="2"/>
      <c r="R141" s="2"/>
      <c r="S141" s="2"/>
    </row>
    <row r="142" spans="2:19" s="4" customFormat="1" x14ac:dyDescent="0.6">
      <c r="D142" s="38"/>
      <c r="E142" s="38"/>
      <c r="F142" s="38"/>
      <c r="G142" s="38"/>
      <c r="H142" s="38"/>
      <c r="I142" s="45"/>
      <c r="J142" s="45"/>
      <c r="K142" s="45"/>
      <c r="L142" s="45"/>
      <c r="M142" s="42"/>
      <c r="P142" s="42"/>
      <c r="Q142" s="2"/>
      <c r="R142" s="2"/>
      <c r="S142" s="2"/>
    </row>
    <row r="143" spans="2:19" s="4" customFormat="1" x14ac:dyDescent="0.6">
      <c r="D143" s="38"/>
      <c r="E143" s="38"/>
      <c r="F143" s="38"/>
      <c r="G143" s="38"/>
      <c r="H143" s="38"/>
      <c r="I143" s="45"/>
      <c r="J143" s="45"/>
      <c r="K143" s="45"/>
      <c r="L143" s="45"/>
      <c r="M143" s="42"/>
      <c r="P143" s="42"/>
      <c r="Q143" s="2"/>
      <c r="R143" s="2"/>
      <c r="S143" s="2"/>
    </row>
    <row r="144" spans="2:19" s="4" customFormat="1" x14ac:dyDescent="0.6">
      <c r="D144" s="38"/>
      <c r="E144" s="38"/>
      <c r="F144" s="38"/>
      <c r="G144" s="38"/>
      <c r="H144" s="38"/>
      <c r="I144" s="45"/>
      <c r="J144" s="45"/>
      <c r="K144" s="45"/>
      <c r="L144" s="45"/>
      <c r="M144" s="42"/>
      <c r="P144" s="42"/>
      <c r="Q144" s="2"/>
      <c r="R144" s="2"/>
      <c r="S144" s="2"/>
    </row>
    <row r="145" spans="2:19" s="4" customFormat="1" x14ac:dyDescent="0.6">
      <c r="D145" s="38"/>
      <c r="E145" s="38"/>
      <c r="F145" s="38"/>
      <c r="G145" s="38"/>
      <c r="H145" s="38"/>
      <c r="I145" s="45"/>
      <c r="J145" s="45"/>
      <c r="K145" s="45"/>
      <c r="L145" s="45"/>
      <c r="M145" s="42"/>
      <c r="P145" s="42"/>
      <c r="Q145" s="2"/>
      <c r="R145" s="2"/>
      <c r="S145" s="2"/>
    </row>
    <row r="146" spans="2:19" s="4" customFormat="1" x14ac:dyDescent="0.6">
      <c r="D146" s="38"/>
      <c r="E146" s="38"/>
      <c r="F146" s="38"/>
      <c r="G146" s="38"/>
      <c r="H146" s="38"/>
      <c r="I146" s="45"/>
      <c r="J146" s="45"/>
      <c r="K146" s="45"/>
      <c r="L146" s="45"/>
      <c r="M146" s="42"/>
      <c r="P146" s="42"/>
      <c r="Q146" s="2"/>
      <c r="R146" s="2"/>
      <c r="S146" s="2"/>
    </row>
    <row r="147" spans="2:19" s="45" customFormat="1" x14ac:dyDescent="0.6">
      <c r="B147" s="4"/>
      <c r="C147" s="4"/>
      <c r="D147" s="38"/>
      <c r="E147" s="38"/>
      <c r="F147" s="38"/>
      <c r="G147" s="38"/>
      <c r="H147" s="38"/>
      <c r="M147" s="42"/>
      <c r="N147" s="4"/>
      <c r="O147" s="4"/>
      <c r="P147" s="42"/>
      <c r="Q147" s="2"/>
      <c r="R147" s="2"/>
      <c r="S147" s="2"/>
    </row>
    <row r="148" spans="2:19" s="45" customFormat="1" x14ac:dyDescent="0.6">
      <c r="B148" s="4"/>
      <c r="C148" s="4"/>
      <c r="D148" s="38"/>
      <c r="E148" s="38"/>
      <c r="F148" s="38"/>
      <c r="G148" s="38"/>
      <c r="H148" s="38"/>
      <c r="M148" s="42"/>
      <c r="N148" s="4"/>
      <c r="O148" s="4"/>
      <c r="P148" s="42"/>
      <c r="Q148" s="2"/>
      <c r="R148" s="2"/>
      <c r="S148" s="2"/>
    </row>
  </sheetData>
  <mergeCells count="6">
    <mergeCell ref="E129:F129"/>
    <mergeCell ref="B130:C130"/>
    <mergeCell ref="E130:F130"/>
    <mergeCell ref="I130:M130"/>
    <mergeCell ref="B131:C131"/>
    <mergeCell ref="I131:M131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ตัวอย่าง</vt:lpstr>
      <vt:lpstr>ตัวอย่าง!Print_Area</vt:lpstr>
      <vt:lpstr>ตัวอย่าง!Print_Titles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dcterms:created xsi:type="dcterms:W3CDTF">2025-01-26T07:09:20Z</dcterms:created>
  <dcterms:modified xsi:type="dcterms:W3CDTF">2025-01-26T07:10:21Z</dcterms:modified>
</cp:coreProperties>
</file>