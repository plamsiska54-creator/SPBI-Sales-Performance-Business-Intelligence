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752C34D4-A8B1-463C-8902-83B49F4769D1}" xr6:coauthVersionLast="47" xr6:coauthVersionMax="47" xr10:uidLastSave="{00000000-0000-0000-0000-000000000000}"/>
  <bookViews>
    <workbookView xWindow="28680" yWindow="-120" windowWidth="29040" windowHeight="15720" activeTab="1" xr2:uid="{386DF479-B1BF-415E-A6AA-67E79E90EFEB}"/>
  </bookViews>
  <sheets>
    <sheet name="All" sheetId="2" r:id="rId1"/>
    <sheet name="วัสดุสิ้นเปลือง" sheetId="1" r:id="rId2"/>
  </sheets>
  <externalReferences>
    <externalReference r:id="rId3"/>
  </externalReferences>
  <definedNames>
    <definedName name="_xlnm._FilterDatabase" localSheetId="1" hidden="1">วัสดุสิ้นเปลือง!$A$3:$AE$24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4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4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4" i="1"/>
  <c r="L6" i="1"/>
  <c r="L7" i="1"/>
  <c r="L8" i="1"/>
  <c r="L9" i="1"/>
  <c r="L10" i="1"/>
  <c r="L11" i="1"/>
  <c r="L12" i="1"/>
  <c r="L14" i="1"/>
  <c r="L15" i="1"/>
  <c r="E15" i="1" s="1"/>
  <c r="F15" i="1" s="1"/>
  <c r="L17" i="1"/>
  <c r="L18" i="1"/>
  <c r="L19" i="1"/>
  <c r="L20" i="1"/>
  <c r="L21" i="1"/>
  <c r="L22" i="1"/>
  <c r="L23" i="1"/>
  <c r="L24" i="1"/>
  <c r="E24" i="1" s="1"/>
  <c r="U24" i="1" s="1"/>
  <c r="Y24" i="1" s="1"/>
  <c r="AC24" i="1" s="1"/>
  <c r="L4" i="1"/>
  <c r="C4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W23" i="1" s="1"/>
  <c r="AA23" i="1" s="1"/>
  <c r="AE23" i="1" s="1"/>
  <c r="K24" i="1"/>
  <c r="W24" i="1" s="1"/>
  <c r="AA24" i="1" s="1"/>
  <c r="AE24" i="1" s="1"/>
  <c r="K4" i="1"/>
  <c r="C12" i="2"/>
  <c r="W22" i="1"/>
  <c r="AA22" i="1" s="1"/>
  <c r="AE22" i="1" s="1"/>
  <c r="E23" i="1"/>
  <c r="F23" i="1" s="1"/>
  <c r="E22" i="1"/>
  <c r="F22" i="1" s="1"/>
  <c r="U15" i="1" l="1"/>
  <c r="W15" i="1" s="1"/>
  <c r="Y15" i="1" s="1"/>
  <c r="AA15" i="1" s="1"/>
  <c r="AC15" i="1" s="1"/>
  <c r="AE15" i="1" s="1"/>
  <c r="F24" i="1"/>
  <c r="U23" i="1"/>
  <c r="Y23" i="1" s="1"/>
  <c r="AC23" i="1" s="1"/>
  <c r="U22" i="1"/>
  <c r="Y22" i="1" s="1"/>
  <c r="AC22" i="1" s="1"/>
  <c r="U5" i="1" l="1"/>
  <c r="W5" i="1" s="1"/>
  <c r="Y5" i="1" s="1"/>
  <c r="AA5" i="1" s="1"/>
  <c r="AC5" i="1" s="1"/>
  <c r="AE5" i="1" s="1"/>
  <c r="U6" i="1"/>
  <c r="W6" i="1" s="1"/>
  <c r="Y6" i="1" s="1"/>
  <c r="AA6" i="1" s="1"/>
  <c r="AC6" i="1" s="1"/>
  <c r="AE6" i="1" s="1"/>
  <c r="U7" i="1"/>
  <c r="W7" i="1" s="1"/>
  <c r="Y7" i="1" s="1"/>
  <c r="AA7" i="1" s="1"/>
  <c r="AC7" i="1" s="1"/>
  <c r="AE7" i="1" s="1"/>
  <c r="U8" i="1"/>
  <c r="W8" i="1" s="1"/>
  <c r="Y8" i="1" s="1"/>
  <c r="AA8" i="1" s="1"/>
  <c r="AC8" i="1" s="1"/>
  <c r="AE8" i="1" s="1"/>
  <c r="U9" i="1"/>
  <c r="W9" i="1" s="1"/>
  <c r="Y9" i="1" s="1"/>
  <c r="AA9" i="1" s="1"/>
  <c r="AC9" i="1" s="1"/>
  <c r="AE9" i="1" s="1"/>
  <c r="U10" i="1"/>
  <c r="W10" i="1" s="1"/>
  <c r="Y10" i="1" s="1"/>
  <c r="AA10" i="1" s="1"/>
  <c r="AC10" i="1" s="1"/>
  <c r="AE10" i="1" s="1"/>
  <c r="U11" i="1"/>
  <c r="W11" i="1" s="1"/>
  <c r="Y11" i="1" s="1"/>
  <c r="AA11" i="1" s="1"/>
  <c r="AC11" i="1" s="1"/>
  <c r="AE11" i="1" s="1"/>
  <c r="U12" i="1"/>
  <c r="W12" i="1" s="1"/>
  <c r="Y12" i="1" s="1"/>
  <c r="AA12" i="1" s="1"/>
  <c r="AC12" i="1" s="1"/>
  <c r="AE12" i="1" s="1"/>
  <c r="U13" i="1"/>
  <c r="W13" i="1" s="1"/>
  <c r="Y13" i="1" s="1"/>
  <c r="AA13" i="1" s="1"/>
  <c r="AC13" i="1" s="1"/>
  <c r="AE13" i="1" s="1"/>
  <c r="U14" i="1"/>
  <c r="W14" i="1" s="1"/>
  <c r="Y14" i="1" s="1"/>
  <c r="AA14" i="1" s="1"/>
  <c r="AC14" i="1" s="1"/>
  <c r="AE14" i="1" s="1"/>
  <c r="U16" i="1"/>
  <c r="W16" i="1" s="1"/>
  <c r="Y16" i="1" s="1"/>
  <c r="AA16" i="1" s="1"/>
  <c r="AC16" i="1" s="1"/>
  <c r="AE16" i="1" s="1"/>
  <c r="U17" i="1"/>
  <c r="W17" i="1" s="1"/>
  <c r="Y17" i="1" s="1"/>
  <c r="AA17" i="1" s="1"/>
  <c r="AC17" i="1" s="1"/>
  <c r="AE17" i="1" s="1"/>
  <c r="U18" i="1"/>
  <c r="W18" i="1" s="1"/>
  <c r="Y18" i="1" s="1"/>
  <c r="AA18" i="1" s="1"/>
  <c r="AC18" i="1" s="1"/>
  <c r="AE18" i="1" s="1"/>
  <c r="U19" i="1"/>
  <c r="W19" i="1" s="1"/>
  <c r="Y19" i="1" s="1"/>
  <c r="AA19" i="1" s="1"/>
  <c r="AC19" i="1" s="1"/>
  <c r="AE19" i="1" s="1"/>
  <c r="U20" i="1"/>
  <c r="W20" i="1" s="1"/>
  <c r="Y20" i="1" s="1"/>
  <c r="AA20" i="1" s="1"/>
  <c r="AC20" i="1" s="1"/>
  <c r="AE20" i="1" s="1"/>
  <c r="U21" i="1"/>
  <c r="W21" i="1" s="1"/>
  <c r="Y21" i="1" s="1"/>
  <c r="AA21" i="1" s="1"/>
  <c r="AC21" i="1" s="1"/>
  <c r="AE21" i="1" s="1"/>
  <c r="U4" i="1"/>
  <c r="W4" i="1" s="1"/>
  <c r="Y4" i="1" s="1"/>
  <c r="AA4" i="1" s="1"/>
  <c r="AC4" i="1" s="1"/>
  <c r="AE4" i="1" s="1"/>
  <c r="X1" i="1"/>
  <c r="C11" i="2" s="1"/>
  <c r="E4" i="1"/>
  <c r="E5" i="1" l="1"/>
  <c r="F5" i="1" s="1"/>
  <c r="E17" i="1"/>
  <c r="F17" i="1" s="1"/>
  <c r="E18" i="1"/>
  <c r="F18" i="1" s="1"/>
  <c r="E13" i="1"/>
  <c r="F13" i="1" s="1"/>
  <c r="E21" i="1"/>
  <c r="F21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4" i="1"/>
  <c r="F14" i="1" s="1"/>
  <c r="E16" i="1"/>
  <c r="F16" i="1" s="1"/>
  <c r="E19" i="1"/>
  <c r="F19" i="1" s="1"/>
  <c r="E20" i="1"/>
  <c r="F20" i="1" s="1"/>
  <c r="F4" i="1"/>
  <c r="N1" i="1"/>
  <c r="C6" i="2" s="1"/>
  <c r="L1" i="1"/>
  <c r="C5" i="2" s="1"/>
  <c r="J1" i="1"/>
  <c r="H1" i="1"/>
  <c r="C3" i="2" s="1"/>
  <c r="V1" i="1"/>
  <c r="C10" i="2" s="1"/>
  <c r="T1" i="1"/>
  <c r="C9" i="2" s="1"/>
  <c r="R1" i="1"/>
  <c r="C8" i="2" s="1"/>
  <c r="P1" i="1"/>
  <c r="C7" i="2" s="1"/>
  <c r="Z1" i="1"/>
  <c r="AB1" i="1"/>
  <c r="C13" i="2" s="1"/>
  <c r="I1" i="1" l="1"/>
  <c r="D3" i="2" s="1"/>
  <c r="K1" i="1"/>
  <c r="D4" i="2" s="1"/>
  <c r="O1" i="1" l="1"/>
  <c r="D6" i="2" s="1"/>
  <c r="F1" i="1"/>
  <c r="E1" i="1"/>
  <c r="AD1" i="1"/>
  <c r="C14" i="2" s="1"/>
  <c r="C15" i="2" s="1"/>
  <c r="Q1" i="1" l="1"/>
  <c r="D7" i="2" s="1"/>
  <c r="S1" i="1" l="1"/>
  <c r="D8" i="2" s="1"/>
  <c r="U1" i="1" l="1"/>
  <c r="D9" i="2" s="1"/>
  <c r="W1" i="1" l="1"/>
  <c r="D10" i="2" s="1"/>
  <c r="Y1" i="1" l="1"/>
  <c r="D11" i="2" s="1"/>
  <c r="AA1" i="1" l="1"/>
  <c r="D12" i="2" s="1"/>
  <c r="AE1" i="1" l="1"/>
  <c r="D14" i="2" s="1"/>
  <c r="AC1" i="1"/>
  <c r="D13" i="2" s="1"/>
  <c r="M1" i="1" l="1"/>
  <c r="D5" i="2" s="1"/>
  <c r="D15" i="2" s="1"/>
</calcChain>
</file>

<file path=xl/sharedStrings.xml><?xml version="1.0" encoding="utf-8"?>
<sst xmlns="http://schemas.openxmlformats.org/spreadsheetml/2006/main" count="113" uniqueCount="70">
  <si>
    <t>รหัสสินค้า</t>
  </si>
  <si>
    <t>02-BB111</t>
  </si>
  <si>
    <t>02-BB116</t>
  </si>
  <si>
    <t>02-BB117</t>
  </si>
  <si>
    <t>02-BB28</t>
  </si>
  <si>
    <t>02-BB31</t>
  </si>
  <si>
    <t>02-BB32</t>
  </si>
  <si>
    <t>02-BB33</t>
  </si>
  <si>
    <t>02-BB64</t>
  </si>
  <si>
    <t>02-BB74</t>
  </si>
  <si>
    <t>5-C-907</t>
  </si>
  <si>
    <t>DS</t>
  </si>
  <si>
    <t>ยอดเบิก</t>
  </si>
  <si>
    <t>หน่วย</t>
  </si>
  <si>
    <t>แผ่นรองขนมปังปอนค์ ขนาด113x113:247cm(กล่องใน)</t>
  </si>
  <si>
    <t>กล่อง Carton 52*52*36 ใส่ซิฟฟ้อน+ปังแถว</t>
  </si>
  <si>
    <t>กล่อง CARTON ทรง B</t>
  </si>
  <si>
    <t>กล่อง CARTON ทรงสูง</t>
  </si>
  <si>
    <t>กล่อง CARTON ทรงเตี้ย</t>
  </si>
  <si>
    <t>กล่อง CARTON ทรงยาว</t>
  </si>
  <si>
    <t>กล่อง L (L)</t>
  </si>
  <si>
    <t>กล่องไปษณีย์ (F)</t>
  </si>
  <si>
    <t>ชื่อสินค้า</t>
  </si>
  <si>
    <t>เป็นเงิน</t>
  </si>
  <si>
    <t>ราคาต้นทุน</t>
  </si>
  <si>
    <t>Total</t>
  </si>
  <si>
    <t>ใบ</t>
  </si>
  <si>
    <t>กล่อง Carton 25*50*28 ใส่ชิฟฟ้อน 20</t>
  </si>
  <si>
    <t>5-C-817</t>
  </si>
  <si>
    <t>5-C-541</t>
  </si>
  <si>
    <t>5-S-015</t>
  </si>
  <si>
    <t>ม้วน</t>
  </si>
  <si>
    <t>สติ๊กเกอร์ลาเบล 100*100*500 mm.</t>
  </si>
  <si>
    <t>สติ๊กเกอร์ลาเบล 100*150*500 mm.</t>
  </si>
  <si>
    <t>สติ๊กเกอร์ลาเบล 90*50*500 mm.</t>
  </si>
  <si>
    <t>5-SC-029</t>
  </si>
  <si>
    <t>สติ๊กเกอร์วันที่ผลิต แถวละ 10 ม้วน</t>
  </si>
  <si>
    <t>1021401005-1</t>
  </si>
  <si>
    <t>กล่องลูกฟูกไซร์ D</t>
  </si>
  <si>
    <t>พลาสติกกันกระแทกขนาด Air Bubber</t>
  </si>
  <si>
    <t>พลาสติกกันกระแทกขนาด 32.5 CM (ตัดเอง)</t>
  </si>
  <si>
    <t>กล่องขนมปังปอนด์ ขนาด 240x262x260 Cm.</t>
  </si>
  <si>
    <t>02-BB110</t>
  </si>
  <si>
    <t>5-C-027-1</t>
  </si>
  <si>
    <t>ลำดับ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</si>
  <si>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</si>
  <si>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</si>
  <si>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</si>
  <si>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</si>
  <si>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</si>
  <si>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</si>
  <si>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</si>
  <si>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</si>
  <si>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</si>
  <si>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</si>
  <si>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</si>
  <si>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</si>
  <si>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</si>
  <si>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จำนวนชิ้น</t>
  </si>
  <si>
    <t>ยอด</t>
  </si>
  <si>
    <t>บาท</t>
  </si>
  <si>
    <t>ยอดรวม</t>
  </si>
  <si>
    <t>หมายเหตุ</t>
  </si>
  <si>
    <t>กล่องลัง เบอร์ 3</t>
  </si>
  <si>
    <t>สติ๊กเกอร์ลาเบล 40*60*700 mm. แบบกระดาษ (เครื่องชั่ง)</t>
  </si>
  <si>
    <t>สติ๊กเกอร์ลาเบล 40*60*700 mm. แบบกันน้ำ (ลังละ 50 ม้วน)</t>
  </si>
  <si>
    <t>02-TAPE2-C</t>
  </si>
  <si>
    <t>เทปใส OPP 2"x1000 หลา ลังละ 6 ม้วน</t>
  </si>
  <si>
    <t>รายการเบิกวัสดุสิ้นเปลือง แผนกออนไลน์ ปี 2569</t>
  </si>
  <si>
    <t>สรุปยอดเบิกวัสดุสิ้นเปลือง แผนกออนไลน์ ปี2569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</si>
</sst>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20"/>
      <color theme="1" tint="4.9989318521683403E-2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</font>
    <font>
      <b/>
      <sz val="20"/>
      <color rgb="FF0000CC"/>
      <name val="Angsana New"/>
      <family val="1"/>
    </font>
    <font>
      <b/>
      <sz val="18"/>
      <color rgb="FF0000CC"/>
      <name val="Angsana New"/>
      <family val="1"/>
    </font>
    <font>
      <sz val="16"/>
      <color rgb="FF0000CC"/>
      <name val="Angsana New"/>
      <family val="1"/>
    </font>
    <font>
      <b/>
      <sz val="20"/>
      <color rgb="FFFF0000"/>
      <name val="Angsana New"/>
      <family val="1"/>
    </font>
    <font>
      <b/>
      <sz val="18"/>
      <color rgb="FFFF0000"/>
      <name val="Angsana New"/>
      <family val="1"/>
    </font>
    <font>
      <sz val="16"/>
      <color rgb="FFFF0000"/>
      <name val="Angsana New"/>
      <family val="1"/>
    </font>
    <font>
      <b/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87" fontId="6" fillId="0" borderId="1" xfId="1" applyNumberFormat="1" applyFont="1" applyBorder="1" applyAlignment="1">
      <alignment vertical="center"/>
    </xf>
    <xf numFmtId="187" fontId="7" fillId="2" borderId="0" xfId="1" applyNumberFormat="1" applyFont="1" applyFill="1" applyAlignment="1">
      <alignment vertical="center"/>
    </xf>
    <xf numFmtId="187" fontId="8" fillId="0" borderId="0" xfId="1" applyNumberFormat="1" applyFont="1"/>
    <xf numFmtId="43" fontId="9" fillId="0" borderId="1" xfId="1" applyFont="1" applyBorder="1" applyAlignment="1">
      <alignment vertical="center"/>
    </xf>
    <xf numFmtId="43" fontId="10" fillId="2" borderId="0" xfId="1" applyFont="1" applyFill="1" applyAlignment="1">
      <alignment vertical="center"/>
    </xf>
    <xf numFmtId="43" fontId="11" fillId="0" borderId="0" xfId="1" applyFont="1"/>
    <xf numFmtId="43" fontId="12" fillId="0" borderId="0" xfId="1" applyFont="1" applyAlignment="1">
      <alignment vertical="center"/>
    </xf>
    <xf numFmtId="43" fontId="14" fillId="0" borderId="0" xfId="1" applyFont="1"/>
    <xf numFmtId="0" fontId="4" fillId="0" borderId="0" xfId="0" applyFont="1" applyAlignment="1">
      <alignment horizontal="center"/>
    </xf>
    <xf numFmtId="0" fontId="5" fillId="0" borderId="0" xfId="0" applyFont="1"/>
    <xf numFmtId="187" fontId="3" fillId="0" borderId="0" xfId="1" applyNumberFormat="1" applyFont="1" applyAlignment="1">
      <alignment horizontal="center"/>
    </xf>
    <xf numFmtId="43" fontId="3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187" fontId="15" fillId="0" borderId="1" xfId="0" applyNumberFormat="1" applyFont="1" applyBorder="1"/>
    <xf numFmtId="0" fontId="15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43" fontId="13" fillId="2" borderId="0" xfId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17" fontId="5" fillId="2" borderId="0" xfId="1" applyNumberFormat="1" applyFont="1" applyFill="1" applyAlignment="1">
      <alignment horizontal="center" vertical="center"/>
    </xf>
    <xf numFmtId="0" fontId="5" fillId="2" borderId="0" xfId="1" applyNumberFormat="1" applyFont="1" applyFill="1" applyAlignment="1">
      <alignment horizontal="center" vertical="center"/>
    </xf>
    <xf numFmtId="0" fontId="15" fillId="0" borderId="0" xfId="0" applyFont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400" b="1"/>
              <a:t>สรุปยอดเบิกวัสดุสิ้นเปลือง แผนกออนไลน์ ปี2569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2596512480474353"/>
          <c:y val="0.13448757913303733"/>
          <c:w val="0.82382415054291891"/>
          <c:h val="0.52538285261259232"/>
        </c:manualLayout>
      </c:layout>
      <c:lineChart>
        <c:grouping val="standard"/>
        <c:varyColors val="0"/>
        <c:ser>
          <c:idx val="0"/>
          <c:order val="0"/>
          <c:tx>
            <c:strRef>
              <c:f>All!$C$1:$C$2</c:f>
              <c:strCache>
                <c:ptCount val="2"/>
                <c:pt idx="1">
                  <c:v>จำนวนชิ้น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All!$B$3:$B$14</c15:sqref>
                  </c15:fullRef>
                </c:ext>
              </c:extLst>
              <c:f>All!$B$3:$B$14</c:f>
              <c:strCache>
                <c:ptCount val="12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All!$C$3:$C$15</c15:sqref>
                  </c15:fullRef>
                </c:ext>
              </c:extLst>
              <c:f>All!$C$3:$C$14</c:f>
              <c:numCache>
                <c:formatCode>_-* #,##0_-;\-* #,##0_-;_-* "-"??_-;_-@_-</c:formatCode>
                <c:ptCount val="12"/>
                <c:pt idx="0">
                  <c:v>8132</c:v>
                </c:pt>
                <c:pt idx="1">
                  <c:v>6797</c:v>
                </c:pt>
                <c:pt idx="2">
                  <c:v>12368</c:v>
                </c:pt>
                <c:pt idx="3">
                  <c:v>9203</c:v>
                </c:pt>
                <c:pt idx="4">
                  <c:v>9846</c:v>
                </c:pt>
                <c:pt idx="5">
                  <c:v>7643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D-4020-895C-08E0E9100E2F}"/>
            </c:ext>
          </c:extLst>
        </c:ser>
        <c:ser>
          <c:idx val="1"/>
          <c:order val="1"/>
          <c:tx>
            <c:strRef>
              <c:f>All!$D$2</c:f>
              <c:strCache>
                <c:ptCount val="1"/>
                <c:pt idx="0">
                  <c:v>ยอด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All!$B$3:$B$14</c15:sqref>
                  </c15:fullRef>
                </c:ext>
              </c:extLst>
              <c:f>All!$B$3:$B$14</c:f>
              <c:strCache>
                <c:ptCount val="12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All!$D$3:$D$14</c15:sqref>
                  </c15:fullRef>
                </c:ext>
              </c:extLst>
              <c:f>All!$D$3:$D$14</c:f>
              <c:numCache>
                <c:formatCode>_(* #,##0.00_);_(* \(#,##0.00\);_(* "-"??_);_(@_)</c:formatCode>
                <c:ptCount val="12"/>
                <c:pt idx="0">
                  <c:v>206388.72</c:v>
                </c:pt>
                <c:pt idx="1">
                  <c:v>39653.839999999997</c:v>
                </c:pt>
                <c:pt idx="2">
                  <c:v>79340.350000000006</c:v>
                </c:pt>
                <c:pt idx="3">
                  <c:v>50072.08</c:v>
                </c:pt>
                <c:pt idx="4">
                  <c:v>56382.84</c:v>
                </c:pt>
                <c:pt idx="5">
                  <c:v>166583.48000000001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D-4020-895C-08E0E9100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810911"/>
        <c:axId val="20218075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All!$E$1:$E$2</c15:sqref>
                        </c15:formulaRef>
                      </c:ext>
                    </c:extLst>
                    <c:strCache>
                      <c:ptCount val="2"/>
                      <c:pt idx="1">
                        <c:v>หมายเหตุ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All!$B$3:$B$14</c15:sqref>
                        </c15:fullRef>
                        <c15:formulaRef>
                          <c15:sqref>All!$B$3:$B$14</c15:sqref>
                        </c15:formulaRef>
                      </c:ext>
                    </c:extLst>
                    <c:strCache>
                      <c:ptCount val="12"/>
                      <c:pt idx="0">
                        <c:v>มกราคม</c:v>
                      </c:pt>
                      <c:pt idx="1">
                        <c:v>กุมภาพันธ์</c:v>
                      </c:pt>
                      <c:pt idx="2">
                        <c:v>มีนาคม</c:v>
                      </c:pt>
                      <c:pt idx="3">
                        <c:v>เมษายน</c:v>
                      </c:pt>
                      <c:pt idx="4">
                        <c:v>พฤษภาคม</c:v>
                      </c:pt>
                      <c:pt idx="5">
                        <c:v>มิถุนายน</c:v>
                      </c:pt>
                      <c:pt idx="6">
                        <c:v>กรกฎาคม</c:v>
                      </c:pt>
                      <c:pt idx="7">
                        <c:v>สิงหาคม</c:v>
                      </c:pt>
                      <c:pt idx="8">
                        <c:v>กันยายน</c:v>
                      </c:pt>
                      <c:pt idx="9">
                        <c:v>ตุลาคม</c:v>
                      </c:pt>
                      <c:pt idx="10">
                        <c:v>พฤศจิกายน</c:v>
                      </c:pt>
                      <c:pt idx="11">
                        <c:v>ธันวาคม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All!$E$3:$E$15</c15:sqref>
                        </c15:fullRef>
                        <c15:formulaRef>
                          <c15:sqref>All!$E$3:$E$14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98D-4020-895C-08E0E9100E2F}"/>
                  </c:ext>
                </c:extLst>
              </c15:ser>
            </c15:filteredLineSeries>
          </c:ext>
        </c:extLst>
      </c:lineChart>
      <c:catAx>
        <c:axId val="20218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2021807551"/>
        <c:crosses val="autoZero"/>
        <c:auto val="1"/>
        <c:lblAlgn val="ctr"/>
        <c:lblOffset val="100"/>
        <c:noMultiLvlLbl val="0"/>
      </c:catAx>
      <c:valAx>
        <c:axId val="20218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2021810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>
              <a:lumMod val="95000"/>
              <a:lumOff val="5000"/>
            </a:schemeClr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116205</xdr:colOff>
      <xdr:row>1</xdr:row>
      <xdr:rowOff>20955</xdr:rowOff>
    </xdr:from>
    <xdr:to>
      <xdr:col>19</xdr:col>
      <xdr:colOff>133350</xdr:colOff>
      <xdr:row>15</xdr:row>
      <xdr:rowOff>91440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44D813B-0275-7239-894A-BC1AA872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&#3626;&#3605;&#3658;&#3629;&#3588;&#3585;&#3634;&#3619;&#3660;&#3604;%2031%20&#3617;&#3637;&#3609;&#3634;&#3588;&#3617;%202569%20&#3610;&#3619;&#3619;&#3592;&#3640;&#3616;&#3633;&#3603;&#3601;&#3660;.xlsx" TargetMode="External"/><Relationship Id="rId2" Type="http://schemas.openxmlformats.org/officeDocument/2006/relationships/externalLinkPath" Target="file:///C:\Users\Wanwa\OneDrive\Desktop\&#3626;&#3605;&#3658;&#3629;&#3588;&#3585;&#3634;&#3619;&#3660;&#3604;%2031%20&#3617;&#3637;&#3609;&#3634;&#3588;&#3617;%202569%20&#3610;&#3619;&#3619;&#3592;&#3640;&#3616;&#3633;&#3603;&#3601;&#3660;.xlsx" TargetMode="External"/><Relationship Id="rId1" Type="http://schemas.openxmlformats.org/officeDocument/2006/relationships/externalLinkPath" Target="/Users/Wanwa/OneDrive/Desktop/&#3626;&#3605;&#3658;&#3629;&#3588;&#3585;&#3634;&#3619;&#3660;&#3604;%2031%20&#3617;&#3637;&#3609;&#3634;&#3588;&#3617;%202569%20&#3610;&#3619;&#3619;&#3592;&#3640;&#3616;&#3633;&#3603;&#3601;&#36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รับ-จ่าย ประจำวัน"/>
      <sheetName val="เตรียมส่วนผสม"/>
      <sheetName val="ผลิต1"/>
      <sheetName val="กวนไส้"/>
      <sheetName val="ผลิต2"/>
      <sheetName val="วางแผน"/>
      <sheetName val="แต่งหน้าขนมเค้ก"/>
      <sheetName val="แต่งหน้าขนมปัง"/>
      <sheetName val="แพ็ค"/>
      <sheetName val="FG"/>
      <sheetName val="RD"/>
      <sheetName val="ธุรการ"/>
      <sheetName val="สินค้า DS"/>
      <sheetName val="Sheet2"/>
      <sheetName val="Sheet1"/>
    </sheetNames>
    <sheetDataSet>
      <sheetData sheetId="0">
        <row r="1">
          <cell r="A1" t="str">
            <v>รหัสสินค้า</v>
          </cell>
          <cell r="B1" t="str">
            <v>ชื่อสินค้า</v>
          </cell>
          <cell r="C1" t="str">
            <v>หน่วย</v>
          </cell>
          <cell r="D1" t="str">
            <v>ราคา</v>
          </cell>
          <cell r="E1" t="str">
            <v>RJ</v>
          </cell>
          <cell r="F1" t="str">
            <v>LOT สินค้า</v>
          </cell>
          <cell r="G1" t="str">
            <v>รอบสั่ง</v>
          </cell>
          <cell r="H1" t="str">
            <v>ยอดยกมา</v>
          </cell>
          <cell r="I1" t="str">
            <v>วันที่รับเข้า 1</v>
          </cell>
          <cell r="J1" t="str">
            <v>วันที่รับเข้า 2</v>
          </cell>
          <cell r="K1" t="str">
            <v>วันที่รับเข้า 3</v>
          </cell>
          <cell r="L1" t="str">
            <v>วันที่4</v>
          </cell>
          <cell r="M1" t="str">
            <v>วันที่5</v>
          </cell>
          <cell r="N1" t="str">
            <v>วันที่6</v>
          </cell>
          <cell r="O1" t="str">
            <v>วันที่รับเข้า7</v>
          </cell>
          <cell r="P1" t="str">
            <v>วันที่รับเข้า 8</v>
          </cell>
          <cell r="Q1" t="str">
            <v>วันที่รับเข้า9</v>
          </cell>
          <cell r="R1" t="str">
            <v>วันที่รับเข้า 10</v>
          </cell>
          <cell r="S1" t="str">
            <v>วันที่รับเข้า 11</v>
          </cell>
          <cell r="T1" t="str">
            <v>วันที่รับเข้า 12</v>
          </cell>
          <cell r="U1" t="str">
            <v>วันที่รับเข้า 13</v>
          </cell>
          <cell r="V1" t="str">
            <v>วันที่รับเข้า 14</v>
          </cell>
          <cell r="W1" t="str">
            <v>วันที่รับเข้า 15</v>
          </cell>
          <cell r="X1" t="str">
            <v>วันที่รับเข้า 16</v>
          </cell>
          <cell r="Y1" t="str">
            <v>วันที่รับเข้า 17</v>
          </cell>
          <cell r="Z1" t="str">
            <v>วันที่รับเข้า 18</v>
          </cell>
          <cell r="AA1" t="str">
            <v>วันที่รับเข้า 19</v>
          </cell>
          <cell r="AB1" t="str">
            <v>วันที่รับ 20</v>
          </cell>
          <cell r="AC1" t="str">
            <v>วันที่ 21</v>
          </cell>
          <cell r="AD1" t="str">
            <v>วันที่รับเข้า 22</v>
          </cell>
          <cell r="AE1" t="str">
            <v>วันที่รับเข้า 23</v>
          </cell>
          <cell r="AF1" t="str">
            <v>วันที่รับเข้า 24</v>
          </cell>
          <cell r="AG1" t="str">
            <v>วันที่รับเข้า 25</v>
          </cell>
          <cell r="AH1" t="str">
            <v>วันที่รับเข้า 26</v>
          </cell>
          <cell r="AI1" t="str">
            <v>วันที่รับเข้า 27</v>
          </cell>
          <cell r="AJ1" t="str">
            <v>วันที่รับเข้า 28</v>
          </cell>
          <cell r="AK1" t="str">
            <v>วันที่รับเข้า 29</v>
          </cell>
          <cell r="AL1" t="str">
            <v>วันที่รับเข้า 30</v>
          </cell>
          <cell r="AM1" t="str">
            <v>วันที่รับเข้า 31</v>
          </cell>
          <cell r="AN1" t="str">
            <v>ยอดรับเข้าสุทธิทั้งหมด</v>
          </cell>
          <cell r="AO1" t="str">
            <v>วันที่จ่ายออก 1</v>
          </cell>
          <cell r="AP1" t="str">
            <v>วันที่จ่ายออก2</v>
          </cell>
          <cell r="AQ1" t="str">
            <v>วันที่จ่ายออก3</v>
          </cell>
          <cell r="AR1" t="str">
            <v>วันที่จ่ายออก 4</v>
          </cell>
          <cell r="AS1" t="str">
            <v>วันที่จ่ายออก 5</v>
          </cell>
          <cell r="AT1" t="str">
            <v>วันที่จ่ายออก6</v>
          </cell>
          <cell r="AU1" t="str">
            <v>วันที่จ่ายออก7</v>
          </cell>
          <cell r="AV1" t="str">
            <v>วันที่จ่ายออก 8</v>
          </cell>
          <cell r="AW1" t="str">
            <v>วันที่จ่ายออก9</v>
          </cell>
          <cell r="AX1" t="str">
            <v>วันที่จ่ายออก 10</v>
          </cell>
          <cell r="AY1" t="str">
            <v>วันที่จ่ายออก 11</v>
          </cell>
          <cell r="AZ1" t="str">
            <v>วันที่จ่ายออก12</v>
          </cell>
          <cell r="BA1" t="str">
            <v>วันที่13</v>
          </cell>
          <cell r="BB1" t="str">
            <v>วันที่14</v>
          </cell>
          <cell r="BC1" t="str">
            <v>วันที่จ่ายออก 15</v>
          </cell>
          <cell r="BD1" t="str">
            <v>วันที่จ่ายออก 16</v>
          </cell>
          <cell r="BE1" t="str">
            <v>วันที่จ่ายออก 17</v>
          </cell>
          <cell r="BF1" t="str">
            <v>วันที่จ่ายออก 18</v>
          </cell>
          <cell r="BG1" t="str">
            <v>วันที่จ่ายออก 19</v>
          </cell>
          <cell r="BH1" t="str">
            <v>วันที่จ่าย 20</v>
          </cell>
          <cell r="BI1" t="str">
            <v>วันที่จ่าย 21</v>
          </cell>
          <cell r="BJ1" t="str">
            <v>วันที่จ่ายออก 22</v>
          </cell>
          <cell r="BK1" t="str">
            <v>วันที่จ่ายออก 23</v>
          </cell>
          <cell r="BL1" t="str">
            <v>วันที่จ่ายออก 24</v>
          </cell>
          <cell r="BM1" t="str">
            <v>วันที่จ่ายออก 25</v>
          </cell>
          <cell r="BN1" t="str">
            <v>วันที่จ่ายออก 26</v>
          </cell>
          <cell r="BO1" t="str">
            <v>วันที่จ่ายออก 27</v>
          </cell>
          <cell r="BP1" t="str">
            <v>วันที่จ่ายออก 28</v>
          </cell>
          <cell r="BQ1" t="str">
            <v>วันที่จ่ายออก 29</v>
          </cell>
          <cell r="BR1" t="str">
            <v>วันที่จ่ายออก 30</v>
          </cell>
          <cell r="BS1" t="str">
            <v>วันที่จ่ายออก 31</v>
          </cell>
          <cell r="BT1" t="str">
            <v>ยอดจ่ายออกสุทธิทั้งหมด</v>
          </cell>
        </row>
        <row r="2">
          <cell r="A2" t="str">
            <v>02-BB03</v>
          </cell>
          <cell r="B2" t="str">
            <v>กล่องเค้กเบาหวิวกล้วยมะพร้าวเผา 100g. New(1ห่อ*200ใบ)</v>
          </cell>
          <cell r="C2" t="str">
            <v>ใบ</v>
          </cell>
          <cell r="D2">
            <v>0</v>
          </cell>
          <cell r="F2" t="str">
            <v>-</v>
          </cell>
          <cell r="G2" t="str">
            <v>20-25 วัน</v>
          </cell>
          <cell r="H2">
            <v>8100</v>
          </cell>
          <cell r="AN2">
            <v>0</v>
          </cell>
          <cell r="AO2">
            <v>0</v>
          </cell>
          <cell r="AP2">
            <v>200</v>
          </cell>
          <cell r="AQ2">
            <v>0</v>
          </cell>
          <cell r="AR2">
            <v>0</v>
          </cell>
          <cell r="AS2">
            <v>200</v>
          </cell>
          <cell r="AT2">
            <v>200</v>
          </cell>
          <cell r="AU2">
            <v>0</v>
          </cell>
          <cell r="AV2">
            <v>200</v>
          </cell>
          <cell r="AW2">
            <v>200</v>
          </cell>
          <cell r="AX2">
            <v>0</v>
          </cell>
          <cell r="AY2">
            <v>0</v>
          </cell>
          <cell r="AZ2">
            <v>200</v>
          </cell>
          <cell r="BA2">
            <v>200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200</v>
          </cell>
          <cell r="BG2">
            <v>0</v>
          </cell>
          <cell r="BH2">
            <v>200</v>
          </cell>
          <cell r="BI2">
            <v>0</v>
          </cell>
          <cell r="BJ2">
            <v>200</v>
          </cell>
          <cell r="BK2">
            <v>200</v>
          </cell>
          <cell r="BL2">
            <v>200</v>
          </cell>
          <cell r="BM2">
            <v>200</v>
          </cell>
          <cell r="BN2">
            <v>200</v>
          </cell>
          <cell r="BO2">
            <v>200</v>
          </cell>
          <cell r="BP2">
            <v>0</v>
          </cell>
          <cell r="BQ2">
            <v>0</v>
          </cell>
          <cell r="BR2">
            <v>0</v>
          </cell>
          <cell r="BS2">
            <v>200</v>
          </cell>
          <cell r="BT2">
            <v>3200</v>
          </cell>
        </row>
        <row r="3">
          <cell r="A3" t="str">
            <v>02-BB05</v>
          </cell>
          <cell r="B3" t="str">
            <v>กล่องเค้กเบาหวิวรสกาแฟ 100g New(1ห่อ*200ใบ)</v>
          </cell>
          <cell r="C3" t="str">
            <v>ใบ</v>
          </cell>
          <cell r="D3">
            <v>0</v>
          </cell>
          <cell r="F3" t="str">
            <v>-</v>
          </cell>
          <cell r="G3" t="str">
            <v>20-25 วัน</v>
          </cell>
          <cell r="H3">
            <v>9700</v>
          </cell>
          <cell r="AN3">
            <v>0</v>
          </cell>
          <cell r="AO3">
            <v>0</v>
          </cell>
          <cell r="AP3">
            <v>200</v>
          </cell>
          <cell r="AQ3">
            <v>0</v>
          </cell>
          <cell r="AR3">
            <v>0</v>
          </cell>
          <cell r="AS3">
            <v>0</v>
          </cell>
          <cell r="AT3">
            <v>200</v>
          </cell>
          <cell r="AU3">
            <v>0</v>
          </cell>
          <cell r="AV3">
            <v>0</v>
          </cell>
          <cell r="AW3">
            <v>200</v>
          </cell>
          <cell r="AX3">
            <v>0</v>
          </cell>
          <cell r="AY3">
            <v>200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200</v>
          </cell>
          <cell r="BG3">
            <v>0</v>
          </cell>
          <cell r="BH3">
            <v>0</v>
          </cell>
          <cell r="BI3">
            <v>0</v>
          </cell>
          <cell r="BJ3">
            <v>200</v>
          </cell>
          <cell r="BK3">
            <v>200</v>
          </cell>
          <cell r="BL3">
            <v>0</v>
          </cell>
          <cell r="BM3">
            <v>200</v>
          </cell>
          <cell r="BN3">
            <v>0</v>
          </cell>
          <cell r="BO3">
            <v>200</v>
          </cell>
          <cell r="BP3">
            <v>0</v>
          </cell>
          <cell r="BQ3">
            <v>0</v>
          </cell>
          <cell r="BR3">
            <v>0</v>
          </cell>
          <cell r="BS3">
            <v>200</v>
          </cell>
          <cell r="BT3">
            <v>2000</v>
          </cell>
        </row>
        <row r="4">
          <cell r="A4">
            <v>1020501002</v>
          </cell>
          <cell r="B4" t="str">
            <v>กล่องเค้กเบาหวิวรสกาแฟ 100g New(1ห่อ*200ใบ) รหัสไหม่</v>
          </cell>
          <cell r="C4" t="str">
            <v>ใบ</v>
          </cell>
          <cell r="H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</row>
        <row r="5">
          <cell r="A5" t="str">
            <v>02-BB07</v>
          </cell>
          <cell r="B5" t="str">
            <v>กล่องเค้กเบาหวิวรสกาแฟ 300g. New(1ห่อ*200ใบ)</v>
          </cell>
          <cell r="C5" t="str">
            <v>ใบ</v>
          </cell>
          <cell r="D5">
            <v>0</v>
          </cell>
          <cell r="F5" t="str">
            <v>-</v>
          </cell>
          <cell r="G5" t="str">
            <v>20-25 วัน</v>
          </cell>
          <cell r="H5">
            <v>1500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</row>
        <row r="6">
          <cell r="A6" t="str">
            <v>02-BB09</v>
          </cell>
          <cell r="B6" t="str">
            <v>กล่องเค้กเบาหวิวรสเนยนม 110g. New(1ห่อ*300ใบ)</v>
          </cell>
          <cell r="C6" t="str">
            <v>ใบ</v>
          </cell>
          <cell r="D6">
            <v>0</v>
          </cell>
          <cell r="F6" t="str">
            <v>-</v>
          </cell>
          <cell r="G6" t="str">
            <v>20-25 วัน</v>
          </cell>
          <cell r="H6">
            <v>7800</v>
          </cell>
          <cell r="AN6">
            <v>0</v>
          </cell>
          <cell r="AO6">
            <v>0</v>
          </cell>
          <cell r="AP6">
            <v>200</v>
          </cell>
          <cell r="AQ6">
            <v>0</v>
          </cell>
          <cell r="AR6">
            <v>0</v>
          </cell>
          <cell r="AS6">
            <v>200</v>
          </cell>
          <cell r="AT6">
            <v>200</v>
          </cell>
          <cell r="AU6">
            <v>0</v>
          </cell>
          <cell r="AV6">
            <v>200</v>
          </cell>
          <cell r="AW6">
            <v>200</v>
          </cell>
          <cell r="AX6">
            <v>0</v>
          </cell>
          <cell r="AY6">
            <v>200</v>
          </cell>
          <cell r="AZ6">
            <v>0</v>
          </cell>
          <cell r="BA6">
            <v>200</v>
          </cell>
          <cell r="BB6">
            <v>0</v>
          </cell>
          <cell r="BC6">
            <v>200</v>
          </cell>
          <cell r="BD6">
            <v>0</v>
          </cell>
          <cell r="BE6">
            <v>200</v>
          </cell>
          <cell r="BF6">
            <v>200</v>
          </cell>
          <cell r="BG6">
            <v>200</v>
          </cell>
          <cell r="BH6">
            <v>200</v>
          </cell>
          <cell r="BI6">
            <v>0</v>
          </cell>
          <cell r="BJ6">
            <v>0</v>
          </cell>
          <cell r="BK6">
            <v>200</v>
          </cell>
          <cell r="BL6">
            <v>200</v>
          </cell>
          <cell r="BM6">
            <v>0</v>
          </cell>
          <cell r="BN6">
            <v>200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200</v>
          </cell>
          <cell r="BT6">
            <v>3200</v>
          </cell>
        </row>
        <row r="7">
          <cell r="A7">
            <v>1020501003</v>
          </cell>
          <cell r="B7" t="str">
            <v>กล่องเค้กเบาหวิวรสเนยนม 110g. New(1ห่อ*300ใบ) รหัสไหม่</v>
          </cell>
          <cell r="C7" t="str">
            <v>ใบ</v>
          </cell>
          <cell r="H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</row>
        <row r="8">
          <cell r="A8" t="str">
            <v>02-BB11</v>
          </cell>
          <cell r="B8" t="str">
            <v>กล่องเค้กเบาหวิวรสเนยนม 300g. New(1ห่อ*200ใบ)</v>
          </cell>
          <cell r="C8" t="str">
            <v>ใบ</v>
          </cell>
          <cell r="D8">
            <v>0</v>
          </cell>
          <cell r="G8" t="str">
            <v>20-25 วัน</v>
          </cell>
          <cell r="H8">
            <v>1800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200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200</v>
          </cell>
        </row>
        <row r="9">
          <cell r="A9" t="str">
            <v>02-BB111</v>
          </cell>
          <cell r="B9" t="str">
            <v>แผ่นรองขนมปังปอนด์ ขนาด113x113x247cm(กล่องใน)</v>
          </cell>
          <cell r="C9" t="str">
            <v>ใบ</v>
          </cell>
          <cell r="D9">
            <v>0</v>
          </cell>
          <cell r="G9" t="str">
            <v>15-20 วัน</v>
          </cell>
          <cell r="H9">
            <v>2980</v>
          </cell>
          <cell r="AN9">
            <v>0</v>
          </cell>
          <cell r="AO9">
            <v>100</v>
          </cell>
          <cell r="AP9">
            <v>100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100</v>
          </cell>
          <cell r="AW9">
            <v>0</v>
          </cell>
          <cell r="AX9">
            <v>100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100</v>
          </cell>
          <cell r="BE9">
            <v>0</v>
          </cell>
          <cell r="BF9">
            <v>0</v>
          </cell>
          <cell r="BG9">
            <v>100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100</v>
          </cell>
          <cell r="BN9">
            <v>0</v>
          </cell>
          <cell r="BO9">
            <v>37</v>
          </cell>
          <cell r="BP9">
            <v>0</v>
          </cell>
          <cell r="BQ9">
            <v>0</v>
          </cell>
          <cell r="BR9">
            <v>100</v>
          </cell>
          <cell r="BS9">
            <v>0</v>
          </cell>
          <cell r="BT9">
            <v>837</v>
          </cell>
        </row>
        <row r="10">
          <cell r="A10" t="str">
            <v>02-BB112</v>
          </cell>
          <cell r="B10" t="str">
            <v>กล่องเค้ก 1 ปอนด์</v>
          </cell>
          <cell r="C10" t="str">
            <v>ใบ</v>
          </cell>
          <cell r="D10">
            <v>0</v>
          </cell>
          <cell r="F10" t="str">
            <v>-</v>
          </cell>
          <cell r="G10" t="str">
            <v>15-20 วัน</v>
          </cell>
          <cell r="H10">
            <v>500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100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100</v>
          </cell>
        </row>
        <row r="11">
          <cell r="A11">
            <v>1020501005</v>
          </cell>
          <cell r="B11" t="str">
            <v>กล่องเค้ก 1 ปอนด์</v>
          </cell>
          <cell r="C11" t="str">
            <v>ใบ</v>
          </cell>
          <cell r="H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</row>
        <row r="12">
          <cell r="A12">
            <v>1020701005</v>
          </cell>
          <cell r="B12" t="str">
            <v>ฐานรองเค้ก 1 ปอนด์</v>
          </cell>
          <cell r="C12" t="str">
            <v>ใบ</v>
          </cell>
          <cell r="D12">
            <v>0</v>
          </cell>
          <cell r="H12">
            <v>260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</row>
        <row r="13">
          <cell r="A13" t="str">
            <v>02-BB114</v>
          </cell>
          <cell r="B13" t="str">
            <v>กล่อง TP-52 ปุยฝ้ายใหญ่ 1 แถว 50 ใบ</v>
          </cell>
          <cell r="C13" t="str">
            <v>แถว</v>
          </cell>
          <cell r="H13">
            <v>11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</row>
        <row r="14">
          <cell r="A14" t="str">
            <v>02-BB115-1</v>
          </cell>
          <cell r="B14" t="str">
            <v>กล่องS&amp;C-301 ปุยฝ้ายเล็ก  1แถว100ใบ</v>
          </cell>
          <cell r="C14" t="str">
            <v>แถว</v>
          </cell>
          <cell r="H14">
            <v>14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</row>
        <row r="15">
          <cell r="A15" t="str">
            <v>02-BB116</v>
          </cell>
          <cell r="B15" t="str">
            <v>กล่อง Carton 52*52*36 ใส่ชิฟฟ่อน+ปังแถว กล่องบิ๊ก</v>
          </cell>
          <cell r="C15" t="str">
            <v>ใบ</v>
          </cell>
          <cell r="D15">
            <v>0</v>
          </cell>
          <cell r="F15" t="str">
            <v>-</v>
          </cell>
          <cell r="G15" t="str">
            <v>20-25 วัน</v>
          </cell>
          <cell r="H15">
            <v>1570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10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20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10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40</v>
          </cell>
        </row>
        <row r="16">
          <cell r="A16" t="str">
            <v>02-BB117</v>
          </cell>
          <cell r="B16" t="str">
            <v>กล่อง Carton 25*50*28ใส่ชิฟฟ่อน20 (FF) (ใส่ชิฟฟ่อนแม็คโคร)</v>
          </cell>
          <cell r="C16" t="str">
            <v>ใบ</v>
          </cell>
          <cell r="D16">
            <v>0</v>
          </cell>
          <cell r="F16" t="str">
            <v>-</v>
          </cell>
          <cell r="G16" t="str">
            <v>20-25 วัน</v>
          </cell>
          <cell r="H16">
            <v>4144</v>
          </cell>
          <cell r="AN16">
            <v>0</v>
          </cell>
          <cell r="AO16">
            <v>100</v>
          </cell>
          <cell r="AP16">
            <v>60</v>
          </cell>
          <cell r="AQ16">
            <v>0</v>
          </cell>
          <cell r="AR16">
            <v>0</v>
          </cell>
          <cell r="AS16">
            <v>0</v>
          </cell>
          <cell r="AT16">
            <v>100</v>
          </cell>
          <cell r="AU16">
            <v>0</v>
          </cell>
          <cell r="AV16">
            <v>0</v>
          </cell>
          <cell r="AW16">
            <v>60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100</v>
          </cell>
          <cell r="BD16">
            <v>0</v>
          </cell>
          <cell r="BE16">
            <v>60</v>
          </cell>
          <cell r="BF16">
            <v>0</v>
          </cell>
          <cell r="BG16">
            <v>100</v>
          </cell>
          <cell r="BH16">
            <v>0</v>
          </cell>
          <cell r="BI16">
            <v>0</v>
          </cell>
          <cell r="BJ16">
            <v>60</v>
          </cell>
          <cell r="BK16">
            <v>0</v>
          </cell>
          <cell r="BL16">
            <v>80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100</v>
          </cell>
          <cell r="BR16">
            <v>240</v>
          </cell>
          <cell r="BS16">
            <v>0</v>
          </cell>
          <cell r="BT16">
            <v>1060</v>
          </cell>
        </row>
        <row r="17">
          <cell r="A17" t="str">
            <v>02-BB118</v>
          </cell>
          <cell r="B17" t="str">
            <v>กล่องขนมเปี๊ยะวรรณวนัช 450 g.ห่อละ200ใบ</v>
          </cell>
          <cell r="C17" t="str">
            <v>ใบ</v>
          </cell>
          <cell r="D17">
            <v>0</v>
          </cell>
          <cell r="F17" t="str">
            <v>-</v>
          </cell>
          <cell r="G17" t="str">
            <v>15-20 วัน</v>
          </cell>
          <cell r="H17">
            <v>2000</v>
          </cell>
          <cell r="L17">
            <v>5000</v>
          </cell>
          <cell r="AN17">
            <v>5000</v>
          </cell>
          <cell r="AO17">
            <v>200</v>
          </cell>
          <cell r="AP17">
            <v>400</v>
          </cell>
          <cell r="AQ17">
            <v>0</v>
          </cell>
          <cell r="AR17">
            <v>0</v>
          </cell>
          <cell r="AS17">
            <v>0</v>
          </cell>
          <cell r="AT17">
            <v>200</v>
          </cell>
          <cell r="AU17">
            <v>0</v>
          </cell>
          <cell r="AV17">
            <v>0</v>
          </cell>
          <cell r="AW17">
            <v>200</v>
          </cell>
          <cell r="AX17">
            <v>200</v>
          </cell>
          <cell r="AY17">
            <v>0</v>
          </cell>
          <cell r="AZ17">
            <v>0</v>
          </cell>
          <cell r="BA17">
            <v>200</v>
          </cell>
          <cell r="BB17">
            <v>0</v>
          </cell>
          <cell r="BC17">
            <v>0</v>
          </cell>
          <cell r="BD17">
            <v>200</v>
          </cell>
          <cell r="BE17">
            <v>0</v>
          </cell>
          <cell r="BF17">
            <v>200</v>
          </cell>
          <cell r="BG17">
            <v>0</v>
          </cell>
          <cell r="BH17">
            <v>200</v>
          </cell>
          <cell r="BI17">
            <v>0</v>
          </cell>
          <cell r="BJ17">
            <v>0</v>
          </cell>
          <cell r="BK17">
            <v>200</v>
          </cell>
          <cell r="BL17">
            <v>0</v>
          </cell>
          <cell r="BM17">
            <v>0</v>
          </cell>
          <cell r="BN17">
            <v>200</v>
          </cell>
          <cell r="BO17">
            <v>0</v>
          </cell>
          <cell r="BP17">
            <v>0</v>
          </cell>
          <cell r="BQ17">
            <v>200</v>
          </cell>
          <cell r="BR17">
            <v>0</v>
          </cell>
          <cell r="BS17">
            <v>0</v>
          </cell>
          <cell r="BT17">
            <v>2600</v>
          </cell>
        </row>
        <row r="18">
          <cell r="A18" t="str">
            <v>02-BB14</v>
          </cell>
          <cell r="B18" t="str">
            <v>กล่องเค้กเบาหวิวรสใบเตย 300g. New(1ห่อ*200ใบ)</v>
          </cell>
          <cell r="C18" t="str">
            <v>ใบ</v>
          </cell>
          <cell r="D18">
            <v>0</v>
          </cell>
          <cell r="E18" t="str">
            <v>RJ</v>
          </cell>
          <cell r="F18" t="str">
            <v>-</v>
          </cell>
          <cell r="G18" t="str">
            <v>20-25 วัน</v>
          </cell>
          <cell r="H18">
            <v>11500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</row>
        <row r="19">
          <cell r="A19" t="str">
            <v>02-BB17</v>
          </cell>
          <cell r="B19" t="str">
            <v>กล่องเค้กเบาหวิวรสฝอยทอง 300g. New(1ห่อ*200ใบ)</v>
          </cell>
          <cell r="C19" t="str">
            <v>ใบ</v>
          </cell>
          <cell r="D19">
            <v>0</v>
          </cell>
          <cell r="F19" t="str">
            <v>-</v>
          </cell>
          <cell r="G19" t="str">
            <v>20-25 วัน</v>
          </cell>
          <cell r="H19">
            <v>4290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</row>
        <row r="20">
          <cell r="A20" t="str">
            <v>02-BB18</v>
          </cell>
          <cell r="B20" t="str">
            <v>กล่องเค้กเบาหวิว(ล)มะพร้าวน้ำหอม  100g. New(1ห่อ*200ใบ)</v>
          </cell>
          <cell r="C20" t="str">
            <v>ใบ</v>
          </cell>
          <cell r="D20">
            <v>0</v>
          </cell>
          <cell r="F20" t="str">
            <v>-</v>
          </cell>
          <cell r="G20" t="str">
            <v>20-25 วัน</v>
          </cell>
          <cell r="H20">
            <v>10800</v>
          </cell>
          <cell r="AN20">
            <v>0</v>
          </cell>
          <cell r="AO20">
            <v>200</v>
          </cell>
          <cell r="AP20">
            <v>200</v>
          </cell>
          <cell r="AQ20">
            <v>0</v>
          </cell>
          <cell r="AR20">
            <v>200</v>
          </cell>
          <cell r="AS20">
            <v>0</v>
          </cell>
          <cell r="AT20">
            <v>200</v>
          </cell>
          <cell r="AU20">
            <v>0</v>
          </cell>
          <cell r="AV20">
            <v>200</v>
          </cell>
          <cell r="AW20">
            <v>200</v>
          </cell>
          <cell r="AX20">
            <v>200</v>
          </cell>
          <cell r="AY20">
            <v>0</v>
          </cell>
          <cell r="AZ20">
            <v>200</v>
          </cell>
          <cell r="BA20">
            <v>200</v>
          </cell>
          <cell r="BB20">
            <v>0</v>
          </cell>
          <cell r="BC20">
            <v>0</v>
          </cell>
          <cell r="BD20">
            <v>200</v>
          </cell>
          <cell r="BE20">
            <v>0</v>
          </cell>
          <cell r="BF20">
            <v>800</v>
          </cell>
          <cell r="BG20">
            <v>200</v>
          </cell>
          <cell r="BH20">
            <v>0</v>
          </cell>
          <cell r="BI20">
            <v>0</v>
          </cell>
          <cell r="BJ20">
            <v>0</v>
          </cell>
          <cell r="BK20">
            <v>200</v>
          </cell>
          <cell r="BL20">
            <v>200</v>
          </cell>
          <cell r="BM20">
            <v>0</v>
          </cell>
          <cell r="BN20">
            <v>200</v>
          </cell>
          <cell r="BO20">
            <v>200</v>
          </cell>
          <cell r="BP20">
            <v>0</v>
          </cell>
          <cell r="BQ20">
            <v>0</v>
          </cell>
          <cell r="BR20">
            <v>0</v>
          </cell>
          <cell r="BS20">
            <v>200</v>
          </cell>
          <cell r="BT20">
            <v>4000</v>
          </cell>
        </row>
        <row r="21">
          <cell r="A21">
            <v>1020501008</v>
          </cell>
          <cell r="B21" t="str">
            <v>กล่องเค้กเบาหวิว(ล)มะพร้าวน้ำหอม  100g. New(1ห่อ*200ใบ) รหัสไหม่</v>
          </cell>
          <cell r="C21" t="str">
            <v>ใบ</v>
          </cell>
          <cell r="D21">
            <v>0</v>
          </cell>
          <cell r="F21" t="str">
            <v>-</v>
          </cell>
          <cell r="G21" t="str">
            <v>20-25 วัน</v>
          </cell>
          <cell r="H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</row>
        <row r="22">
          <cell r="A22" t="str">
            <v>02-BB21</v>
          </cell>
          <cell r="B22" t="str">
            <v>กล่องขนมปังสังขยารสเตยหอม(ห่อ*200ใบ)</v>
          </cell>
          <cell r="C22" t="str">
            <v>ใบ</v>
          </cell>
          <cell r="D22">
            <v>0</v>
          </cell>
          <cell r="F22" t="str">
            <v>-</v>
          </cell>
          <cell r="G22" t="str">
            <v>20-25 วัน</v>
          </cell>
          <cell r="H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</row>
        <row r="23">
          <cell r="A23" t="str">
            <v>02-BB22</v>
          </cell>
          <cell r="B23" t="str">
            <v>กล่องเค้กเบาหวิวกล้วยมะพร้าวเผา 300g. New(1ห่อ*200ใบ)</v>
          </cell>
          <cell r="C23" t="str">
            <v>ใบ</v>
          </cell>
          <cell r="D23">
            <v>0</v>
          </cell>
          <cell r="F23" t="str">
            <v>-</v>
          </cell>
          <cell r="G23" t="str">
            <v>20-25 วัน</v>
          </cell>
          <cell r="H23">
            <v>1400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</row>
        <row r="24">
          <cell r="A24" t="str">
            <v>02-BB23</v>
          </cell>
          <cell r="B24" t="str">
            <v>กล่องเค้กเบาหวิวมะพร้าวน้ำหอม 300g. New(1ห่อ*200ใบ)</v>
          </cell>
          <cell r="C24" t="str">
            <v>ใบ</v>
          </cell>
          <cell r="D24">
            <v>0</v>
          </cell>
          <cell r="F24" t="str">
            <v>-</v>
          </cell>
          <cell r="G24" t="str">
            <v>20-25 วัน</v>
          </cell>
          <cell r="H24">
            <v>2900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200</v>
          </cell>
          <cell r="BT24">
            <v>200</v>
          </cell>
        </row>
        <row r="25">
          <cell r="A25" t="str">
            <v>02-BB26</v>
          </cell>
          <cell r="B25" t="str">
            <v>กล่องเค้กเบาหวิวตาลหอม 100g. New(1ห่อ*300ใบ)</v>
          </cell>
          <cell r="C25" t="str">
            <v>ใบ</v>
          </cell>
          <cell r="D25">
            <v>0</v>
          </cell>
          <cell r="E25" t="str">
            <v>RJ</v>
          </cell>
          <cell r="F25" t="str">
            <v>-</v>
          </cell>
          <cell r="G25" t="str">
            <v>20-25 วัน</v>
          </cell>
          <cell r="H25">
            <v>4730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130</v>
          </cell>
          <cell r="BF25">
            <v>200</v>
          </cell>
          <cell r="BG25">
            <v>0</v>
          </cell>
          <cell r="BH25">
            <v>0</v>
          </cell>
          <cell r="BI25">
            <v>0</v>
          </cell>
          <cell r="BJ25">
            <v>300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300</v>
          </cell>
          <cell r="BP25">
            <v>0</v>
          </cell>
          <cell r="BQ25">
            <v>0</v>
          </cell>
          <cell r="BR25">
            <v>0</v>
          </cell>
          <cell r="BS25">
            <v>300</v>
          </cell>
          <cell r="BT25">
            <v>1230</v>
          </cell>
        </row>
        <row r="26">
          <cell r="A26" t="str">
            <v>02-BB28</v>
          </cell>
          <cell r="B26" t="str">
            <v>กล่อง CARTON ทรง B</v>
          </cell>
          <cell r="C26" t="str">
            <v>ใบ</v>
          </cell>
          <cell r="D26">
            <v>0</v>
          </cell>
          <cell r="F26" t="str">
            <v>-</v>
          </cell>
          <cell r="G26" t="str">
            <v>7-10 วัน</v>
          </cell>
          <cell r="H26">
            <v>9460</v>
          </cell>
          <cell r="AN26">
            <v>0</v>
          </cell>
          <cell r="AO26">
            <v>40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40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40</v>
          </cell>
          <cell r="BL26">
            <v>0</v>
          </cell>
          <cell r="BM26">
            <v>0</v>
          </cell>
          <cell r="BN26">
            <v>0</v>
          </cell>
          <cell r="BO26">
            <v>40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160</v>
          </cell>
        </row>
        <row r="27">
          <cell r="A27" t="str">
            <v>02-BB31</v>
          </cell>
          <cell r="B27" t="str">
            <v>กล่อง CARTON ทรงสูง</v>
          </cell>
          <cell r="C27" t="str">
            <v>ใบ</v>
          </cell>
          <cell r="D27">
            <v>0</v>
          </cell>
          <cell r="F27" t="str">
            <v>-</v>
          </cell>
          <cell r="G27" t="str">
            <v>7-10 วัน</v>
          </cell>
          <cell r="H27">
            <v>4390</v>
          </cell>
          <cell r="AN27">
            <v>0</v>
          </cell>
          <cell r="AO27">
            <v>0</v>
          </cell>
          <cell r="AP27">
            <v>300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300</v>
          </cell>
          <cell r="AW27">
            <v>0</v>
          </cell>
          <cell r="AX27">
            <v>320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200</v>
          </cell>
          <cell r="BE27">
            <v>0</v>
          </cell>
          <cell r="BF27">
            <v>0</v>
          </cell>
          <cell r="BG27">
            <v>200</v>
          </cell>
          <cell r="BH27">
            <v>0</v>
          </cell>
          <cell r="BI27">
            <v>0</v>
          </cell>
          <cell r="BJ27">
            <v>0</v>
          </cell>
          <cell r="BK27">
            <v>300</v>
          </cell>
          <cell r="BL27">
            <v>0</v>
          </cell>
          <cell r="BM27">
            <v>200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2570</v>
          </cell>
          <cell r="BS27">
            <v>0</v>
          </cell>
          <cell r="BT27">
            <v>4390</v>
          </cell>
        </row>
        <row r="28">
          <cell r="A28">
            <v>1020501011</v>
          </cell>
          <cell r="B28" t="str">
            <v>กล่อง CARTON ทรงสูง รหัสไหม่</v>
          </cell>
          <cell r="C28" t="str">
            <v>ใบ</v>
          </cell>
          <cell r="D28">
            <v>0</v>
          </cell>
          <cell r="F28" t="str">
            <v>-</v>
          </cell>
          <cell r="G28" t="str">
            <v>20-25 วัน</v>
          </cell>
          <cell r="H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</row>
        <row r="29">
          <cell r="A29" t="str">
            <v>02-BB32</v>
          </cell>
          <cell r="B29" t="str">
            <v>กล่อง CARTON ทรงเตี้ย</v>
          </cell>
          <cell r="C29" t="str">
            <v>ใบ</v>
          </cell>
          <cell r="D29">
            <v>0</v>
          </cell>
          <cell r="F29" t="str">
            <v>-</v>
          </cell>
          <cell r="G29" t="str">
            <v>7-10 วัน</v>
          </cell>
          <cell r="H29">
            <v>4350</v>
          </cell>
          <cell r="AN29">
            <v>0</v>
          </cell>
          <cell r="AO29">
            <v>300</v>
          </cell>
          <cell r="AP29">
            <v>0</v>
          </cell>
          <cell r="AQ29">
            <v>0</v>
          </cell>
          <cell r="AR29">
            <v>0</v>
          </cell>
          <cell r="AS29">
            <v>800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200</v>
          </cell>
          <cell r="BA29">
            <v>0</v>
          </cell>
          <cell r="BB29">
            <v>0</v>
          </cell>
          <cell r="BC29">
            <v>0</v>
          </cell>
          <cell r="BD29">
            <v>500</v>
          </cell>
          <cell r="BE29">
            <v>0</v>
          </cell>
          <cell r="BF29">
            <v>0</v>
          </cell>
          <cell r="BG29">
            <v>0</v>
          </cell>
          <cell r="BH29">
            <v>200</v>
          </cell>
          <cell r="BI29">
            <v>0</v>
          </cell>
          <cell r="BJ29">
            <v>0</v>
          </cell>
          <cell r="BK29">
            <v>300</v>
          </cell>
          <cell r="BL29">
            <v>0</v>
          </cell>
          <cell r="BM29">
            <v>200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1530</v>
          </cell>
          <cell r="BS29">
            <v>0</v>
          </cell>
          <cell r="BT29">
            <v>4030</v>
          </cell>
        </row>
        <row r="30">
          <cell r="A30">
            <v>1020501012</v>
          </cell>
          <cell r="B30" t="str">
            <v>กล่อง CARTON ทรงเตี้ย รหัสไหม่</v>
          </cell>
          <cell r="C30" t="str">
            <v>ใบ</v>
          </cell>
          <cell r="D30">
            <v>0</v>
          </cell>
          <cell r="F30" t="str">
            <v>-</v>
          </cell>
          <cell r="G30" t="str">
            <v>20-25 วัน</v>
          </cell>
          <cell r="H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</row>
        <row r="31">
          <cell r="A31" t="str">
            <v>02-BB33</v>
          </cell>
          <cell r="B31" t="str">
            <v>กล่อง CARTON ทรงยาว</v>
          </cell>
          <cell r="C31" t="str">
            <v>ใบ</v>
          </cell>
          <cell r="D31">
            <v>0</v>
          </cell>
          <cell r="F31" t="str">
            <v>-</v>
          </cell>
          <cell r="G31" t="str">
            <v>7-10 วัน</v>
          </cell>
          <cell r="H31">
            <v>6120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320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200</v>
          </cell>
          <cell r="BH31">
            <v>0</v>
          </cell>
          <cell r="BI31">
            <v>0</v>
          </cell>
          <cell r="BJ31">
            <v>0</v>
          </cell>
          <cell r="BK31">
            <v>300</v>
          </cell>
          <cell r="BL31">
            <v>0</v>
          </cell>
          <cell r="BM31">
            <v>200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1020</v>
          </cell>
        </row>
        <row r="32">
          <cell r="A32" t="str">
            <v>02-BB34</v>
          </cell>
          <cell r="B32" t="str">
            <v>กล่องท๊อฟฟี่ถั่วกระดาษ(ห่อ*50ใบ)</v>
          </cell>
          <cell r="C32" t="str">
            <v>ใบ</v>
          </cell>
          <cell r="D32">
            <v>0</v>
          </cell>
          <cell r="F32" t="str">
            <v>-</v>
          </cell>
          <cell r="G32" t="str">
            <v>15-20 วัน</v>
          </cell>
          <cell r="H32">
            <v>2600</v>
          </cell>
          <cell r="AN32">
            <v>0</v>
          </cell>
          <cell r="AO32">
            <v>0</v>
          </cell>
          <cell r="AP32">
            <v>50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50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100</v>
          </cell>
        </row>
        <row r="33">
          <cell r="A33" t="str">
            <v>02-BB35</v>
          </cell>
          <cell r="B33" t="str">
            <v>กล่องชิฟฟ่อนสอดใส้รวมรส 3 ชิ้น ห่อละ300</v>
          </cell>
          <cell r="C33" t="str">
            <v>ใบ</v>
          </cell>
          <cell r="D33">
            <v>0</v>
          </cell>
          <cell r="F33" t="str">
            <v>-</v>
          </cell>
          <cell r="G33" t="str">
            <v>20-25 วัน</v>
          </cell>
          <cell r="H33">
            <v>15000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600</v>
          </cell>
          <cell r="AT33">
            <v>300</v>
          </cell>
          <cell r="AU33">
            <v>0</v>
          </cell>
          <cell r="AV33">
            <v>300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300</v>
          </cell>
          <cell r="BB33">
            <v>0</v>
          </cell>
          <cell r="BC33">
            <v>0</v>
          </cell>
          <cell r="BD33">
            <v>0</v>
          </cell>
          <cell r="BE33">
            <v>300</v>
          </cell>
          <cell r="BF33">
            <v>0</v>
          </cell>
          <cell r="BG33">
            <v>0</v>
          </cell>
          <cell r="BH33">
            <v>300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2100</v>
          </cell>
        </row>
        <row r="34">
          <cell r="A34">
            <v>1020501015</v>
          </cell>
          <cell r="B34" t="str">
            <v>กล่องชิฟฟ่อนสอดใส้รวมรส 3 ชิ้น ห่อละ300 รหัสไหม่</v>
          </cell>
          <cell r="C34" t="str">
            <v>ใบ</v>
          </cell>
          <cell r="D34">
            <v>0</v>
          </cell>
          <cell r="F34" t="str">
            <v>-</v>
          </cell>
          <cell r="G34" t="str">
            <v>20-25 วัน</v>
          </cell>
          <cell r="H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</row>
        <row r="35">
          <cell r="A35" t="str">
            <v>02-BB36</v>
          </cell>
          <cell r="B35" t="str">
            <v>กล่องชิฟฟ่อนสอดใส้ 5 ชิ้น(1ห่อ*200ใบ)</v>
          </cell>
          <cell r="C35" t="str">
            <v>ใบ</v>
          </cell>
          <cell r="D35">
            <v>0</v>
          </cell>
          <cell r="F35" t="str">
            <v>-</v>
          </cell>
          <cell r="G35" t="str">
            <v>20-25 วัน</v>
          </cell>
          <cell r="H35">
            <v>3200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200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200</v>
          </cell>
        </row>
        <row r="36">
          <cell r="A36" t="str">
            <v>02-BB37</v>
          </cell>
          <cell r="B36" t="str">
            <v>กล่องชิฟฟ่อนสอดไส้สีน้ำตาล 8 ชิ้น (ญ)(1ห่อ*100ใบ)</v>
          </cell>
          <cell r="C36" t="str">
            <v>ใบ</v>
          </cell>
          <cell r="D36">
            <v>0</v>
          </cell>
          <cell r="F36" t="str">
            <v>-</v>
          </cell>
          <cell r="G36" t="str">
            <v>20-25 วัน</v>
          </cell>
          <cell r="H36">
            <v>2600</v>
          </cell>
          <cell r="AN36">
            <v>0</v>
          </cell>
          <cell r="AO36">
            <v>100</v>
          </cell>
          <cell r="AP36">
            <v>100</v>
          </cell>
          <cell r="AQ36">
            <v>0</v>
          </cell>
          <cell r="AR36">
            <v>100</v>
          </cell>
          <cell r="AS36">
            <v>100</v>
          </cell>
          <cell r="AT36">
            <v>0</v>
          </cell>
          <cell r="AU36">
            <v>0</v>
          </cell>
          <cell r="AV36">
            <v>100</v>
          </cell>
          <cell r="AW36">
            <v>100</v>
          </cell>
          <cell r="AX36">
            <v>0</v>
          </cell>
          <cell r="AY36">
            <v>0</v>
          </cell>
          <cell r="AZ36">
            <v>100</v>
          </cell>
          <cell r="BA36">
            <v>0</v>
          </cell>
          <cell r="BB36">
            <v>0</v>
          </cell>
          <cell r="BC36">
            <v>100</v>
          </cell>
          <cell r="BD36">
            <v>100</v>
          </cell>
          <cell r="BE36">
            <v>0</v>
          </cell>
          <cell r="BF36">
            <v>200</v>
          </cell>
          <cell r="BG36">
            <v>100</v>
          </cell>
          <cell r="BH36">
            <v>0</v>
          </cell>
          <cell r="BI36">
            <v>0</v>
          </cell>
          <cell r="BJ36">
            <v>100</v>
          </cell>
          <cell r="BK36">
            <v>100</v>
          </cell>
          <cell r="BL36">
            <v>0</v>
          </cell>
          <cell r="BM36">
            <v>100</v>
          </cell>
          <cell r="BN36">
            <v>0</v>
          </cell>
          <cell r="BO36">
            <v>100</v>
          </cell>
          <cell r="BP36">
            <v>0</v>
          </cell>
          <cell r="BQ36">
            <v>0</v>
          </cell>
          <cell r="BR36">
            <v>150</v>
          </cell>
          <cell r="BS36">
            <v>0</v>
          </cell>
          <cell r="BT36">
            <v>1750</v>
          </cell>
        </row>
        <row r="37">
          <cell r="A37">
            <v>1020501016</v>
          </cell>
          <cell r="B37" t="str">
            <v>กล่องชิฟฟ่อนสอดไส้สีน้ำตาล 8 ชิ้น (ญ)(1ห่อ*100ใบ) รหัสไหม่</v>
          </cell>
          <cell r="C37" t="str">
            <v>ใบ</v>
          </cell>
          <cell r="H37">
            <v>0</v>
          </cell>
          <cell r="AI37">
            <v>3050</v>
          </cell>
          <cell r="AN37">
            <v>3050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</row>
        <row r="38">
          <cell r="A38" t="str">
            <v>02-BB40</v>
          </cell>
          <cell r="B38" t="str">
            <v>กล่องชิฟฟ่อนรวมรส 4 ชิ้น เก่าห่อ (1ห่อ*300ใบ)</v>
          </cell>
          <cell r="C38" t="str">
            <v>ใบ</v>
          </cell>
          <cell r="D38">
            <v>0</v>
          </cell>
          <cell r="F38" t="str">
            <v>-</v>
          </cell>
          <cell r="G38" t="str">
            <v>20-25 วัน</v>
          </cell>
          <cell r="H38">
            <v>5501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300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300</v>
          </cell>
        </row>
        <row r="39">
          <cell r="A39" t="str">
            <v>02-BB41</v>
          </cell>
          <cell r="B39" t="str">
            <v>กล่องชิฟฟ่อนรวมรส 8 ชิ้น (เก่าห่อ)1ห่อ*100ใบ</v>
          </cell>
          <cell r="C39" t="str">
            <v>ใบ</v>
          </cell>
          <cell r="D39">
            <v>0</v>
          </cell>
          <cell r="F39" t="str">
            <v>-</v>
          </cell>
          <cell r="G39" t="str">
            <v>20-25 วัน</v>
          </cell>
          <cell r="H39">
            <v>8500</v>
          </cell>
          <cell r="AN39">
            <v>0</v>
          </cell>
          <cell r="AO39">
            <v>100</v>
          </cell>
          <cell r="AP39">
            <v>300</v>
          </cell>
          <cell r="AQ39">
            <v>0</v>
          </cell>
          <cell r="AR39">
            <v>0</v>
          </cell>
          <cell r="AS39">
            <v>200</v>
          </cell>
          <cell r="AT39">
            <v>0</v>
          </cell>
          <cell r="AU39">
            <v>0</v>
          </cell>
          <cell r="AV39">
            <v>0</v>
          </cell>
          <cell r="AW39">
            <v>100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  <cell r="BD39">
            <v>0</v>
          </cell>
          <cell r="BE39">
            <v>100</v>
          </cell>
          <cell r="BF39">
            <v>0</v>
          </cell>
          <cell r="BG39">
            <v>100</v>
          </cell>
          <cell r="BH39">
            <v>0</v>
          </cell>
          <cell r="BI39">
            <v>0</v>
          </cell>
          <cell r="BJ39">
            <v>0</v>
          </cell>
          <cell r="BK39">
            <v>100</v>
          </cell>
          <cell r="BL39">
            <v>0</v>
          </cell>
          <cell r="BM39">
            <v>100</v>
          </cell>
          <cell r="BN39">
            <v>0</v>
          </cell>
          <cell r="BO39">
            <v>0</v>
          </cell>
          <cell r="BP39">
            <v>0</v>
          </cell>
          <cell r="BQ39">
            <v>100</v>
          </cell>
          <cell r="BR39">
            <v>100</v>
          </cell>
          <cell r="BS39">
            <v>100</v>
          </cell>
          <cell r="BT39">
            <v>1500</v>
          </cell>
        </row>
        <row r="40">
          <cell r="A40" t="str">
            <v>02-BB42</v>
          </cell>
          <cell r="B40" t="str">
            <v>กล่องถาดวงกลม 8 ชิ้น (ใส่ชิฟฟ่อนรวมรสเก่าห่อ)1ห่อ*500ใบ</v>
          </cell>
          <cell r="C40" t="str">
            <v>ใบ</v>
          </cell>
          <cell r="D40">
            <v>0</v>
          </cell>
          <cell r="F40" t="str">
            <v>-</v>
          </cell>
          <cell r="G40" t="str">
            <v>20-25 วัน</v>
          </cell>
          <cell r="H40">
            <v>18000</v>
          </cell>
          <cell r="AN40">
            <v>0</v>
          </cell>
          <cell r="AO40">
            <v>500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500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500</v>
          </cell>
          <cell r="BS40">
            <v>0</v>
          </cell>
          <cell r="BT40">
            <v>1500</v>
          </cell>
        </row>
        <row r="41">
          <cell r="A41" t="str">
            <v>02-BB43</v>
          </cell>
          <cell r="B41" t="str">
            <v>กล่องชิฟฟ่อนรวมรส 4 ชิ้น NEW(1ห่อ*300ใบ)</v>
          </cell>
          <cell r="C41" t="str">
            <v>ใบ</v>
          </cell>
          <cell r="D41">
            <v>0</v>
          </cell>
          <cell r="F41" t="str">
            <v>-</v>
          </cell>
          <cell r="G41" t="str">
            <v>20-25 วัน</v>
          </cell>
          <cell r="H41">
            <v>17100</v>
          </cell>
          <cell r="L41">
            <v>6000</v>
          </cell>
          <cell r="AN41">
            <v>6000</v>
          </cell>
          <cell r="AO41">
            <v>0</v>
          </cell>
          <cell r="AP41">
            <v>1200</v>
          </cell>
          <cell r="AQ41">
            <v>0</v>
          </cell>
          <cell r="AR41">
            <v>0</v>
          </cell>
          <cell r="AS41">
            <v>900</v>
          </cell>
          <cell r="AT41">
            <v>300</v>
          </cell>
          <cell r="AU41">
            <v>0</v>
          </cell>
          <cell r="AV41">
            <v>0</v>
          </cell>
          <cell r="AW41">
            <v>0</v>
          </cell>
          <cell r="AX41">
            <v>300</v>
          </cell>
          <cell r="AY41">
            <v>900</v>
          </cell>
          <cell r="AZ41">
            <v>1200</v>
          </cell>
          <cell r="BA41">
            <v>600</v>
          </cell>
          <cell r="BB41">
            <v>0</v>
          </cell>
          <cell r="BC41">
            <v>0</v>
          </cell>
          <cell r="BD41">
            <v>600</v>
          </cell>
          <cell r="BE41">
            <v>0</v>
          </cell>
          <cell r="BF41">
            <v>0</v>
          </cell>
          <cell r="BG41">
            <v>300</v>
          </cell>
          <cell r="BH41">
            <v>0</v>
          </cell>
          <cell r="BI41">
            <v>0</v>
          </cell>
          <cell r="BJ41">
            <v>600</v>
          </cell>
          <cell r="BK41">
            <v>600</v>
          </cell>
          <cell r="BL41">
            <v>600</v>
          </cell>
          <cell r="BM41">
            <v>0</v>
          </cell>
          <cell r="BN41">
            <v>300</v>
          </cell>
          <cell r="BO41">
            <v>600</v>
          </cell>
          <cell r="BP41">
            <v>0</v>
          </cell>
          <cell r="BQ41">
            <v>600</v>
          </cell>
          <cell r="BR41">
            <v>0</v>
          </cell>
          <cell r="BS41">
            <v>0</v>
          </cell>
          <cell r="BT41">
            <v>9600</v>
          </cell>
        </row>
        <row r="42">
          <cell r="A42">
            <v>1020501019</v>
          </cell>
          <cell r="B42" t="str">
            <v>กล่องชิฟฟ่อนรวมรส 4 ชิ้น NEW(1ห่อ*300ใบ) รหัสไหม่</v>
          </cell>
          <cell r="C42" t="str">
            <v>ใบ</v>
          </cell>
          <cell r="D42">
            <v>0</v>
          </cell>
          <cell r="F42" t="str">
            <v>-</v>
          </cell>
          <cell r="G42" t="str">
            <v>20-25 วัน</v>
          </cell>
          <cell r="H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</row>
        <row r="43">
          <cell r="A43">
            <v>1020501038</v>
          </cell>
          <cell r="B43" t="str">
            <v>กล่องชิฟฟ่อนรวมรส 4 ชิ้น Amazon ห่อละ 300</v>
          </cell>
          <cell r="C43" t="str">
            <v>ใบ</v>
          </cell>
          <cell r="H43">
            <v>26400</v>
          </cell>
          <cell r="AN43">
            <v>0</v>
          </cell>
          <cell r="AO43">
            <v>0</v>
          </cell>
          <cell r="AP43">
            <v>900</v>
          </cell>
          <cell r="AQ43">
            <v>0</v>
          </cell>
          <cell r="AR43">
            <v>600</v>
          </cell>
          <cell r="AS43">
            <v>600</v>
          </cell>
          <cell r="AT43">
            <v>600</v>
          </cell>
          <cell r="AU43">
            <v>0</v>
          </cell>
          <cell r="AV43">
            <v>600</v>
          </cell>
          <cell r="AW43">
            <v>0</v>
          </cell>
          <cell r="AX43">
            <v>900</v>
          </cell>
          <cell r="AY43">
            <v>600</v>
          </cell>
          <cell r="AZ43">
            <v>600</v>
          </cell>
          <cell r="BA43">
            <v>600</v>
          </cell>
          <cell r="BB43">
            <v>0</v>
          </cell>
          <cell r="BC43">
            <v>0</v>
          </cell>
          <cell r="BD43">
            <v>600</v>
          </cell>
          <cell r="BE43">
            <v>0</v>
          </cell>
          <cell r="BF43">
            <v>300</v>
          </cell>
          <cell r="BG43">
            <v>600</v>
          </cell>
          <cell r="BH43">
            <v>600</v>
          </cell>
          <cell r="BI43">
            <v>0</v>
          </cell>
          <cell r="BJ43">
            <v>600</v>
          </cell>
          <cell r="BK43">
            <v>600</v>
          </cell>
          <cell r="BL43">
            <v>600</v>
          </cell>
          <cell r="BM43">
            <v>0</v>
          </cell>
          <cell r="BN43">
            <v>300</v>
          </cell>
          <cell r="BO43">
            <v>600</v>
          </cell>
          <cell r="BP43">
            <v>0</v>
          </cell>
          <cell r="BQ43">
            <v>300</v>
          </cell>
          <cell r="BR43">
            <v>600</v>
          </cell>
          <cell r="BS43">
            <v>0</v>
          </cell>
          <cell r="BT43">
            <v>11700</v>
          </cell>
        </row>
        <row r="44">
          <cell r="A44" t="str">
            <v>02-BB44</v>
          </cell>
          <cell r="B44" t="str">
            <v>กล่องชิฟฟ่อนรวมรส 8 ชิ้น (ญ) NEW(1ห่อ*100ใบ)</v>
          </cell>
          <cell r="C44" t="str">
            <v>ใบ</v>
          </cell>
          <cell r="D44">
            <v>0</v>
          </cell>
          <cell r="F44" t="str">
            <v>-</v>
          </cell>
          <cell r="G44" t="str">
            <v>20-25 วัน</v>
          </cell>
          <cell r="H44">
            <v>38760</v>
          </cell>
          <cell r="AN44">
            <v>0</v>
          </cell>
          <cell r="AO44">
            <v>500</v>
          </cell>
          <cell r="AP44">
            <v>1000</v>
          </cell>
          <cell r="AQ44">
            <v>0</v>
          </cell>
          <cell r="AR44">
            <v>500</v>
          </cell>
          <cell r="AS44">
            <v>1500</v>
          </cell>
          <cell r="AT44">
            <v>1000</v>
          </cell>
          <cell r="AU44">
            <v>0</v>
          </cell>
          <cell r="AV44">
            <v>800</v>
          </cell>
          <cell r="AW44">
            <v>800</v>
          </cell>
          <cell r="AX44">
            <v>100</v>
          </cell>
          <cell r="AY44">
            <v>1000</v>
          </cell>
          <cell r="AZ44">
            <v>1000</v>
          </cell>
          <cell r="BA44">
            <v>1000</v>
          </cell>
          <cell r="BB44">
            <v>0</v>
          </cell>
          <cell r="BC44">
            <v>500</v>
          </cell>
          <cell r="BD44">
            <v>1000</v>
          </cell>
          <cell r="BE44">
            <v>0</v>
          </cell>
          <cell r="BF44">
            <v>500</v>
          </cell>
          <cell r="BG44">
            <v>1000</v>
          </cell>
          <cell r="BH44">
            <v>1000</v>
          </cell>
          <cell r="BI44">
            <v>0</v>
          </cell>
          <cell r="BJ44">
            <v>1000</v>
          </cell>
          <cell r="BK44">
            <v>500</v>
          </cell>
          <cell r="BL44">
            <v>500</v>
          </cell>
          <cell r="BM44">
            <v>1000</v>
          </cell>
          <cell r="BN44">
            <v>8000</v>
          </cell>
          <cell r="BO44">
            <v>1000</v>
          </cell>
          <cell r="BP44">
            <v>0</v>
          </cell>
          <cell r="BQ44">
            <v>500</v>
          </cell>
          <cell r="BR44">
            <v>1000</v>
          </cell>
          <cell r="BS44">
            <v>1500</v>
          </cell>
          <cell r="BT44">
            <v>28200</v>
          </cell>
        </row>
        <row r="45">
          <cell r="A45">
            <v>1020501020</v>
          </cell>
          <cell r="B45" t="str">
            <v>กล่องชิฟฟ่อนรวมรส 8 ชิ้น (ญ) NEW(1ห่อ*100ใบ) รหัสไหม่</v>
          </cell>
          <cell r="C45" t="str">
            <v>ใบ</v>
          </cell>
          <cell r="H45">
            <v>0</v>
          </cell>
          <cell r="AF45">
            <v>30000</v>
          </cell>
          <cell r="AN45">
            <v>30000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</row>
        <row r="46">
          <cell r="A46" t="str">
            <v>02-BB46</v>
          </cell>
          <cell r="B46" t="str">
            <v>กล่องชิฟฟ่อนเค้กสอดไส้บลูเบอร์รี่ 6 ชิ้น(1ห่อ*100ใบ)</v>
          </cell>
          <cell r="C46" t="str">
            <v>ใบ</v>
          </cell>
          <cell r="D46">
            <v>0</v>
          </cell>
          <cell r="E46" t="str">
            <v>RJ</v>
          </cell>
          <cell r="F46" t="str">
            <v>-</v>
          </cell>
          <cell r="G46" t="str">
            <v>20-25 วัน</v>
          </cell>
          <cell r="H46">
            <v>75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</row>
        <row r="47">
          <cell r="A47" t="str">
            <v>02-BB47</v>
          </cell>
          <cell r="B47" t="str">
            <v>กล่องชิฟฟ่อนเค้กไส้แยมมะพร้าว 6 ชิ้น(1ห่อ*200ใบ)กล่องเขียว</v>
          </cell>
          <cell r="C47" t="str">
            <v>ใบ</v>
          </cell>
          <cell r="D47">
            <v>0</v>
          </cell>
          <cell r="F47" t="str">
            <v>-</v>
          </cell>
          <cell r="G47" t="str">
            <v>20-25 วัน</v>
          </cell>
          <cell r="H47">
            <v>16100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200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200</v>
          </cell>
        </row>
        <row r="48">
          <cell r="A48" t="str">
            <v>02-BB48</v>
          </cell>
          <cell r="B48" t="str">
            <v>กล่องชิฟฟ่อนเค้กสอดไส้รวมรส 6 ชิ้นแบบใหม่(1ห่อ*200ใบ)กล่องชมพู</v>
          </cell>
          <cell r="C48" t="str">
            <v>ใบ</v>
          </cell>
          <cell r="D48">
            <v>0</v>
          </cell>
          <cell r="F48" t="str">
            <v>-</v>
          </cell>
          <cell r="G48" t="str">
            <v>20-25 วัน</v>
          </cell>
          <cell r="H48">
            <v>17987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200</v>
          </cell>
          <cell r="AS48">
            <v>200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200</v>
          </cell>
          <cell r="AZ48">
            <v>0</v>
          </cell>
          <cell r="BA48">
            <v>200</v>
          </cell>
          <cell r="BB48">
            <v>0</v>
          </cell>
          <cell r="BC48">
            <v>200</v>
          </cell>
          <cell r="BD48">
            <v>0</v>
          </cell>
          <cell r="BE48">
            <v>0</v>
          </cell>
          <cell r="BF48">
            <v>0</v>
          </cell>
          <cell r="BG48">
            <v>200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200</v>
          </cell>
          <cell r="BN48">
            <v>200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1600</v>
          </cell>
        </row>
        <row r="49">
          <cell r="A49" t="str">
            <v>02-BB49</v>
          </cell>
          <cell r="B49" t="str">
            <v>กล่องชิฟฟ่อนเค้กสอดไส้สตรอว์เบอร์รี่ 6 ชิ้น(1ห่อ*100ใบ)</v>
          </cell>
          <cell r="C49" t="str">
            <v>ใบ</v>
          </cell>
          <cell r="D49">
            <v>0</v>
          </cell>
          <cell r="E49" t="str">
            <v>RJ</v>
          </cell>
          <cell r="F49" t="str">
            <v>-</v>
          </cell>
          <cell r="G49" t="str">
            <v>20-25 วัน</v>
          </cell>
          <cell r="H49">
            <v>100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</row>
        <row r="50">
          <cell r="A50" t="str">
            <v>02-BB51</v>
          </cell>
          <cell r="B50" t="str">
            <v>กล่องชิฟฟ่อนเค้กสอดไส้ฮอกไกโด 6 ชิ้น(1ห่อ*100ใบ)</v>
          </cell>
          <cell r="C50" t="str">
            <v>ใบ</v>
          </cell>
          <cell r="D50">
            <v>0</v>
          </cell>
          <cell r="F50" t="str">
            <v>-</v>
          </cell>
          <cell r="G50" t="str">
            <v>20-25 วัน</v>
          </cell>
          <cell r="H50">
            <v>2850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100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100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200</v>
          </cell>
        </row>
        <row r="51">
          <cell r="A51" t="str">
            <v>02-BB57</v>
          </cell>
          <cell r="B51" t="str">
            <v>กล่องชิฟฟ่อนเค้กสอดไส้ฝอยทองไส้ทะลัก 6 ชิ้น(1ห่อ*100ใบ)</v>
          </cell>
          <cell r="C51" t="str">
            <v>ใบ</v>
          </cell>
          <cell r="D51">
            <v>0</v>
          </cell>
          <cell r="F51" t="str">
            <v>-</v>
          </cell>
          <cell r="G51" t="str">
            <v>20-25 วัน</v>
          </cell>
          <cell r="H51">
            <v>3300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100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100</v>
          </cell>
          <cell r="BK51">
            <v>0</v>
          </cell>
          <cell r="BL51">
            <v>0</v>
          </cell>
          <cell r="BM51">
            <v>100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300</v>
          </cell>
        </row>
        <row r="52">
          <cell r="A52" t="str">
            <v>02-BB58</v>
          </cell>
          <cell r="B52" t="str">
            <v>กล่องเค้กโบราณ 4 ชิ้น ตัว-ฝา(1ห่อ*300ใบ)</v>
          </cell>
          <cell r="C52" t="str">
            <v>ใบ</v>
          </cell>
          <cell r="D52">
            <v>0</v>
          </cell>
          <cell r="F52" t="str">
            <v>-</v>
          </cell>
          <cell r="G52" t="str">
            <v>20-25 วัน</v>
          </cell>
          <cell r="H52">
            <v>5100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</row>
        <row r="53">
          <cell r="A53" t="str">
            <v>02-BB60</v>
          </cell>
          <cell r="B53" t="str">
            <v>กล่องชิฟฟ่อนเค้กสอดไส้ฝอยทอง 3 ชิ้น(1ห่อ*300ใบ)</v>
          </cell>
          <cell r="C53" t="str">
            <v>ใบ</v>
          </cell>
          <cell r="H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</row>
        <row r="54">
          <cell r="A54" t="str">
            <v>02-BB61</v>
          </cell>
          <cell r="B54" t="str">
            <v>กล่องเค้ก 2 ปอนด์</v>
          </cell>
          <cell r="C54" t="str">
            <v>ใบ</v>
          </cell>
          <cell r="H54">
            <v>60</v>
          </cell>
          <cell r="AE54">
            <v>200</v>
          </cell>
          <cell r="AN54">
            <v>200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</row>
        <row r="55">
          <cell r="A55" t="str">
            <v>02-BB62</v>
          </cell>
          <cell r="B55" t="str">
            <v>แผ่นรองเค้ก 2 ปอนด์</v>
          </cell>
          <cell r="C55" t="str">
            <v>ใบ</v>
          </cell>
          <cell r="H55">
            <v>60</v>
          </cell>
          <cell r="AE55">
            <v>200</v>
          </cell>
          <cell r="AN55">
            <v>200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</row>
        <row r="56">
          <cell r="A56" t="str">
            <v>02-BB64</v>
          </cell>
          <cell r="B56" t="str">
            <v xml:space="preserve">กล่อง L </v>
          </cell>
          <cell r="C56" t="str">
            <v>ใบ</v>
          </cell>
          <cell r="D56">
            <v>0</v>
          </cell>
          <cell r="F56" t="str">
            <v>-</v>
          </cell>
          <cell r="G56" t="str">
            <v>15-20 วัน</v>
          </cell>
          <cell r="H56">
            <v>470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10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10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20</v>
          </cell>
        </row>
        <row r="57">
          <cell r="A57" t="str">
            <v>02-BB71</v>
          </cell>
          <cell r="B57" t="str">
            <v>กล่องE62 ถาดหม้อแกง + ฝา ลังละ400 ใบ</v>
          </cell>
          <cell r="C57" t="str">
            <v>ใบ</v>
          </cell>
          <cell r="D57">
            <v>0</v>
          </cell>
          <cell r="F57" t="str">
            <v>79M230016327</v>
          </cell>
          <cell r="G57" t="str">
            <v>15-20 วัน</v>
          </cell>
          <cell r="H57">
            <v>4950</v>
          </cell>
          <cell r="AN57">
            <v>0</v>
          </cell>
          <cell r="AO57">
            <v>50</v>
          </cell>
          <cell r="AP57">
            <v>0</v>
          </cell>
          <cell r="AQ57">
            <v>0</v>
          </cell>
          <cell r="AR57">
            <v>50</v>
          </cell>
          <cell r="AS57">
            <v>0</v>
          </cell>
          <cell r="AT57">
            <v>0</v>
          </cell>
          <cell r="AU57">
            <v>0</v>
          </cell>
          <cell r="AV57">
            <v>50</v>
          </cell>
          <cell r="AW57">
            <v>50</v>
          </cell>
          <cell r="AX57">
            <v>0</v>
          </cell>
          <cell r="AY57">
            <v>50</v>
          </cell>
          <cell r="AZ57">
            <v>50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50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50</v>
          </cell>
          <cell r="BN57">
            <v>0</v>
          </cell>
          <cell r="BO57">
            <v>0</v>
          </cell>
          <cell r="BP57">
            <v>0</v>
          </cell>
          <cell r="BQ57">
            <v>50</v>
          </cell>
          <cell r="BR57">
            <v>0</v>
          </cell>
          <cell r="BS57">
            <v>0</v>
          </cell>
          <cell r="BT57">
            <v>450</v>
          </cell>
        </row>
        <row r="58">
          <cell r="A58" t="str">
            <v>02-BB73</v>
          </cell>
          <cell r="B58" t="str">
            <v>กล่องชิฟฟอนเค้ก 8 ชิ้น (มะลิ 1ห่อ*100ใบ) แบบห่อมือ</v>
          </cell>
          <cell r="C58" t="str">
            <v>ใบ</v>
          </cell>
          <cell r="D58">
            <v>0</v>
          </cell>
          <cell r="F58" t="str">
            <v>-</v>
          </cell>
          <cell r="G58" t="str">
            <v>20-25 วัน</v>
          </cell>
          <cell r="H58">
            <v>11725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</row>
        <row r="59">
          <cell r="A59" t="str">
            <v>02-BB74</v>
          </cell>
          <cell r="B59" t="str">
            <v xml:space="preserve">กล่องไปษณีย์ (F) ขนาด 30*45*20 </v>
          </cell>
          <cell r="C59" t="str">
            <v>ใบ</v>
          </cell>
          <cell r="D59">
            <v>0</v>
          </cell>
          <cell r="F59" t="str">
            <v>-</v>
          </cell>
          <cell r="G59" t="str">
            <v>15-20 วัน</v>
          </cell>
          <cell r="H59">
            <v>760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200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100</v>
          </cell>
          <cell r="BF59">
            <v>0</v>
          </cell>
          <cell r="BG59">
            <v>100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240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640</v>
          </cell>
        </row>
        <row r="60">
          <cell r="A60">
            <v>1020501027</v>
          </cell>
          <cell r="B60" t="str">
            <v>กล่องไปษณีย์ (F) ขนาด 30*45*21 รหัสไหม่</v>
          </cell>
          <cell r="C60" t="str">
            <v>ใบ</v>
          </cell>
          <cell r="D60">
            <v>0</v>
          </cell>
          <cell r="F60" t="str">
            <v>-</v>
          </cell>
          <cell r="G60" t="str">
            <v>20-25 วัน</v>
          </cell>
          <cell r="H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</row>
        <row r="61">
          <cell r="A61" t="str">
            <v>02-BB75</v>
          </cell>
          <cell r="B61" t="str">
            <v>กล่องชิฟฟ่อนสอดไส้เมล่อน 3 ชิ้น(1ห่อ*300ใบ)</v>
          </cell>
          <cell r="C61" t="str">
            <v>ใบ</v>
          </cell>
          <cell r="D61">
            <v>0</v>
          </cell>
          <cell r="F61" t="str">
            <v>-</v>
          </cell>
          <cell r="G61" t="str">
            <v>20-25 วัน</v>
          </cell>
          <cell r="H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</row>
        <row r="62">
          <cell r="A62" t="str">
            <v>02-BB76</v>
          </cell>
          <cell r="B62" t="str">
            <v>กล่อง Shack Box (ห่อ*300ใบ)</v>
          </cell>
          <cell r="C62" t="str">
            <v>ใบ</v>
          </cell>
          <cell r="D62">
            <v>0</v>
          </cell>
          <cell r="G62" t="str">
            <v>20-25 วัน</v>
          </cell>
          <cell r="H62">
            <v>11700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600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600</v>
          </cell>
        </row>
        <row r="63">
          <cell r="A63" t="str">
            <v>02-BB79</v>
          </cell>
          <cell r="B63" t="str">
            <v>กล่องชิฟฟ่อนเค้กสอดไส้มะพร้าว 3 ชิ้น Amazon (1ห่อ*200ใบ)</v>
          </cell>
          <cell r="C63" t="str">
            <v>ใบ</v>
          </cell>
          <cell r="D63">
            <v>0</v>
          </cell>
          <cell r="G63" t="str">
            <v>20-25 วัน</v>
          </cell>
          <cell r="H63">
            <v>13245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420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200</v>
          </cell>
          <cell r="BH63">
            <v>0</v>
          </cell>
          <cell r="BI63">
            <v>0</v>
          </cell>
          <cell r="BJ63">
            <v>425</v>
          </cell>
          <cell r="BK63">
            <v>0</v>
          </cell>
          <cell r="BL63">
            <v>0</v>
          </cell>
          <cell r="BM63">
            <v>0</v>
          </cell>
          <cell r="BN63">
            <v>200</v>
          </cell>
          <cell r="BO63">
            <v>0</v>
          </cell>
          <cell r="BP63">
            <v>0</v>
          </cell>
          <cell r="BQ63">
            <v>0</v>
          </cell>
          <cell r="BR63">
            <v>200</v>
          </cell>
          <cell r="BS63">
            <v>200</v>
          </cell>
          <cell r="BT63">
            <v>1645</v>
          </cell>
        </row>
        <row r="64">
          <cell r="A64" t="str">
            <v>02-BB85</v>
          </cell>
          <cell r="B64" t="str">
            <v>กล่องชิฟฟ่อนเค้กสอดไส้ครีมมะพร้าว 4 ชิ้น(1ห่อ*300ใบ)</v>
          </cell>
          <cell r="C64" t="str">
            <v>ใบ</v>
          </cell>
          <cell r="D64">
            <v>0</v>
          </cell>
          <cell r="F64" t="str">
            <v>-</v>
          </cell>
          <cell r="G64" t="str">
            <v>20-25 วัน</v>
          </cell>
          <cell r="H64">
            <v>1200</v>
          </cell>
          <cell r="L64">
            <v>6000</v>
          </cell>
          <cell r="AN64">
            <v>6000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300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300</v>
          </cell>
        </row>
        <row r="65">
          <cell r="A65" t="str">
            <v>02-BB95</v>
          </cell>
          <cell r="B65" t="str">
            <v>เค้กเบาหวิวรสเผือกหน้ามะพร้าวเผา 300g New(1ห่อ*200ใบ)</v>
          </cell>
          <cell r="C65" t="str">
            <v>ใบ</v>
          </cell>
          <cell r="D65">
            <v>0</v>
          </cell>
          <cell r="E65" t="str">
            <v>RJ</v>
          </cell>
          <cell r="F65" t="str">
            <v>-</v>
          </cell>
          <cell r="G65" t="str">
            <v>20-25 วัน</v>
          </cell>
          <cell r="H65">
            <v>2540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</row>
        <row r="66">
          <cell r="A66" t="str">
            <v>02-BB96</v>
          </cell>
          <cell r="B66" t="str">
            <v>เค้กเบาหวิวรสตาลหอม 300g New(1ห่อ*200ใบ)</v>
          </cell>
          <cell r="C66" t="str">
            <v>ใบ</v>
          </cell>
          <cell r="D66">
            <v>0</v>
          </cell>
          <cell r="E66" t="str">
            <v>RJ</v>
          </cell>
          <cell r="F66" t="str">
            <v>-</v>
          </cell>
          <cell r="G66" t="str">
            <v>20-25 วัน</v>
          </cell>
          <cell r="H66">
            <v>4800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</row>
        <row r="67">
          <cell r="A67" t="str">
            <v>02-BB97</v>
          </cell>
          <cell r="B67" t="str">
            <v>กล่องเค้กขาวเจาะ1/2ปอนด์</v>
          </cell>
          <cell r="C67" t="str">
            <v>ใบ</v>
          </cell>
          <cell r="D67">
            <v>0</v>
          </cell>
          <cell r="F67" t="str">
            <v>-</v>
          </cell>
          <cell r="G67" t="str">
            <v>15-20 วัน</v>
          </cell>
          <cell r="H67">
            <v>0</v>
          </cell>
          <cell r="AF67">
            <v>600</v>
          </cell>
          <cell r="AN67">
            <v>600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100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100</v>
          </cell>
        </row>
        <row r="68">
          <cell r="A68">
            <v>1020701001</v>
          </cell>
          <cell r="B68" t="str">
            <v>ฐานรองเค้ก 1/2 ปอนด์</v>
          </cell>
          <cell r="C68" t="str">
            <v>ใบ</v>
          </cell>
          <cell r="D68">
            <v>0</v>
          </cell>
          <cell r="F68" t="str">
            <v>-</v>
          </cell>
          <cell r="G68" t="str">
            <v>1 เดือน</v>
          </cell>
          <cell r="H68">
            <v>40</v>
          </cell>
          <cell r="AF68">
            <v>600</v>
          </cell>
          <cell r="AN68">
            <v>600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100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100</v>
          </cell>
        </row>
        <row r="69">
          <cell r="A69" t="str">
            <v>02-BBS05-1</v>
          </cell>
          <cell r="B69" t="str">
            <v>ถุงเซนวิส OPPA 23.5x23cmx30mic ไม่พิมพ์(จัมโบ้)</v>
          </cell>
          <cell r="C69" t="str">
            <v>กิโลกรัม</v>
          </cell>
          <cell r="D69">
            <v>0</v>
          </cell>
          <cell r="F69" t="str">
            <v>-</v>
          </cell>
          <cell r="G69" t="str">
            <v>15-20 วัน</v>
          </cell>
          <cell r="H69">
            <v>150</v>
          </cell>
          <cell r="AN69">
            <v>0</v>
          </cell>
          <cell r="AO69">
            <v>90</v>
          </cell>
          <cell r="AP69">
            <v>60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150</v>
          </cell>
        </row>
        <row r="70">
          <cell r="A70" t="str">
            <v>1060101001-1</v>
          </cell>
          <cell r="B70" t="str">
            <v>ถุงเซนวิส OPPA 23.5x23cmx30mic ไม่พิมพ์(จัมโบ้) รหัสไหม่</v>
          </cell>
          <cell r="C70" t="str">
            <v>กิโลกรัม</v>
          </cell>
          <cell r="D70">
            <v>0</v>
          </cell>
          <cell r="H70">
            <v>0</v>
          </cell>
          <cell r="N70">
            <v>150</v>
          </cell>
          <cell r="U70">
            <v>302</v>
          </cell>
          <cell r="AN70">
            <v>452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30</v>
          </cell>
          <cell r="AU70">
            <v>0</v>
          </cell>
          <cell r="AV70">
            <v>0</v>
          </cell>
          <cell r="AW70">
            <v>30</v>
          </cell>
          <cell r="AX70">
            <v>0</v>
          </cell>
          <cell r="AY70">
            <v>30</v>
          </cell>
          <cell r="AZ70">
            <v>30</v>
          </cell>
          <cell r="BA70">
            <v>60</v>
          </cell>
          <cell r="BB70">
            <v>0</v>
          </cell>
          <cell r="BC70">
            <v>30</v>
          </cell>
          <cell r="BD70">
            <v>0</v>
          </cell>
          <cell r="BE70">
            <v>30</v>
          </cell>
          <cell r="BF70">
            <v>0</v>
          </cell>
          <cell r="BG70">
            <v>32</v>
          </cell>
          <cell r="BH70">
            <v>60</v>
          </cell>
          <cell r="BI70">
            <v>0</v>
          </cell>
          <cell r="BJ70">
            <v>30</v>
          </cell>
          <cell r="BK70">
            <v>30</v>
          </cell>
          <cell r="BL70">
            <v>30</v>
          </cell>
          <cell r="BM70">
            <v>30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452</v>
          </cell>
        </row>
        <row r="71">
          <cell r="A71" t="str">
            <v>02-BBS06</v>
          </cell>
          <cell r="B71" t="str">
            <v>กล่อง PET เซนวิสใหญ่ (XL) 1ลังx400 เลิกใช้</v>
          </cell>
          <cell r="C71" t="str">
            <v>ใบ</v>
          </cell>
          <cell r="D71">
            <v>0</v>
          </cell>
          <cell r="F71" t="str">
            <v>6609125,66092576,6608244</v>
          </cell>
          <cell r="G71" t="str">
            <v>15-20 วัน</v>
          </cell>
          <cell r="H71">
            <v>68000</v>
          </cell>
          <cell r="L71">
            <v>57600</v>
          </cell>
          <cell r="P71">
            <v>57600</v>
          </cell>
          <cell r="S71">
            <v>40400</v>
          </cell>
          <cell r="T71">
            <v>57600</v>
          </cell>
          <cell r="AB71">
            <v>20000</v>
          </cell>
          <cell r="AC71">
            <v>20400</v>
          </cell>
          <cell r="AE71">
            <v>20200</v>
          </cell>
          <cell r="AG71">
            <v>25000</v>
          </cell>
          <cell r="AI71">
            <v>14400</v>
          </cell>
          <cell r="AN71">
            <v>313200</v>
          </cell>
          <cell r="AO71">
            <v>21200</v>
          </cell>
          <cell r="AP71">
            <v>16500</v>
          </cell>
          <cell r="AQ71">
            <v>0</v>
          </cell>
          <cell r="AR71">
            <v>18000</v>
          </cell>
          <cell r="AS71">
            <v>19200</v>
          </cell>
          <cell r="AT71">
            <v>27200</v>
          </cell>
          <cell r="AU71">
            <v>0</v>
          </cell>
          <cell r="AV71">
            <v>12800</v>
          </cell>
          <cell r="AW71">
            <v>14400</v>
          </cell>
          <cell r="AX71">
            <v>12400</v>
          </cell>
          <cell r="AY71">
            <v>13200</v>
          </cell>
          <cell r="AZ71">
            <v>15600</v>
          </cell>
          <cell r="BA71">
            <v>23200</v>
          </cell>
          <cell r="BB71">
            <v>0</v>
          </cell>
          <cell r="BC71">
            <v>12000</v>
          </cell>
          <cell r="BD71">
            <v>14000</v>
          </cell>
          <cell r="BE71">
            <v>14800</v>
          </cell>
          <cell r="BF71">
            <v>14900</v>
          </cell>
          <cell r="BG71">
            <v>17300</v>
          </cell>
          <cell r="BH71">
            <v>17500</v>
          </cell>
          <cell r="BI71">
            <v>0</v>
          </cell>
          <cell r="BJ71">
            <v>19200</v>
          </cell>
          <cell r="BK71">
            <v>12000</v>
          </cell>
          <cell r="BL71">
            <v>16400</v>
          </cell>
          <cell r="BM71">
            <v>13000</v>
          </cell>
          <cell r="BN71">
            <v>11200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356000</v>
          </cell>
        </row>
        <row r="72">
          <cell r="A72">
            <v>1021401015</v>
          </cell>
          <cell r="B72" t="str">
            <v>กล่องสามเหลี่ยมแซนวิสใหญ่ (XL)Top seal  อุ่นร้อน</v>
          </cell>
          <cell r="C72" t="str">
            <v>ใบ</v>
          </cell>
          <cell r="H72">
            <v>0</v>
          </cell>
          <cell r="N72">
            <v>70000</v>
          </cell>
          <cell r="U72">
            <v>130000</v>
          </cell>
          <cell r="AL72">
            <v>100000</v>
          </cell>
          <cell r="AN72">
            <v>300000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3000</v>
          </cell>
          <cell r="BN72">
            <v>2000</v>
          </cell>
          <cell r="BO72">
            <v>22000</v>
          </cell>
          <cell r="BP72">
            <v>0</v>
          </cell>
          <cell r="BQ72">
            <v>16000</v>
          </cell>
          <cell r="BR72">
            <v>19000</v>
          </cell>
          <cell r="BS72">
            <v>20000</v>
          </cell>
          <cell r="BT72">
            <v>82000</v>
          </cell>
        </row>
        <row r="73">
          <cell r="A73" t="str">
            <v>02-BBS09</v>
          </cell>
          <cell r="B73" t="str">
            <v>ถาด FP002  (ป.ต.ท.)ถ้วย+ฝายกMC002 (ข้าวหลาม)</v>
          </cell>
          <cell r="C73" t="str">
            <v>ใบ</v>
          </cell>
          <cell r="D73">
            <v>0</v>
          </cell>
          <cell r="G73" t="str">
            <v>20-25 วัน</v>
          </cell>
          <cell r="H73">
            <v>38900</v>
          </cell>
          <cell r="AN73">
            <v>0</v>
          </cell>
          <cell r="AO73">
            <v>2000</v>
          </cell>
          <cell r="AP73">
            <v>2000</v>
          </cell>
          <cell r="AQ73">
            <v>0</v>
          </cell>
          <cell r="AR73">
            <v>1100</v>
          </cell>
          <cell r="AS73">
            <v>0</v>
          </cell>
          <cell r="AT73">
            <v>2000</v>
          </cell>
          <cell r="AU73">
            <v>0</v>
          </cell>
          <cell r="AV73">
            <v>1000</v>
          </cell>
          <cell r="AW73">
            <v>1000</v>
          </cell>
          <cell r="AX73">
            <v>1050</v>
          </cell>
          <cell r="AY73">
            <v>1200</v>
          </cell>
          <cell r="AZ73">
            <v>0</v>
          </cell>
          <cell r="BA73">
            <v>1350</v>
          </cell>
          <cell r="BB73">
            <v>0</v>
          </cell>
          <cell r="BC73">
            <v>1000</v>
          </cell>
          <cell r="BD73">
            <v>1000</v>
          </cell>
          <cell r="BE73">
            <v>1000</v>
          </cell>
          <cell r="BF73">
            <v>1000</v>
          </cell>
          <cell r="BG73">
            <v>0</v>
          </cell>
          <cell r="BH73">
            <v>100</v>
          </cell>
          <cell r="BI73">
            <v>0</v>
          </cell>
          <cell r="BJ73">
            <v>50</v>
          </cell>
          <cell r="BK73">
            <v>0</v>
          </cell>
          <cell r="BL73">
            <v>0</v>
          </cell>
          <cell r="BM73">
            <v>50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16900</v>
          </cell>
        </row>
        <row r="74">
          <cell r="A74" t="str">
            <v>02-BBS16</v>
          </cell>
          <cell r="B74" t="str">
            <v>ถาด E-159 (ป.ต.ท.)</v>
          </cell>
          <cell r="C74" t="str">
            <v>ใบ</v>
          </cell>
          <cell r="D74">
            <v>0</v>
          </cell>
          <cell r="E74" t="str">
            <v>RJ</v>
          </cell>
          <cell r="H74">
            <v>2250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</row>
        <row r="75">
          <cell r="A75" t="str">
            <v>02-BBS18</v>
          </cell>
          <cell r="B75" t="str">
            <v>กล่องชิฟฟอนรวมรสยอดฮิต 8 ชิ้น(แบบท๊อปซีลขนาดใหญ่) 100*ห่อ</v>
          </cell>
          <cell r="C75" t="str">
            <v>ใบ</v>
          </cell>
          <cell r="D75">
            <v>0</v>
          </cell>
          <cell r="F75" t="str">
            <v>-</v>
          </cell>
          <cell r="G75" t="str">
            <v>7 วัน</v>
          </cell>
          <cell r="H75">
            <v>18200</v>
          </cell>
          <cell r="AN75">
            <v>0</v>
          </cell>
          <cell r="AO75">
            <v>200</v>
          </cell>
          <cell r="AP75">
            <v>200</v>
          </cell>
          <cell r="AQ75">
            <v>0</v>
          </cell>
          <cell r="AR75">
            <v>100</v>
          </cell>
          <cell r="AS75">
            <v>200</v>
          </cell>
          <cell r="AT75">
            <v>0</v>
          </cell>
          <cell r="AU75">
            <v>0</v>
          </cell>
          <cell r="AV75">
            <v>100</v>
          </cell>
          <cell r="AW75">
            <v>100</v>
          </cell>
          <cell r="AX75">
            <v>0</v>
          </cell>
          <cell r="AY75">
            <v>200</v>
          </cell>
          <cell r="AZ75">
            <v>0</v>
          </cell>
          <cell r="BA75">
            <v>0</v>
          </cell>
          <cell r="BB75">
            <v>0</v>
          </cell>
          <cell r="BC75">
            <v>100</v>
          </cell>
          <cell r="BD75">
            <v>200</v>
          </cell>
          <cell r="BE75">
            <v>0</v>
          </cell>
          <cell r="BF75">
            <v>200</v>
          </cell>
          <cell r="BG75">
            <v>0</v>
          </cell>
          <cell r="BH75">
            <v>0</v>
          </cell>
          <cell r="BI75">
            <v>0</v>
          </cell>
          <cell r="BJ75">
            <v>100</v>
          </cell>
          <cell r="BK75">
            <v>100</v>
          </cell>
          <cell r="BL75">
            <v>0</v>
          </cell>
          <cell r="BM75">
            <v>200</v>
          </cell>
          <cell r="BN75">
            <v>0</v>
          </cell>
          <cell r="BO75">
            <v>100</v>
          </cell>
          <cell r="BP75">
            <v>0</v>
          </cell>
          <cell r="BQ75">
            <v>200</v>
          </cell>
          <cell r="BR75">
            <v>200</v>
          </cell>
          <cell r="BS75">
            <v>0</v>
          </cell>
          <cell r="BT75">
            <v>2500</v>
          </cell>
        </row>
        <row r="76">
          <cell r="A76" t="str">
            <v>02-BBS20</v>
          </cell>
          <cell r="B76" t="str">
            <v>กล่อง PET FF-106 เค้กลอดช่อง</v>
          </cell>
          <cell r="C76" t="str">
            <v>ใบ</v>
          </cell>
          <cell r="D76">
            <v>0</v>
          </cell>
          <cell r="E76" t="str">
            <v>RJ</v>
          </cell>
          <cell r="F76" t="str">
            <v>-</v>
          </cell>
          <cell r="G76" t="str">
            <v>7 วัน</v>
          </cell>
          <cell r="H76">
            <v>2800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</row>
        <row r="77">
          <cell r="A77" t="str">
            <v>02-BBS21</v>
          </cell>
          <cell r="B77" t="str">
            <v>กล่องสามเหลี่ยมแซนวิสท็อปซีล ลังละ500</v>
          </cell>
          <cell r="C77" t="str">
            <v>ใบ</v>
          </cell>
          <cell r="D77">
            <v>0</v>
          </cell>
          <cell r="F77" t="str">
            <v>-</v>
          </cell>
          <cell r="G77" t="str">
            <v>30-45 วัน</v>
          </cell>
          <cell r="H77">
            <v>74200</v>
          </cell>
          <cell r="Q77">
            <v>62000</v>
          </cell>
          <cell r="AN77">
            <v>62000</v>
          </cell>
          <cell r="AO77">
            <v>7500</v>
          </cell>
          <cell r="AP77">
            <v>6200</v>
          </cell>
          <cell r="AQ77">
            <v>0</v>
          </cell>
          <cell r="AR77">
            <v>8000</v>
          </cell>
          <cell r="AS77">
            <v>5000</v>
          </cell>
          <cell r="AT77">
            <v>7700</v>
          </cell>
          <cell r="AU77">
            <v>0</v>
          </cell>
          <cell r="AV77">
            <v>4650</v>
          </cell>
          <cell r="AW77">
            <v>5000</v>
          </cell>
          <cell r="AX77">
            <v>5300</v>
          </cell>
          <cell r="AY77">
            <v>6000</v>
          </cell>
          <cell r="AZ77">
            <v>6000</v>
          </cell>
          <cell r="BA77">
            <v>8500</v>
          </cell>
          <cell r="BB77">
            <v>0</v>
          </cell>
          <cell r="BC77">
            <v>6000</v>
          </cell>
          <cell r="BD77">
            <v>8000</v>
          </cell>
          <cell r="BE77">
            <v>2500</v>
          </cell>
          <cell r="BF77">
            <v>6100</v>
          </cell>
          <cell r="BG77">
            <v>5300</v>
          </cell>
          <cell r="BH77">
            <v>6450</v>
          </cell>
          <cell r="BI77">
            <v>0</v>
          </cell>
          <cell r="BJ77">
            <v>4100</v>
          </cell>
          <cell r="BK77">
            <v>7000</v>
          </cell>
          <cell r="BL77">
            <v>5700</v>
          </cell>
          <cell r="BM77">
            <v>7500</v>
          </cell>
          <cell r="BN77">
            <v>4500</v>
          </cell>
          <cell r="BO77">
            <v>2000</v>
          </cell>
          <cell r="BP77">
            <v>0</v>
          </cell>
          <cell r="BQ77">
            <v>1200</v>
          </cell>
          <cell r="BR77">
            <v>0</v>
          </cell>
          <cell r="BS77">
            <v>0</v>
          </cell>
          <cell r="BT77">
            <v>136200</v>
          </cell>
        </row>
        <row r="78">
          <cell r="A78">
            <v>1021401007</v>
          </cell>
          <cell r="B78" t="str">
            <v>กล่องสามเหลี่ยมแซนวิสท็อปซีล ลังละ500 รหัสไหม่</v>
          </cell>
          <cell r="C78" t="str">
            <v>ใบ</v>
          </cell>
          <cell r="H78">
            <v>0</v>
          </cell>
          <cell r="AF78">
            <v>20000</v>
          </cell>
          <cell r="AG78">
            <v>43000</v>
          </cell>
          <cell r="AN78">
            <v>63000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800</v>
          </cell>
          <cell r="BR78">
            <v>8500</v>
          </cell>
          <cell r="BS78">
            <v>6000</v>
          </cell>
          <cell r="BT78">
            <v>15300</v>
          </cell>
        </row>
        <row r="79">
          <cell r="A79" t="str">
            <v>02-BBS22</v>
          </cell>
          <cell r="B79" t="str">
            <v>กล่องครีมฮอลท็อปซีล CJ</v>
          </cell>
          <cell r="C79" t="str">
            <v>ใบ</v>
          </cell>
          <cell r="D79">
            <v>0</v>
          </cell>
          <cell r="F79" t="str">
            <v>-</v>
          </cell>
          <cell r="G79" t="str">
            <v>30-45 วัน</v>
          </cell>
          <cell r="H79">
            <v>42800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</row>
        <row r="80">
          <cell r="A80" t="str">
            <v>02-BBS25</v>
          </cell>
          <cell r="B80" t="str">
            <v>กล่องพลาสติกใสกลม 1366</v>
          </cell>
          <cell r="C80" t="str">
            <v>ใบ</v>
          </cell>
          <cell r="D80">
            <v>0</v>
          </cell>
          <cell r="E80" t="str">
            <v>RJ</v>
          </cell>
          <cell r="F80" t="str">
            <v>-</v>
          </cell>
          <cell r="G80" t="str">
            <v>30-45 วัน</v>
          </cell>
          <cell r="H80">
            <v>432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150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50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100</v>
          </cell>
          <cell r="BL80">
            <v>90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42</v>
          </cell>
          <cell r="BT80">
            <v>432</v>
          </cell>
        </row>
        <row r="81">
          <cell r="A81">
            <v>1021601038</v>
          </cell>
          <cell r="B81" t="str">
            <v>กล่องกลมสีใส  1366 รหัสไหม่</v>
          </cell>
          <cell r="C81" t="str">
            <v>ใบ</v>
          </cell>
          <cell r="H81">
            <v>0</v>
          </cell>
          <cell r="L81">
            <v>2000</v>
          </cell>
          <cell r="AL81">
            <v>2000</v>
          </cell>
          <cell r="AN81">
            <v>4000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</row>
        <row r="82">
          <cell r="A82" t="str">
            <v>02-BBS26</v>
          </cell>
          <cell r="B82" t="str">
            <v>กล่องพลาสติกใสกลม 1358</v>
          </cell>
          <cell r="C82" t="str">
            <v>ใบ</v>
          </cell>
          <cell r="D82">
            <v>0</v>
          </cell>
          <cell r="E82" t="str">
            <v>RJ</v>
          </cell>
          <cell r="F82" t="str">
            <v>-</v>
          </cell>
          <cell r="G82" t="str">
            <v>30-45 วัน</v>
          </cell>
          <cell r="H82">
            <v>476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</row>
        <row r="83">
          <cell r="A83" t="str">
            <v>02-BBS27</v>
          </cell>
          <cell r="B83" t="str">
            <v>กล่องสี่เหลี่ยมใหญ่ CST-300 ตัว+ฝา บัวลอย</v>
          </cell>
          <cell r="C83" t="str">
            <v>ใบ</v>
          </cell>
          <cell r="D83">
            <v>0</v>
          </cell>
          <cell r="E83" t="str">
            <v>RJ</v>
          </cell>
          <cell r="F83" t="str">
            <v>-</v>
          </cell>
          <cell r="G83" t="str">
            <v>30-45 วัน</v>
          </cell>
          <cell r="H83">
            <v>1200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</row>
        <row r="84">
          <cell r="A84" t="str">
            <v>02-BBS29</v>
          </cell>
          <cell r="B84" t="str">
            <v>กล่อง เดซี่ ฐานทอง (ป.ต.ท.)</v>
          </cell>
          <cell r="C84" t="str">
            <v>ใบ</v>
          </cell>
          <cell r="D84">
            <v>0</v>
          </cell>
          <cell r="E84" t="str">
            <v>RJ</v>
          </cell>
          <cell r="H84">
            <v>1950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</row>
        <row r="85">
          <cell r="A85" t="str">
            <v>02-BBS30</v>
          </cell>
          <cell r="B85" t="str">
            <v>กล่อง PET FF-7 ขนมบาร์คอฟฟี่ ลังละ900 แถวละ50</v>
          </cell>
          <cell r="C85" t="str">
            <v>ใบ</v>
          </cell>
          <cell r="D85">
            <v>0</v>
          </cell>
          <cell r="F85" t="str">
            <v>-</v>
          </cell>
          <cell r="G85" t="str">
            <v>30-45 วัน</v>
          </cell>
          <cell r="H85">
            <v>84550</v>
          </cell>
          <cell r="AN85">
            <v>0</v>
          </cell>
          <cell r="AO85">
            <v>2350</v>
          </cell>
          <cell r="AP85">
            <v>3600</v>
          </cell>
          <cell r="AQ85">
            <v>0</v>
          </cell>
          <cell r="AR85">
            <v>2800</v>
          </cell>
          <cell r="AS85">
            <v>2700</v>
          </cell>
          <cell r="AT85">
            <v>3600</v>
          </cell>
          <cell r="AU85">
            <v>0</v>
          </cell>
          <cell r="AV85">
            <v>3600</v>
          </cell>
          <cell r="AW85">
            <v>0</v>
          </cell>
          <cell r="AX85">
            <v>2700</v>
          </cell>
          <cell r="AY85">
            <v>2100</v>
          </cell>
          <cell r="AZ85">
            <v>1800</v>
          </cell>
          <cell r="BA85">
            <v>2100</v>
          </cell>
          <cell r="BB85">
            <v>0</v>
          </cell>
          <cell r="BC85">
            <v>2800</v>
          </cell>
          <cell r="BD85">
            <v>2700</v>
          </cell>
          <cell r="BE85">
            <v>2700</v>
          </cell>
          <cell r="BF85">
            <v>1800</v>
          </cell>
          <cell r="BG85">
            <v>2500</v>
          </cell>
          <cell r="BH85">
            <v>2200</v>
          </cell>
          <cell r="BI85">
            <v>0</v>
          </cell>
          <cell r="BJ85">
            <v>1800</v>
          </cell>
          <cell r="BK85">
            <v>200</v>
          </cell>
          <cell r="BL85">
            <v>1800</v>
          </cell>
          <cell r="BM85">
            <v>1400</v>
          </cell>
          <cell r="BN85">
            <v>1800</v>
          </cell>
          <cell r="BO85">
            <v>1800</v>
          </cell>
          <cell r="BP85">
            <v>0</v>
          </cell>
          <cell r="BQ85">
            <v>2200</v>
          </cell>
          <cell r="BR85">
            <v>1200</v>
          </cell>
          <cell r="BS85">
            <v>2300</v>
          </cell>
          <cell r="BT85">
            <v>56550</v>
          </cell>
        </row>
        <row r="86">
          <cell r="A86">
            <v>1021401010</v>
          </cell>
          <cell r="B86" t="str">
            <v>กล่อง PET FF-7 ขนมบาร์คอฟฟี่ ลังละ900 แถวละ50 รหัสไหม่</v>
          </cell>
          <cell r="C86" t="str">
            <v>ใบ</v>
          </cell>
          <cell r="H86">
            <v>0</v>
          </cell>
          <cell r="AI86">
            <v>31500</v>
          </cell>
          <cell r="AN86">
            <v>31500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</row>
        <row r="87">
          <cell r="A87" t="str">
            <v>02-BC01-2</v>
          </cell>
          <cell r="B87" t="str">
            <v>ถุงพับข้างใส8x12 500กรัม</v>
          </cell>
          <cell r="C87" t="str">
            <v>กิโลกรัม</v>
          </cell>
          <cell r="D87">
            <v>0</v>
          </cell>
          <cell r="G87" t="str">
            <v>7-10 วัน</v>
          </cell>
          <cell r="H87">
            <v>179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10</v>
          </cell>
          <cell r="AZ87">
            <v>0</v>
          </cell>
          <cell r="BA87">
            <v>2</v>
          </cell>
          <cell r="BB87">
            <v>0</v>
          </cell>
          <cell r="BC87">
            <v>20</v>
          </cell>
          <cell r="BD87">
            <v>0</v>
          </cell>
          <cell r="BE87">
            <v>5</v>
          </cell>
          <cell r="BF87">
            <v>2</v>
          </cell>
          <cell r="BG87">
            <v>5</v>
          </cell>
          <cell r="BH87">
            <v>10</v>
          </cell>
          <cell r="BI87">
            <v>0</v>
          </cell>
          <cell r="BJ87">
            <v>1</v>
          </cell>
          <cell r="BK87">
            <v>1</v>
          </cell>
          <cell r="BL87">
            <v>8</v>
          </cell>
          <cell r="BM87">
            <v>5</v>
          </cell>
          <cell r="BN87">
            <v>5</v>
          </cell>
          <cell r="BO87">
            <v>0.5</v>
          </cell>
          <cell r="BP87">
            <v>0</v>
          </cell>
          <cell r="BQ87">
            <v>0.5</v>
          </cell>
          <cell r="BR87">
            <v>1</v>
          </cell>
          <cell r="BS87">
            <v>0</v>
          </cell>
          <cell r="BT87">
            <v>76</v>
          </cell>
        </row>
        <row r="88">
          <cell r="A88" t="str">
            <v>02-BC02</v>
          </cell>
          <cell r="B88" t="str">
            <v>ถุงซีนเบาหวิวเล็ก (แพ็ค*100ใบ ลังละ3500)แม็คโคร</v>
          </cell>
          <cell r="C88" t="str">
            <v>ใบ</v>
          </cell>
          <cell r="D88">
            <v>0</v>
          </cell>
          <cell r="G88" t="str">
            <v>30-45 วัน</v>
          </cell>
          <cell r="H88">
            <v>17200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300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200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500</v>
          </cell>
        </row>
        <row r="89">
          <cell r="A89" t="str">
            <v>02-BC03</v>
          </cell>
          <cell r="B89" t="str">
            <v>ถุงซีนเบาหวิวใหญ่ 180*250mm.(แพ็ค*100ใบ)</v>
          </cell>
          <cell r="C89" t="str">
            <v>ใบ</v>
          </cell>
          <cell r="D89">
            <v>0</v>
          </cell>
          <cell r="G89" t="str">
            <v>30-45 วัน</v>
          </cell>
          <cell r="H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</row>
        <row r="90">
          <cell r="A90" t="str">
            <v>02-BC04</v>
          </cell>
          <cell r="B90" t="str">
            <v>ถุงซีนชิฟฟ่อนเล็ก 125x250mm(มัด*100ใบ)</v>
          </cell>
          <cell r="C90" t="str">
            <v>ใบ</v>
          </cell>
          <cell r="D90">
            <v>0</v>
          </cell>
          <cell r="G90" t="str">
            <v>30-45 วัน</v>
          </cell>
          <cell r="H90">
            <v>7200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300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300</v>
          </cell>
        </row>
        <row r="91">
          <cell r="A91" t="str">
            <v>02-BC05</v>
          </cell>
          <cell r="B91" t="str">
            <v>ถุงซีนชิฟฟ่อนใหญ่ 215*300mm.(มัด*100ใบ)</v>
          </cell>
          <cell r="C91" t="str">
            <v>ใบ</v>
          </cell>
          <cell r="D91">
            <v>0</v>
          </cell>
          <cell r="G91" t="str">
            <v>30-45 วัน</v>
          </cell>
          <cell r="H91">
            <v>37530</v>
          </cell>
          <cell r="AN91">
            <v>0</v>
          </cell>
          <cell r="AO91">
            <v>0</v>
          </cell>
          <cell r="AP91">
            <v>800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500</v>
          </cell>
          <cell r="AY91">
            <v>0</v>
          </cell>
          <cell r="AZ91">
            <v>300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300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300</v>
          </cell>
          <cell r="BN91">
            <v>0</v>
          </cell>
          <cell r="BO91">
            <v>4</v>
          </cell>
          <cell r="BP91">
            <v>0</v>
          </cell>
          <cell r="BQ91">
            <v>0</v>
          </cell>
          <cell r="BR91">
            <v>500</v>
          </cell>
          <cell r="BS91">
            <v>300</v>
          </cell>
          <cell r="BT91">
            <v>3004</v>
          </cell>
        </row>
        <row r="92">
          <cell r="A92" t="str">
            <v>02-BC09-2</v>
          </cell>
          <cell r="B92" t="str">
            <v>ถุง PP 6*6 ผ่า 2 ข้าง(แพ็ค*500กรัม)</v>
          </cell>
          <cell r="C92" t="str">
            <v>กิโลกรัม</v>
          </cell>
          <cell r="D92">
            <v>0</v>
          </cell>
          <cell r="E92" t="str">
            <v>RJ</v>
          </cell>
          <cell r="F92" t="str">
            <v>0220705027</v>
          </cell>
          <cell r="G92" t="str">
            <v>20-25 วัน</v>
          </cell>
          <cell r="H92">
            <v>235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</row>
        <row r="93">
          <cell r="A93" t="str">
            <v>02-BC10-1</v>
          </cell>
          <cell r="B93" t="str">
            <v>ถุง PP 8*8 ผ่า 2 ข้าง(แพ็ค*1000กรัม) กระสอบละ30 กก.ใบตอง</v>
          </cell>
          <cell r="C93" t="str">
            <v>กิโลกรัม</v>
          </cell>
          <cell r="D93">
            <v>0</v>
          </cell>
          <cell r="F93" t="str">
            <v>6H401473</v>
          </cell>
          <cell r="G93" t="str">
            <v>20-25 วัน</v>
          </cell>
          <cell r="H93">
            <v>180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30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30</v>
          </cell>
          <cell r="BT93">
            <v>60</v>
          </cell>
        </row>
        <row r="94">
          <cell r="A94" t="str">
            <v>02-BC11-2</v>
          </cell>
          <cell r="B94" t="str">
            <v>ถุง PP 3.5*8.5 ผ่า 2 ข้าง(แพ็ค*500กรัม)</v>
          </cell>
          <cell r="C94" t="str">
            <v>กิโลกรัม</v>
          </cell>
          <cell r="D94">
            <v>0</v>
          </cell>
          <cell r="G94" t="str">
            <v>20-25 วัน</v>
          </cell>
          <cell r="H94">
            <v>79.5</v>
          </cell>
          <cell r="AF94">
            <v>129</v>
          </cell>
          <cell r="AN94">
            <v>129</v>
          </cell>
          <cell r="AO94">
            <v>15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10</v>
          </cell>
          <cell r="AW94">
            <v>10</v>
          </cell>
          <cell r="AX94">
            <v>0</v>
          </cell>
          <cell r="AY94">
            <v>0</v>
          </cell>
          <cell r="AZ94">
            <v>4.5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5</v>
          </cell>
          <cell r="BP94">
            <v>0</v>
          </cell>
          <cell r="BQ94">
            <v>0</v>
          </cell>
          <cell r="BR94">
            <v>5</v>
          </cell>
          <cell r="BS94">
            <v>0</v>
          </cell>
          <cell r="BT94">
            <v>49.5</v>
          </cell>
        </row>
        <row r="95">
          <cell r="A95" t="str">
            <v>02-BC12-2</v>
          </cell>
          <cell r="B95" t="str">
            <v>ถุงหูหิ้ว 6*14 (แพ็ค*500กรัม) กระสอบละ30 กก.หิ้วละ 5กก.</v>
          </cell>
          <cell r="C95" t="str">
            <v>กิโลกรัม</v>
          </cell>
          <cell r="D95">
            <v>68</v>
          </cell>
          <cell r="G95" t="str">
            <v>7 วัน</v>
          </cell>
          <cell r="H95">
            <v>205</v>
          </cell>
          <cell r="AN95">
            <v>0</v>
          </cell>
          <cell r="AO95">
            <v>5</v>
          </cell>
          <cell r="AP95">
            <v>0</v>
          </cell>
          <cell r="AQ95">
            <v>0</v>
          </cell>
          <cell r="AR95">
            <v>5</v>
          </cell>
          <cell r="AS95">
            <v>5</v>
          </cell>
          <cell r="AT95">
            <v>0</v>
          </cell>
          <cell r="AU95">
            <v>0</v>
          </cell>
          <cell r="AV95">
            <v>5</v>
          </cell>
          <cell r="AW95">
            <v>0</v>
          </cell>
          <cell r="AX95">
            <v>5</v>
          </cell>
          <cell r="AY95">
            <v>0</v>
          </cell>
          <cell r="AZ95">
            <v>0</v>
          </cell>
          <cell r="BA95">
            <v>5</v>
          </cell>
          <cell r="BB95">
            <v>0</v>
          </cell>
          <cell r="BC95">
            <v>5</v>
          </cell>
          <cell r="BD95">
            <v>5</v>
          </cell>
          <cell r="BE95">
            <v>0</v>
          </cell>
          <cell r="BF95">
            <v>5</v>
          </cell>
          <cell r="BG95">
            <v>0</v>
          </cell>
          <cell r="BH95">
            <v>5</v>
          </cell>
          <cell r="BI95">
            <v>0</v>
          </cell>
          <cell r="BJ95">
            <v>0</v>
          </cell>
          <cell r="BK95">
            <v>10</v>
          </cell>
          <cell r="BL95">
            <v>0</v>
          </cell>
          <cell r="BM95">
            <v>5</v>
          </cell>
          <cell r="BN95">
            <v>5</v>
          </cell>
          <cell r="BO95">
            <v>0</v>
          </cell>
          <cell r="BP95">
            <v>0</v>
          </cell>
          <cell r="BQ95">
            <v>0</v>
          </cell>
          <cell r="BR95">
            <v>5</v>
          </cell>
          <cell r="BS95">
            <v>0</v>
          </cell>
          <cell r="BT95">
            <v>75</v>
          </cell>
        </row>
        <row r="96">
          <cell r="A96" t="str">
            <v>02-BC13-2</v>
          </cell>
          <cell r="B96" t="str">
            <v>ถุงหูหิ้ว 7*15 (แพ็ค*500กรัม)1หิ้ว=2.5  กระสอบละ30</v>
          </cell>
          <cell r="C96" t="str">
            <v>กิโลกรัม</v>
          </cell>
          <cell r="D96">
            <v>68</v>
          </cell>
          <cell r="G96" t="str">
            <v>7 วัน</v>
          </cell>
          <cell r="H96">
            <v>42.5</v>
          </cell>
          <cell r="J96">
            <v>270</v>
          </cell>
          <cell r="AN96">
            <v>270</v>
          </cell>
          <cell r="AO96">
            <v>15</v>
          </cell>
          <cell r="AP96">
            <v>12.5</v>
          </cell>
          <cell r="AQ96">
            <v>0</v>
          </cell>
          <cell r="AR96">
            <v>10</v>
          </cell>
          <cell r="AS96">
            <v>10</v>
          </cell>
          <cell r="AT96">
            <v>0</v>
          </cell>
          <cell r="AU96">
            <v>0</v>
          </cell>
          <cell r="AV96">
            <v>10</v>
          </cell>
          <cell r="AW96">
            <v>10</v>
          </cell>
          <cell r="AX96">
            <v>5</v>
          </cell>
          <cell r="AY96">
            <v>10</v>
          </cell>
          <cell r="AZ96">
            <v>0</v>
          </cell>
          <cell r="BA96">
            <v>7.5</v>
          </cell>
          <cell r="BB96">
            <v>0</v>
          </cell>
          <cell r="BC96">
            <v>0</v>
          </cell>
          <cell r="BD96">
            <v>10</v>
          </cell>
          <cell r="BE96">
            <v>0</v>
          </cell>
          <cell r="BF96">
            <v>10</v>
          </cell>
          <cell r="BG96">
            <v>0</v>
          </cell>
          <cell r="BH96">
            <v>15</v>
          </cell>
          <cell r="BI96">
            <v>0</v>
          </cell>
          <cell r="BJ96">
            <v>0</v>
          </cell>
          <cell r="BK96">
            <v>12.5</v>
          </cell>
          <cell r="BL96">
            <v>0</v>
          </cell>
          <cell r="BM96">
            <v>10</v>
          </cell>
          <cell r="BN96">
            <v>10</v>
          </cell>
          <cell r="BO96">
            <v>0</v>
          </cell>
          <cell r="BP96">
            <v>0</v>
          </cell>
          <cell r="BQ96">
            <v>0</v>
          </cell>
          <cell r="BR96">
            <v>10</v>
          </cell>
          <cell r="BS96">
            <v>0</v>
          </cell>
          <cell r="BT96">
            <v>167.5</v>
          </cell>
        </row>
        <row r="97">
          <cell r="A97" t="str">
            <v>02-BC14-2</v>
          </cell>
          <cell r="B97" t="str">
            <v>ถุงหูหิ้ว 9*18 (แพ็ค*500กรัม)1หิ้ว=2.5  กระสอบละ30</v>
          </cell>
          <cell r="C97" t="str">
            <v>กิโลกรัม</v>
          </cell>
          <cell r="D97">
            <v>68</v>
          </cell>
          <cell r="G97" t="str">
            <v>7 วัน</v>
          </cell>
          <cell r="H97">
            <v>39.5</v>
          </cell>
          <cell r="J97">
            <v>300</v>
          </cell>
          <cell r="AN97">
            <v>300</v>
          </cell>
          <cell r="AO97">
            <v>2</v>
          </cell>
          <cell r="AP97">
            <v>17.5</v>
          </cell>
          <cell r="AQ97">
            <v>0</v>
          </cell>
          <cell r="AR97">
            <v>15</v>
          </cell>
          <cell r="AS97">
            <v>10</v>
          </cell>
          <cell r="AT97">
            <v>2.5</v>
          </cell>
          <cell r="AU97">
            <v>0</v>
          </cell>
          <cell r="AV97">
            <v>3.5</v>
          </cell>
          <cell r="AW97">
            <v>17.5</v>
          </cell>
          <cell r="AX97">
            <v>0</v>
          </cell>
          <cell r="AY97">
            <v>7.5</v>
          </cell>
          <cell r="AZ97">
            <v>2.5</v>
          </cell>
          <cell r="BA97">
            <v>1</v>
          </cell>
          <cell r="BB97">
            <v>0</v>
          </cell>
          <cell r="BC97">
            <v>5</v>
          </cell>
          <cell r="BD97">
            <v>10</v>
          </cell>
          <cell r="BE97">
            <v>0</v>
          </cell>
          <cell r="BF97">
            <v>12.5</v>
          </cell>
          <cell r="BG97">
            <v>0</v>
          </cell>
          <cell r="BH97">
            <v>12.5</v>
          </cell>
          <cell r="BI97">
            <v>0</v>
          </cell>
          <cell r="BJ97">
            <v>0</v>
          </cell>
          <cell r="BK97">
            <v>12.5</v>
          </cell>
          <cell r="BL97">
            <v>6.5</v>
          </cell>
          <cell r="BM97">
            <v>12.5</v>
          </cell>
          <cell r="BN97">
            <v>12.5</v>
          </cell>
          <cell r="BO97">
            <v>1</v>
          </cell>
          <cell r="BP97">
            <v>0</v>
          </cell>
          <cell r="BQ97">
            <v>0</v>
          </cell>
          <cell r="BR97">
            <v>10</v>
          </cell>
          <cell r="BS97">
            <v>0</v>
          </cell>
          <cell r="BT97">
            <v>174</v>
          </cell>
        </row>
        <row r="98">
          <cell r="A98" t="str">
            <v>02-BC15-2</v>
          </cell>
          <cell r="B98" t="str">
            <v>ถุงหูหิ้ว 12*20 (แพ็ค*500กรัม) หิ้วละ5กก.  กระสอบละ30</v>
          </cell>
          <cell r="C98" t="str">
            <v>กิโลกรัม</v>
          </cell>
          <cell r="D98">
            <v>68</v>
          </cell>
          <cell r="H98">
            <v>185</v>
          </cell>
          <cell r="AN98">
            <v>0</v>
          </cell>
          <cell r="AO98">
            <v>5</v>
          </cell>
          <cell r="AP98">
            <v>10</v>
          </cell>
          <cell r="AQ98">
            <v>0</v>
          </cell>
          <cell r="AR98">
            <v>0</v>
          </cell>
          <cell r="AS98">
            <v>5</v>
          </cell>
          <cell r="AT98">
            <v>0</v>
          </cell>
          <cell r="AU98">
            <v>0</v>
          </cell>
          <cell r="AV98">
            <v>15</v>
          </cell>
          <cell r="AW98">
            <v>0</v>
          </cell>
          <cell r="AX98">
            <v>15</v>
          </cell>
          <cell r="AY98">
            <v>5</v>
          </cell>
          <cell r="AZ98">
            <v>1</v>
          </cell>
          <cell r="BA98">
            <v>0</v>
          </cell>
          <cell r="BB98">
            <v>0</v>
          </cell>
          <cell r="BC98">
            <v>12.5</v>
          </cell>
          <cell r="BD98">
            <v>0</v>
          </cell>
          <cell r="BE98">
            <v>0</v>
          </cell>
          <cell r="BF98">
            <v>5</v>
          </cell>
          <cell r="BG98">
            <v>0</v>
          </cell>
          <cell r="BH98">
            <v>5</v>
          </cell>
          <cell r="BI98">
            <v>0</v>
          </cell>
          <cell r="BJ98">
            <v>0</v>
          </cell>
          <cell r="BK98">
            <v>5</v>
          </cell>
          <cell r="BL98">
            <v>7</v>
          </cell>
          <cell r="BM98">
            <v>5</v>
          </cell>
          <cell r="BN98">
            <v>6</v>
          </cell>
          <cell r="BO98">
            <v>1</v>
          </cell>
          <cell r="BP98">
            <v>0</v>
          </cell>
          <cell r="BQ98">
            <v>1</v>
          </cell>
          <cell r="BR98">
            <v>5</v>
          </cell>
          <cell r="BS98">
            <v>0</v>
          </cell>
          <cell r="BT98">
            <v>108.5</v>
          </cell>
        </row>
        <row r="99">
          <cell r="A99" t="str">
            <v>02-BC16-2</v>
          </cell>
          <cell r="B99" t="str">
            <v>ถุงหูหิ้ว 12*26 (แพ็ค*500กรัม)รถตัก หิ้วละ 5กก. กระสอบละ 25กก.</v>
          </cell>
          <cell r="C99" t="str">
            <v>กิโลกรัม</v>
          </cell>
          <cell r="D99">
            <v>68</v>
          </cell>
          <cell r="G99" t="str">
            <v>7 วัน</v>
          </cell>
          <cell r="H99">
            <v>200</v>
          </cell>
          <cell r="AN99">
            <v>0</v>
          </cell>
          <cell r="AO99">
            <v>10</v>
          </cell>
          <cell r="AP99">
            <v>10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10</v>
          </cell>
          <cell r="AW99">
            <v>0</v>
          </cell>
          <cell r="AX99">
            <v>5</v>
          </cell>
          <cell r="AY99">
            <v>5</v>
          </cell>
          <cell r="AZ99">
            <v>0</v>
          </cell>
          <cell r="BA99">
            <v>1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10</v>
          </cell>
          <cell r="BG99">
            <v>0</v>
          </cell>
          <cell r="BH99">
            <v>5</v>
          </cell>
          <cell r="BI99">
            <v>0</v>
          </cell>
          <cell r="BJ99">
            <v>0</v>
          </cell>
          <cell r="BK99">
            <v>15</v>
          </cell>
          <cell r="BL99">
            <v>25</v>
          </cell>
          <cell r="BM99">
            <v>5</v>
          </cell>
          <cell r="BN99">
            <v>5</v>
          </cell>
          <cell r="BO99">
            <v>0</v>
          </cell>
          <cell r="BP99">
            <v>0</v>
          </cell>
          <cell r="BQ99">
            <v>0</v>
          </cell>
          <cell r="BR99">
            <v>5</v>
          </cell>
          <cell r="BS99">
            <v>0</v>
          </cell>
          <cell r="BT99">
            <v>111</v>
          </cell>
        </row>
        <row r="100">
          <cell r="A100" t="str">
            <v>02-BC17-2</v>
          </cell>
          <cell r="B100" t="str">
            <v>ถุงเย็น PE 6*9 ยี่ห้อม้าน้ำ หิ้วละ 5กก. กระสอบละ30</v>
          </cell>
          <cell r="C100" t="str">
            <v>กิโลกรัม</v>
          </cell>
          <cell r="D100">
            <v>0</v>
          </cell>
          <cell r="F100" t="str">
            <v>-</v>
          </cell>
          <cell r="G100" t="str">
            <v>7 วัน</v>
          </cell>
          <cell r="H100">
            <v>105</v>
          </cell>
          <cell r="J100">
            <v>150</v>
          </cell>
          <cell r="AN100">
            <v>150</v>
          </cell>
          <cell r="AO100">
            <v>10</v>
          </cell>
          <cell r="AP100">
            <v>5</v>
          </cell>
          <cell r="AQ100">
            <v>0</v>
          </cell>
          <cell r="AR100">
            <v>10</v>
          </cell>
          <cell r="AS100">
            <v>10</v>
          </cell>
          <cell r="AT100">
            <v>0</v>
          </cell>
          <cell r="AU100">
            <v>0</v>
          </cell>
          <cell r="AV100">
            <v>5</v>
          </cell>
          <cell r="AW100">
            <v>5</v>
          </cell>
          <cell r="AX100">
            <v>5</v>
          </cell>
          <cell r="AY100">
            <v>5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5</v>
          </cell>
          <cell r="BE100">
            <v>0</v>
          </cell>
          <cell r="BF100">
            <v>10</v>
          </cell>
          <cell r="BG100">
            <v>0</v>
          </cell>
          <cell r="BH100">
            <v>10</v>
          </cell>
          <cell r="BI100">
            <v>0</v>
          </cell>
          <cell r="BJ100">
            <v>0</v>
          </cell>
          <cell r="BK100">
            <v>0</v>
          </cell>
          <cell r="BL100">
            <v>5</v>
          </cell>
          <cell r="BM100">
            <v>10</v>
          </cell>
          <cell r="BN100">
            <v>0</v>
          </cell>
          <cell r="BO100">
            <v>10</v>
          </cell>
          <cell r="BP100">
            <v>0</v>
          </cell>
          <cell r="BQ100">
            <v>0</v>
          </cell>
          <cell r="BR100">
            <v>5</v>
          </cell>
          <cell r="BS100">
            <v>0</v>
          </cell>
          <cell r="BT100">
            <v>110</v>
          </cell>
        </row>
        <row r="101">
          <cell r="A101" t="str">
            <v>02-BC18-2</v>
          </cell>
          <cell r="B101" t="str">
            <v>ถุงเย็น PE 7*11 ยี่ห้อหมู  หิ้วละ 5กก.</v>
          </cell>
          <cell r="C101" t="str">
            <v>กิโลกรัม</v>
          </cell>
          <cell r="D101">
            <v>0</v>
          </cell>
          <cell r="G101" t="str">
            <v>7 วัน</v>
          </cell>
          <cell r="H101">
            <v>142.5</v>
          </cell>
          <cell r="AN101">
            <v>0</v>
          </cell>
          <cell r="AO101">
            <v>5</v>
          </cell>
          <cell r="AP101">
            <v>7.5</v>
          </cell>
          <cell r="AQ101">
            <v>0</v>
          </cell>
          <cell r="AR101">
            <v>5</v>
          </cell>
          <cell r="AS101">
            <v>5</v>
          </cell>
          <cell r="AT101">
            <v>0</v>
          </cell>
          <cell r="AU101">
            <v>0</v>
          </cell>
          <cell r="AV101">
            <v>5</v>
          </cell>
          <cell r="AW101">
            <v>5</v>
          </cell>
          <cell r="AX101">
            <v>5</v>
          </cell>
          <cell r="AY101">
            <v>5</v>
          </cell>
          <cell r="AZ101">
            <v>0</v>
          </cell>
          <cell r="BA101">
            <v>5</v>
          </cell>
          <cell r="BB101">
            <v>0</v>
          </cell>
          <cell r="BC101">
            <v>0</v>
          </cell>
          <cell r="BD101">
            <v>5</v>
          </cell>
          <cell r="BE101">
            <v>0</v>
          </cell>
          <cell r="BF101">
            <v>10</v>
          </cell>
          <cell r="BG101">
            <v>0</v>
          </cell>
          <cell r="BH101">
            <v>10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10</v>
          </cell>
          <cell r="BN101">
            <v>5</v>
          </cell>
          <cell r="BO101">
            <v>5</v>
          </cell>
          <cell r="BP101">
            <v>0</v>
          </cell>
          <cell r="BQ101">
            <v>0</v>
          </cell>
          <cell r="BR101">
            <v>5</v>
          </cell>
          <cell r="BS101">
            <v>0</v>
          </cell>
          <cell r="BT101">
            <v>97.5</v>
          </cell>
        </row>
        <row r="102">
          <cell r="A102" t="str">
            <v>02-BC23-1</v>
          </cell>
          <cell r="B102" t="str">
            <v>ถุงร้อน 3x5  แพ็คx200</v>
          </cell>
          <cell r="C102" t="str">
            <v>แพ็ค</v>
          </cell>
          <cell r="D102">
            <v>0</v>
          </cell>
          <cell r="G102" t="str">
            <v>7 วัน</v>
          </cell>
          <cell r="H102">
            <v>95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25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25</v>
          </cell>
        </row>
        <row r="103">
          <cell r="A103" t="str">
            <v>02-BC26-1</v>
          </cell>
          <cell r="B103" t="str">
            <v>ถุงเย็น PE 9x14 (แพ็ค*1000กรัม)  1กส*25กก. หิ้วละ 5กก.</v>
          </cell>
          <cell r="C103" t="str">
            <v>กิโลกรัม</v>
          </cell>
          <cell r="D103">
            <v>76</v>
          </cell>
          <cell r="G103" t="str">
            <v>7 วัน</v>
          </cell>
          <cell r="H103">
            <v>310</v>
          </cell>
          <cell r="M103">
            <v>625</v>
          </cell>
          <cell r="AN103">
            <v>625</v>
          </cell>
          <cell r="AO103">
            <v>25</v>
          </cell>
          <cell r="AP103">
            <v>10</v>
          </cell>
          <cell r="AQ103">
            <v>0</v>
          </cell>
          <cell r="AR103">
            <v>25</v>
          </cell>
          <cell r="AS103">
            <v>25</v>
          </cell>
          <cell r="AT103">
            <v>0</v>
          </cell>
          <cell r="AU103">
            <v>0</v>
          </cell>
          <cell r="AV103">
            <v>25</v>
          </cell>
          <cell r="AW103">
            <v>25</v>
          </cell>
          <cell r="AX103">
            <v>0</v>
          </cell>
          <cell r="AY103">
            <v>25</v>
          </cell>
          <cell r="AZ103">
            <v>0</v>
          </cell>
          <cell r="BA103">
            <v>25</v>
          </cell>
          <cell r="BB103">
            <v>0</v>
          </cell>
          <cell r="BC103">
            <v>0</v>
          </cell>
          <cell r="BD103">
            <v>25</v>
          </cell>
          <cell r="BE103">
            <v>0</v>
          </cell>
          <cell r="BF103">
            <v>25</v>
          </cell>
          <cell r="BG103">
            <v>0</v>
          </cell>
          <cell r="BH103">
            <v>25</v>
          </cell>
          <cell r="BI103">
            <v>0</v>
          </cell>
          <cell r="BJ103">
            <v>1</v>
          </cell>
          <cell r="BK103">
            <v>25</v>
          </cell>
          <cell r="BL103">
            <v>0</v>
          </cell>
          <cell r="BM103">
            <v>57</v>
          </cell>
          <cell r="BN103">
            <v>25</v>
          </cell>
          <cell r="BO103">
            <v>38</v>
          </cell>
          <cell r="BP103">
            <v>0</v>
          </cell>
          <cell r="BQ103">
            <v>0</v>
          </cell>
          <cell r="BR103">
            <v>25</v>
          </cell>
          <cell r="BS103">
            <v>0</v>
          </cell>
          <cell r="BT103">
            <v>431</v>
          </cell>
        </row>
        <row r="104">
          <cell r="A104" t="str">
            <v>02-BC29-2</v>
          </cell>
          <cell r="B104" t="str">
            <v>พลาสติกพันข้างเค้กใส 500 กรัม(ยาวซังฮะ)</v>
          </cell>
          <cell r="C104" t="str">
            <v>กิโลกรัม</v>
          </cell>
          <cell r="D104">
            <v>0</v>
          </cell>
          <cell r="G104" t="str">
            <v>7 วัน</v>
          </cell>
          <cell r="H104">
            <v>72.5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1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30</v>
          </cell>
          <cell r="BI104">
            <v>0</v>
          </cell>
          <cell r="BJ104">
            <v>0</v>
          </cell>
          <cell r="BK104">
            <v>0</v>
          </cell>
          <cell r="BL104">
            <v>1.5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5.5</v>
          </cell>
          <cell r="BR104">
            <v>0</v>
          </cell>
          <cell r="BS104">
            <v>0</v>
          </cell>
          <cell r="BT104">
            <v>38</v>
          </cell>
        </row>
        <row r="105">
          <cell r="A105" t="str">
            <v>02-BC31-2</v>
          </cell>
          <cell r="B105" t="str">
            <v>ถุงหูหิ้ว 12x26 พับข้าง4(หูผูก)"(1หิ้ว 5 กก.)</v>
          </cell>
          <cell r="C105" t="str">
            <v>กิโลกรัม</v>
          </cell>
          <cell r="D105">
            <v>68</v>
          </cell>
          <cell r="F105" t="str">
            <v>6D330937</v>
          </cell>
          <cell r="G105" t="str">
            <v>7 วัน</v>
          </cell>
          <cell r="H105">
            <v>166</v>
          </cell>
          <cell r="AF105">
            <v>150</v>
          </cell>
          <cell r="AN105">
            <v>150</v>
          </cell>
          <cell r="AO105">
            <v>5</v>
          </cell>
          <cell r="AP105">
            <v>21</v>
          </cell>
          <cell r="AQ105">
            <v>0</v>
          </cell>
          <cell r="AR105">
            <v>5</v>
          </cell>
          <cell r="AS105">
            <v>5</v>
          </cell>
          <cell r="AT105">
            <v>5</v>
          </cell>
          <cell r="AU105">
            <v>0</v>
          </cell>
          <cell r="AV105">
            <v>10</v>
          </cell>
          <cell r="AW105">
            <v>5</v>
          </cell>
          <cell r="AX105">
            <v>0</v>
          </cell>
          <cell r="AY105">
            <v>0</v>
          </cell>
          <cell r="AZ105">
            <v>5</v>
          </cell>
          <cell r="BA105">
            <v>5</v>
          </cell>
          <cell r="BB105">
            <v>0</v>
          </cell>
          <cell r="BC105">
            <v>5</v>
          </cell>
          <cell r="BD105">
            <v>0</v>
          </cell>
          <cell r="BE105">
            <v>0</v>
          </cell>
          <cell r="BF105">
            <v>0</v>
          </cell>
          <cell r="BG105">
            <v>5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10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86</v>
          </cell>
        </row>
        <row r="106">
          <cell r="A106" t="str">
            <v>02-BC32-2</v>
          </cell>
          <cell r="B106" t="str">
            <v>ถุงร้อน PP 12x16 กระสอบละ25 กก.</v>
          </cell>
          <cell r="C106" t="str">
            <v>กิโลกรัม</v>
          </cell>
          <cell r="D106">
            <v>65</v>
          </cell>
          <cell r="G106" t="str">
            <v>7 วัน</v>
          </cell>
          <cell r="H106">
            <v>58</v>
          </cell>
          <cell r="M106">
            <v>625</v>
          </cell>
          <cell r="AN106">
            <v>625</v>
          </cell>
          <cell r="AO106">
            <v>30</v>
          </cell>
          <cell r="AP106">
            <v>25</v>
          </cell>
          <cell r="AQ106">
            <v>0</v>
          </cell>
          <cell r="AR106">
            <v>0</v>
          </cell>
          <cell r="AS106">
            <v>51</v>
          </cell>
          <cell r="AT106">
            <v>150</v>
          </cell>
          <cell r="AU106">
            <v>0</v>
          </cell>
          <cell r="AV106">
            <v>0</v>
          </cell>
          <cell r="AW106">
            <v>50</v>
          </cell>
          <cell r="AX106">
            <v>25</v>
          </cell>
          <cell r="AY106">
            <v>25</v>
          </cell>
          <cell r="AZ106">
            <v>50</v>
          </cell>
          <cell r="BA106">
            <v>75</v>
          </cell>
          <cell r="BB106">
            <v>0</v>
          </cell>
          <cell r="BC106">
            <v>27</v>
          </cell>
          <cell r="BD106">
            <v>50</v>
          </cell>
          <cell r="BE106">
            <v>50</v>
          </cell>
          <cell r="BF106">
            <v>25</v>
          </cell>
          <cell r="BG106">
            <v>50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683</v>
          </cell>
        </row>
        <row r="107">
          <cell r="A107" t="str">
            <v>1022501006-2</v>
          </cell>
          <cell r="B107" t="str">
            <v>ถุงร้อน PP 12x18 กระสอบละ30 กก.(ใช้แทนถุง 12*16)</v>
          </cell>
          <cell r="C107" t="str">
            <v>กิโลกรัม</v>
          </cell>
          <cell r="D107">
            <v>0</v>
          </cell>
          <cell r="G107" t="str">
            <v>15-20 วัน</v>
          </cell>
          <cell r="H107">
            <v>0</v>
          </cell>
          <cell r="S107">
            <v>90</v>
          </cell>
          <cell r="AE107">
            <v>150</v>
          </cell>
          <cell r="AG107">
            <v>60</v>
          </cell>
          <cell r="AN107">
            <v>300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30</v>
          </cell>
          <cell r="BI107">
            <v>0</v>
          </cell>
          <cell r="BJ107">
            <v>60</v>
          </cell>
          <cell r="BK107">
            <v>0</v>
          </cell>
          <cell r="BL107">
            <v>60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150</v>
          </cell>
        </row>
        <row r="108">
          <cell r="A108" t="str">
            <v>02-BC33</v>
          </cell>
          <cell r="B108" t="str">
            <v>ถุงซีนใส่ถาดพายสับปะรด (แพ็ค*100ใบ)</v>
          </cell>
          <cell r="C108" t="str">
            <v>ใบ</v>
          </cell>
          <cell r="D108">
            <v>0</v>
          </cell>
          <cell r="G108" t="str">
            <v>3-7 วัน</v>
          </cell>
          <cell r="H108">
            <v>13300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500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500</v>
          </cell>
        </row>
        <row r="109">
          <cell r="A109" t="str">
            <v>02-BC34-2</v>
          </cell>
          <cell r="B109" t="str">
            <v>ถุงเย็นขุ่น EP 4 (1/2) x 7  แพ็คละ 500 กรัม. กระสอบละ 30 กก.</v>
          </cell>
          <cell r="C109" t="str">
            <v>กิโลกรัม</v>
          </cell>
          <cell r="D109">
            <v>0</v>
          </cell>
          <cell r="F109" t="str">
            <v>6D250626</v>
          </cell>
          <cell r="G109" t="str">
            <v>1 วัน</v>
          </cell>
          <cell r="H109">
            <v>1</v>
          </cell>
          <cell r="J109">
            <v>90</v>
          </cell>
          <cell r="AN109">
            <v>90</v>
          </cell>
          <cell r="AO109">
            <v>1</v>
          </cell>
          <cell r="AP109">
            <v>5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5</v>
          </cell>
          <cell r="AW109">
            <v>5</v>
          </cell>
          <cell r="AX109">
            <v>0</v>
          </cell>
          <cell r="AY109">
            <v>0</v>
          </cell>
          <cell r="AZ109">
            <v>0</v>
          </cell>
          <cell r="BA109">
            <v>5</v>
          </cell>
          <cell r="BB109">
            <v>0</v>
          </cell>
          <cell r="BC109">
            <v>0</v>
          </cell>
          <cell r="BD109">
            <v>5</v>
          </cell>
          <cell r="BE109">
            <v>0</v>
          </cell>
          <cell r="BF109">
            <v>0</v>
          </cell>
          <cell r="BG109">
            <v>0</v>
          </cell>
          <cell r="BH109">
            <v>5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5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36</v>
          </cell>
        </row>
        <row r="110">
          <cell r="A110" t="str">
            <v>02-BC35-1</v>
          </cell>
          <cell r="B110" t="str">
            <v>ถุงบรรจุขนมปังแผ่น 430 กรัม 8สี</v>
          </cell>
          <cell r="C110" t="str">
            <v>กิโลกรัม</v>
          </cell>
          <cell r="D110">
            <v>0</v>
          </cell>
          <cell r="G110" t="str">
            <v>15-20 วัน</v>
          </cell>
          <cell r="H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</row>
        <row r="111">
          <cell r="A111" t="str">
            <v>02-BC36-1</v>
          </cell>
          <cell r="B111" t="str">
            <v>ถุงบรรจุขนมปังแผ่น 430กรัม ไม่พิมพ์สี</v>
          </cell>
          <cell r="C111" t="str">
            <v>กิโลกรัม</v>
          </cell>
          <cell r="D111">
            <v>0</v>
          </cell>
          <cell r="E111" t="str">
            <v>RJ</v>
          </cell>
          <cell r="F111" t="str">
            <v>-</v>
          </cell>
          <cell r="G111" t="str">
            <v>15-20 วัน</v>
          </cell>
          <cell r="H111">
            <v>120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</row>
        <row r="112">
          <cell r="A112" t="str">
            <v>02-BC38-2</v>
          </cell>
          <cell r="B112" t="str">
            <v>ถุงห่อท็อฟฟี่ถั่ว หนา 4 มิล 11x11cm. 1หิ้ว 5กก.</v>
          </cell>
          <cell r="C112" t="str">
            <v>กิโลกรัม</v>
          </cell>
          <cell r="D112">
            <v>0</v>
          </cell>
          <cell r="F112" t="str">
            <v>-</v>
          </cell>
          <cell r="G112" t="str">
            <v>7-15 วัน</v>
          </cell>
          <cell r="H112">
            <v>45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5</v>
          </cell>
        </row>
        <row r="113">
          <cell r="A113" t="str">
            <v>02-BC45</v>
          </cell>
          <cell r="B113" t="str">
            <v>ถุบบีบใช้แล้วทิ้ง Master M (100ชุด)/ถุงบีบเล็ก</v>
          </cell>
          <cell r="C113" t="str">
            <v>ห่อ</v>
          </cell>
          <cell r="D113">
            <v>57</v>
          </cell>
          <cell r="G113" t="str">
            <v>7 วัน</v>
          </cell>
          <cell r="H113">
            <v>131</v>
          </cell>
          <cell r="AN113">
            <v>0</v>
          </cell>
          <cell r="AO113">
            <v>2</v>
          </cell>
          <cell r="AP113">
            <v>5</v>
          </cell>
          <cell r="AQ113">
            <v>0</v>
          </cell>
          <cell r="AR113">
            <v>0</v>
          </cell>
          <cell r="AS113">
            <v>0</v>
          </cell>
          <cell r="AT113">
            <v>4</v>
          </cell>
          <cell r="AU113">
            <v>0</v>
          </cell>
          <cell r="AV113">
            <v>2</v>
          </cell>
          <cell r="AW113">
            <v>8</v>
          </cell>
          <cell r="AX113">
            <v>2</v>
          </cell>
          <cell r="AY113">
            <v>0</v>
          </cell>
          <cell r="AZ113">
            <v>2</v>
          </cell>
          <cell r="BA113">
            <v>0</v>
          </cell>
          <cell r="BB113">
            <v>0</v>
          </cell>
          <cell r="BC113">
            <v>0</v>
          </cell>
          <cell r="BD113">
            <v>2</v>
          </cell>
          <cell r="BE113">
            <v>0</v>
          </cell>
          <cell r="BF113">
            <v>0</v>
          </cell>
          <cell r="BG113">
            <v>0</v>
          </cell>
          <cell r="BH113">
            <v>6</v>
          </cell>
          <cell r="BI113">
            <v>0</v>
          </cell>
          <cell r="BJ113">
            <v>5</v>
          </cell>
          <cell r="BK113">
            <v>0</v>
          </cell>
          <cell r="BL113">
            <v>0</v>
          </cell>
          <cell r="BM113">
            <v>0</v>
          </cell>
          <cell r="BN113">
            <v>2</v>
          </cell>
          <cell r="BO113">
            <v>1</v>
          </cell>
          <cell r="BP113">
            <v>0</v>
          </cell>
          <cell r="BQ113">
            <v>0</v>
          </cell>
          <cell r="BR113">
            <v>0</v>
          </cell>
          <cell r="BS113">
            <v>4</v>
          </cell>
          <cell r="BT113">
            <v>45</v>
          </cell>
        </row>
        <row r="114">
          <cell r="A114" t="str">
            <v>02-BC51</v>
          </cell>
          <cell r="B114" t="str">
            <v>ถุงกระดาษสีขาว เจาะหน้าต่างใส (1800ใบ*ลัง)</v>
          </cell>
          <cell r="C114" t="str">
            <v>ใบ</v>
          </cell>
          <cell r="D114">
            <v>0</v>
          </cell>
          <cell r="E114" t="str">
            <v>RJ</v>
          </cell>
          <cell r="F114" t="str">
            <v>-</v>
          </cell>
          <cell r="G114" t="str">
            <v>20-25 วัน</v>
          </cell>
          <cell r="H114">
            <v>2350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</row>
        <row r="115">
          <cell r="A115" t="str">
            <v>02-BC52-2</v>
          </cell>
          <cell r="B115" t="str">
            <v>ถุงหูหิ้ว 18*36 (แพ็ค*500กรัม)กระสอบละ 30 กก. ใส่จัดเบลค20กล่อง</v>
          </cell>
          <cell r="C115" t="str">
            <v>กิโลกรัม</v>
          </cell>
          <cell r="H115">
            <v>30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</row>
        <row r="116">
          <cell r="A116" t="str">
            <v>02-BTAZ02</v>
          </cell>
          <cell r="B116" t="str">
            <v>กระดาษสายคาด ซอฟท์เค้กครีมสด Amazon</v>
          </cell>
          <cell r="C116" t="str">
            <v>ชิ้น</v>
          </cell>
          <cell r="D116">
            <v>0</v>
          </cell>
          <cell r="E116" t="str">
            <v>RJ</v>
          </cell>
          <cell r="G116" t="str">
            <v>15-20 วัน</v>
          </cell>
          <cell r="H116">
            <v>3900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</row>
        <row r="117">
          <cell r="A117" t="str">
            <v>02-BTAZ04</v>
          </cell>
          <cell r="B117" t="str">
            <v>สติ๊กเกอร์สายคาด ซอฟท์เค้กมะพร้าวนมสด Amazon</v>
          </cell>
          <cell r="C117" t="str">
            <v>ชิ้น</v>
          </cell>
          <cell r="D117">
            <v>0</v>
          </cell>
          <cell r="F117" t="str">
            <v>JD2023-02778</v>
          </cell>
          <cell r="G117" t="str">
            <v>15-20 วัน</v>
          </cell>
          <cell r="H117">
            <v>11000</v>
          </cell>
          <cell r="AN117">
            <v>0</v>
          </cell>
          <cell r="AO117">
            <v>1000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1000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1000</v>
          </cell>
          <cell r="BR117">
            <v>0</v>
          </cell>
          <cell r="BS117">
            <v>0</v>
          </cell>
          <cell r="BT117">
            <v>3000</v>
          </cell>
        </row>
        <row r="118">
          <cell r="A118" t="str">
            <v>02-BTAZ10</v>
          </cell>
          <cell r="B118" t="str">
            <v>สติ๊กเกอร์สายคาดปังลาวาไข่เค็ม Amazon</v>
          </cell>
          <cell r="C118" t="str">
            <v>ดวง</v>
          </cell>
          <cell r="D118">
            <v>0</v>
          </cell>
          <cell r="F118" t="str">
            <v>JD2023-02317-2</v>
          </cell>
          <cell r="G118" t="str">
            <v>15-20 วัน</v>
          </cell>
          <cell r="H118">
            <v>6000</v>
          </cell>
          <cell r="N118">
            <v>20000</v>
          </cell>
          <cell r="AN118">
            <v>20000</v>
          </cell>
          <cell r="AO118">
            <v>0</v>
          </cell>
          <cell r="AP118">
            <v>1000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1000</v>
          </cell>
          <cell r="AX118">
            <v>0</v>
          </cell>
          <cell r="AY118">
            <v>1000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1000</v>
          </cell>
          <cell r="BK118">
            <v>0</v>
          </cell>
          <cell r="BL118">
            <v>1000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5000</v>
          </cell>
        </row>
        <row r="119">
          <cell r="A119" t="str">
            <v>02-BTAZ11</v>
          </cell>
          <cell r="B119" t="str">
            <v>สติ๊กเกอร์สายคาดเครปโรลฝอยทอง Amazon</v>
          </cell>
          <cell r="C119" t="str">
            <v>ดวง</v>
          </cell>
          <cell r="D119">
            <v>0</v>
          </cell>
          <cell r="F119" t="str">
            <v>JD2023-02318-2</v>
          </cell>
          <cell r="G119" t="str">
            <v>15-20 วัน</v>
          </cell>
          <cell r="H119">
            <v>9000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1000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1000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2000</v>
          </cell>
        </row>
        <row r="120">
          <cell r="A120" t="str">
            <v>02-BATZ27</v>
          </cell>
          <cell r="B120" t="str">
            <v>สติ๊กเกอร์เค้กมะพร้าวสามเหลี่ยม Amazon</v>
          </cell>
          <cell r="C120" t="str">
            <v>ดวง</v>
          </cell>
          <cell r="D120">
            <v>0</v>
          </cell>
          <cell r="F120" t="str">
            <v>-</v>
          </cell>
          <cell r="G120" t="str">
            <v>15-20 วัน</v>
          </cell>
          <cell r="H120">
            <v>9166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600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2466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3066</v>
          </cell>
        </row>
        <row r="121">
          <cell r="A121" t="str">
            <v>02-BTAZ28</v>
          </cell>
          <cell r="B121" t="str">
            <v>สติ๊กเกอร์เปี๊ยะใส้ถั่วไข่เค็ม Amazon</v>
          </cell>
          <cell r="C121" t="str">
            <v>ดวง</v>
          </cell>
          <cell r="D121">
            <v>0</v>
          </cell>
          <cell r="F121" t="str">
            <v>-</v>
          </cell>
          <cell r="G121" t="str">
            <v>15-20 วัน</v>
          </cell>
          <cell r="H121">
            <v>20000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10000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10000</v>
          </cell>
        </row>
        <row r="122">
          <cell r="A122" t="str">
            <v>02-FLM002-2</v>
          </cell>
          <cell r="B122" t="str">
            <v>ฟิล์ม BP622  ใช้ซีนครีมฮอร์น 150*500*65 (ก*ย*หนา)</v>
          </cell>
          <cell r="C122" t="str">
            <v>ม้วน*500เมตร</v>
          </cell>
          <cell r="D122">
            <v>0</v>
          </cell>
          <cell r="F122" t="str">
            <v>T230703769</v>
          </cell>
          <cell r="G122" t="str">
            <v>20-25วัน</v>
          </cell>
          <cell r="H122">
            <v>184</v>
          </cell>
          <cell r="AN122">
            <v>0</v>
          </cell>
          <cell r="AO122">
            <v>17</v>
          </cell>
          <cell r="AP122">
            <v>16</v>
          </cell>
          <cell r="AQ122">
            <v>0</v>
          </cell>
          <cell r="AR122">
            <v>13</v>
          </cell>
          <cell r="AS122">
            <v>10</v>
          </cell>
          <cell r="AT122">
            <v>22</v>
          </cell>
          <cell r="AU122">
            <v>0</v>
          </cell>
          <cell r="AV122">
            <v>18</v>
          </cell>
          <cell r="AW122">
            <v>5</v>
          </cell>
          <cell r="AX122">
            <v>12</v>
          </cell>
          <cell r="AY122">
            <v>12</v>
          </cell>
          <cell r="AZ122">
            <v>8</v>
          </cell>
          <cell r="BA122">
            <v>18</v>
          </cell>
          <cell r="BB122">
            <v>0</v>
          </cell>
          <cell r="BC122">
            <v>7</v>
          </cell>
          <cell r="BD122">
            <v>8</v>
          </cell>
          <cell r="BE122">
            <v>10</v>
          </cell>
          <cell r="BF122">
            <v>8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184</v>
          </cell>
        </row>
        <row r="123">
          <cell r="A123" t="str">
            <v>1023001007-1</v>
          </cell>
          <cell r="B123" t="str">
            <v>ฟิล์ม BP622  ใช้ซีนครีมฮอร์น 150*500*65 (ก*ย*หนา)รหัสไหม่</v>
          </cell>
          <cell r="C123" t="str">
            <v>ม้วน</v>
          </cell>
          <cell r="H123">
            <v>0</v>
          </cell>
          <cell r="AA123">
            <v>44</v>
          </cell>
          <cell r="AG123">
            <v>136</v>
          </cell>
          <cell r="AI123">
            <v>104</v>
          </cell>
          <cell r="AN123">
            <v>284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10</v>
          </cell>
          <cell r="BH123">
            <v>19</v>
          </cell>
          <cell r="BI123">
            <v>0</v>
          </cell>
          <cell r="BJ123">
            <v>10</v>
          </cell>
          <cell r="BK123">
            <v>5</v>
          </cell>
          <cell r="BL123">
            <v>0</v>
          </cell>
          <cell r="BM123">
            <v>17</v>
          </cell>
          <cell r="BN123">
            <v>10</v>
          </cell>
          <cell r="BO123">
            <v>20</v>
          </cell>
          <cell r="BP123">
            <v>0</v>
          </cell>
          <cell r="BQ123">
            <v>16</v>
          </cell>
          <cell r="BR123">
            <v>5</v>
          </cell>
          <cell r="BS123">
            <v>11</v>
          </cell>
          <cell r="BT123">
            <v>123</v>
          </cell>
        </row>
        <row r="124">
          <cell r="A124" t="str">
            <v>02-FLM003-2</v>
          </cell>
          <cell r="B124" t="str">
            <v>ฟิล์ม3สี พิมพ์ วรรณวนัช ใช้ซีนชิฟฟ่อน160*500</v>
          </cell>
          <cell r="C124" t="str">
            <v>ม้วน*500เมตร</v>
          </cell>
          <cell r="D124">
            <v>0</v>
          </cell>
          <cell r="F124" t="str">
            <v>T230100137,T230502233,T230703510</v>
          </cell>
          <cell r="G124" t="str">
            <v>20-25วัน</v>
          </cell>
          <cell r="H124">
            <v>128</v>
          </cell>
          <cell r="AN124">
            <v>0</v>
          </cell>
          <cell r="AO124">
            <v>3</v>
          </cell>
          <cell r="AP124">
            <v>3</v>
          </cell>
          <cell r="AQ124">
            <v>0</v>
          </cell>
          <cell r="AR124">
            <v>3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2</v>
          </cell>
          <cell r="AX124">
            <v>0</v>
          </cell>
          <cell r="AY124">
            <v>2</v>
          </cell>
          <cell r="AZ124">
            <v>3</v>
          </cell>
          <cell r="BA124">
            <v>2</v>
          </cell>
          <cell r="BB124">
            <v>0</v>
          </cell>
          <cell r="BC124">
            <v>1</v>
          </cell>
          <cell r="BD124">
            <v>3</v>
          </cell>
          <cell r="BE124">
            <v>0</v>
          </cell>
          <cell r="BF124">
            <v>2</v>
          </cell>
          <cell r="BG124">
            <v>1</v>
          </cell>
          <cell r="BH124">
            <v>2</v>
          </cell>
          <cell r="BI124">
            <v>0</v>
          </cell>
          <cell r="BJ124">
            <v>2</v>
          </cell>
          <cell r="BK124">
            <v>2</v>
          </cell>
          <cell r="BL124">
            <v>2</v>
          </cell>
          <cell r="BM124">
            <v>3</v>
          </cell>
          <cell r="BN124">
            <v>2</v>
          </cell>
          <cell r="BO124">
            <v>1</v>
          </cell>
          <cell r="BP124">
            <v>0</v>
          </cell>
          <cell r="BQ124">
            <v>2</v>
          </cell>
          <cell r="BR124">
            <v>1</v>
          </cell>
          <cell r="BS124">
            <v>3</v>
          </cell>
          <cell r="BT124">
            <v>45</v>
          </cell>
        </row>
        <row r="125">
          <cell r="A125" t="str">
            <v>1023001008-1</v>
          </cell>
          <cell r="B125" t="str">
            <v>ฟิล์ม3สี พิมพ์ วรรณวนัช ใช้ซีนชิฟฟ่อน160*500 รหัสไหม่</v>
          </cell>
          <cell r="C125" t="str">
            <v>ม้วน*500เมตร</v>
          </cell>
          <cell r="D125">
            <v>0</v>
          </cell>
          <cell r="E125" t="str">
            <v>RJ</v>
          </cell>
          <cell r="F125" t="str">
            <v>-</v>
          </cell>
          <cell r="G125" t="str">
            <v>20-25 วัน</v>
          </cell>
          <cell r="H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</row>
        <row r="126">
          <cell r="A126" t="str">
            <v>02-FLM004-2</v>
          </cell>
          <cell r="B126" t="str">
            <v>ม้วนฟิล์มฝาปิดถาด Top Sealใช้ซีนเบาหวิว240mm*500m Mako</v>
          </cell>
          <cell r="C126" t="str">
            <v>ม้วน*500เมตร</v>
          </cell>
          <cell r="D126">
            <v>0</v>
          </cell>
          <cell r="F126" t="str">
            <v>3375499-WWN-06</v>
          </cell>
          <cell r="G126" t="str">
            <v>20-25วัน</v>
          </cell>
          <cell r="H126">
            <v>44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1</v>
          </cell>
          <cell r="AT126">
            <v>0</v>
          </cell>
          <cell r="AU126">
            <v>0</v>
          </cell>
          <cell r="AV126">
            <v>2</v>
          </cell>
          <cell r="AW126">
            <v>0</v>
          </cell>
          <cell r="AX126">
            <v>0</v>
          </cell>
          <cell r="AY126">
            <v>2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1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1</v>
          </cell>
          <cell r="BR126">
            <v>0</v>
          </cell>
          <cell r="BS126">
            <v>0</v>
          </cell>
          <cell r="BT126">
            <v>8</v>
          </cell>
        </row>
        <row r="127">
          <cell r="A127" t="str">
            <v>02-FLM005-2</v>
          </cell>
          <cell r="B127" t="str">
            <v>ม้วนฟิล์ม Top Sealใช้ปังเนยนิ่ม150mm*500m</v>
          </cell>
          <cell r="C127" t="str">
            <v>ม้วน*500เมตร</v>
          </cell>
          <cell r="D127">
            <v>0</v>
          </cell>
          <cell r="F127" t="str">
            <v>3375990-WWN-01</v>
          </cell>
          <cell r="G127" t="str">
            <v>20-25วัน</v>
          </cell>
          <cell r="H127">
            <v>15</v>
          </cell>
          <cell r="AN127">
            <v>0</v>
          </cell>
          <cell r="AO127">
            <v>1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1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7</v>
          </cell>
          <cell r="BM127">
            <v>2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1</v>
          </cell>
          <cell r="BT127">
            <v>12</v>
          </cell>
        </row>
        <row r="128">
          <cell r="A128" t="str">
            <v>02-FLM007-2</v>
          </cell>
          <cell r="B128" t="str">
            <v>ม้วนฟิมล์ใส PET ใช้ซีนแป้ง 500mm.*500m.</v>
          </cell>
          <cell r="C128" t="str">
            <v>ม้วน*500เมตร</v>
          </cell>
          <cell r="D128">
            <v>0</v>
          </cell>
          <cell r="E128" t="str">
            <v>RJ</v>
          </cell>
          <cell r="H128">
            <v>56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</row>
        <row r="129">
          <cell r="A129" t="str">
            <v>02-FLM008-2</v>
          </cell>
          <cell r="B129" t="str">
            <v>ม้วนฟิมล์ใส PET ใช้ซีนน้ำ 280mm.*500m.</v>
          </cell>
          <cell r="C129" t="str">
            <v>ม้วน*500เมตร</v>
          </cell>
          <cell r="D129">
            <v>0</v>
          </cell>
          <cell r="E129" t="str">
            <v>RJ</v>
          </cell>
          <cell r="H129">
            <v>40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</row>
        <row r="130">
          <cell r="A130" t="str">
            <v>02-FLM009-2</v>
          </cell>
          <cell r="B130" t="str">
            <v>ม้วนฟิมล์ใส OPP ใช้ซีนผง 280mm.*500m.</v>
          </cell>
          <cell r="C130" t="str">
            <v>ม้วน*500เมตร</v>
          </cell>
          <cell r="D130">
            <v>0</v>
          </cell>
          <cell r="E130" t="str">
            <v>RJ</v>
          </cell>
          <cell r="H130">
            <v>24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</row>
        <row r="131">
          <cell r="A131" t="str">
            <v>02-FLM010-2</v>
          </cell>
          <cell r="B131" t="str">
            <v>ม้วนฟิมล์ใส PET ใช้ซีนแซนวิส CJ  220mm.*500m.</v>
          </cell>
          <cell r="C131" t="str">
            <v>ม้วน*500เมตร</v>
          </cell>
          <cell r="D131">
            <v>0</v>
          </cell>
          <cell r="F131" t="str">
            <v>-</v>
          </cell>
          <cell r="G131" t="str">
            <v>20-25 วัน</v>
          </cell>
          <cell r="H131">
            <v>14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3</v>
          </cell>
          <cell r="AS131">
            <v>0</v>
          </cell>
          <cell r="AT131">
            <v>0</v>
          </cell>
          <cell r="AU131">
            <v>0</v>
          </cell>
          <cell r="AV131">
            <v>3</v>
          </cell>
          <cell r="AW131">
            <v>0</v>
          </cell>
          <cell r="AX131">
            <v>1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6</v>
          </cell>
          <cell r="BD131">
            <v>0</v>
          </cell>
          <cell r="BE131">
            <v>0</v>
          </cell>
          <cell r="BF131">
            <v>1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14</v>
          </cell>
        </row>
        <row r="132">
          <cell r="A132" t="str">
            <v>1023001012-1</v>
          </cell>
          <cell r="B132" t="str">
            <v>ม้วนฟิมล์ใส PET ใช้ซีนแซนวิส CJ  220mm.*500m. รหัสไหม่</v>
          </cell>
          <cell r="C132" t="str">
            <v>ม้วน</v>
          </cell>
          <cell r="H132">
            <v>0</v>
          </cell>
          <cell r="AA132">
            <v>22</v>
          </cell>
          <cell r="AN132">
            <v>22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3</v>
          </cell>
          <cell r="BH132">
            <v>1</v>
          </cell>
          <cell r="BI132">
            <v>0</v>
          </cell>
          <cell r="BJ132">
            <v>3</v>
          </cell>
          <cell r="BK132">
            <v>0</v>
          </cell>
          <cell r="BL132">
            <v>0</v>
          </cell>
          <cell r="BM132">
            <v>2</v>
          </cell>
          <cell r="BN132">
            <v>0</v>
          </cell>
          <cell r="BO132">
            <v>0</v>
          </cell>
          <cell r="BP132">
            <v>0</v>
          </cell>
          <cell r="BQ132">
            <v>3</v>
          </cell>
          <cell r="BR132">
            <v>0</v>
          </cell>
          <cell r="BS132">
            <v>2</v>
          </cell>
          <cell r="BT132">
            <v>14</v>
          </cell>
        </row>
        <row r="133">
          <cell r="A133" t="str">
            <v>02-FLM011-2</v>
          </cell>
          <cell r="B133" t="str">
            <v>ม้วนฟิมล์ใส PET ใช้ซีนวัตถุดิบ CJ  220mm.*500m.(เบาหวิวใช้อันนี้ก่อน)</v>
          </cell>
          <cell r="C133" t="str">
            <v>ม้วน*500เมตร</v>
          </cell>
          <cell r="D133">
            <v>0</v>
          </cell>
          <cell r="F133" t="str">
            <v>-</v>
          </cell>
          <cell r="G133" t="str">
            <v>20-25 วัน</v>
          </cell>
          <cell r="H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</row>
        <row r="134">
          <cell r="A134" t="str">
            <v>02-FLM012-1</v>
          </cell>
          <cell r="B134" t="str">
            <v>ม้วนฟิมล์ใส OPP บรรจุคุ๊กกี้ฮ้องกงช็อคโกแลต 26*14.5*1000m.</v>
          </cell>
          <cell r="C134" t="str">
            <v>ม้วน*1000เมตร</v>
          </cell>
          <cell r="D134">
            <v>0</v>
          </cell>
          <cell r="E134" t="str">
            <v>RJ</v>
          </cell>
          <cell r="F134" t="str">
            <v>-</v>
          </cell>
          <cell r="G134" t="str">
            <v>20-25 วัน</v>
          </cell>
          <cell r="H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</row>
        <row r="135">
          <cell r="A135" t="str">
            <v>02-FLM013-1</v>
          </cell>
          <cell r="B135" t="str">
            <v>ม้วนฟิมล์ใส OPP บรรจุคุ๊กกี้ฮ้องกงออริจินอล 26*14.5*1000m.</v>
          </cell>
          <cell r="C135" t="str">
            <v>ม้วน*1000เมตร</v>
          </cell>
          <cell r="D135">
            <v>0</v>
          </cell>
          <cell r="E135" t="str">
            <v>RJ</v>
          </cell>
          <cell r="F135" t="str">
            <v>-</v>
          </cell>
          <cell r="G135" t="str">
            <v>20-25 วัน</v>
          </cell>
          <cell r="H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</row>
        <row r="136">
          <cell r="A136" t="str">
            <v>02-FLM014-1</v>
          </cell>
          <cell r="B136" t="str">
            <v>ม้วนฟิมล์ใส OPP บรรจุคุ๊กกี้ฮ่องกงรสหัวหอมเจียว 26*14.5*1000m.</v>
          </cell>
          <cell r="C136" t="str">
            <v>ม้วน*1000เมตร</v>
          </cell>
          <cell r="D136">
            <v>0</v>
          </cell>
          <cell r="E136" t="str">
            <v>RJ</v>
          </cell>
          <cell r="F136" t="str">
            <v>-</v>
          </cell>
          <cell r="G136" t="str">
            <v>20-25 วัน</v>
          </cell>
          <cell r="H136">
            <v>3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</row>
        <row r="137">
          <cell r="A137" t="str">
            <v>1023001003-2</v>
          </cell>
          <cell r="B137" t="str">
            <v>ม้วนฟิมล์ขนมปังกรอบคาราเมล PET ไม่ใช้</v>
          </cell>
          <cell r="C137" t="str">
            <v>ม้วน</v>
          </cell>
          <cell r="E137" t="str">
            <v>RJ</v>
          </cell>
          <cell r="F137" t="str">
            <v>-</v>
          </cell>
          <cell r="G137" t="str">
            <v>1 เดือน</v>
          </cell>
          <cell r="H137">
            <v>26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</row>
        <row r="138">
          <cell r="A138" t="str">
            <v>1023001013-1</v>
          </cell>
          <cell r="B138" t="str">
            <v>ม้วนฟิมล์ขนมปังกรอบคาราเมล PET 220 มม.*500 ม.</v>
          </cell>
          <cell r="C138" t="str">
            <v>ม้วน</v>
          </cell>
          <cell r="H138">
            <v>40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</row>
        <row r="139">
          <cell r="A139" t="str">
            <v>1023001005-2</v>
          </cell>
          <cell r="B139" t="str">
            <v>ม้วนฟิมล์ครีมฮอนวนิลา PET อเมซอล</v>
          </cell>
          <cell r="C139" t="str">
            <v>ม้วน</v>
          </cell>
          <cell r="H139">
            <v>66</v>
          </cell>
          <cell r="AN139">
            <v>0</v>
          </cell>
          <cell r="AO139">
            <v>0</v>
          </cell>
          <cell r="AP139">
            <v>1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0</v>
          </cell>
          <cell r="AV139">
            <v>0</v>
          </cell>
          <cell r="AW139">
            <v>1</v>
          </cell>
          <cell r="AX139">
            <v>0</v>
          </cell>
          <cell r="AY139">
            <v>0</v>
          </cell>
          <cell r="AZ139">
            <v>0</v>
          </cell>
          <cell r="BA139">
            <v>1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1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1</v>
          </cell>
          <cell r="BS139">
            <v>0</v>
          </cell>
          <cell r="BT139">
            <v>6</v>
          </cell>
        </row>
        <row r="140">
          <cell r="A140" t="str">
            <v>1023001006-2</v>
          </cell>
          <cell r="B140" t="str">
            <v>ม้วนฟิมล์เอแคลร์นมสด PET อเมซอล</v>
          </cell>
          <cell r="C140" t="str">
            <v>ม้วน</v>
          </cell>
          <cell r="H140">
            <v>45</v>
          </cell>
          <cell r="AN140">
            <v>0</v>
          </cell>
          <cell r="AO140">
            <v>0</v>
          </cell>
          <cell r="AP140">
            <v>1</v>
          </cell>
          <cell r="AQ140">
            <v>0</v>
          </cell>
          <cell r="AR140">
            <v>0</v>
          </cell>
          <cell r="AS140">
            <v>1</v>
          </cell>
          <cell r="AT140">
            <v>1</v>
          </cell>
          <cell r="AU140">
            <v>0</v>
          </cell>
          <cell r="AV140">
            <v>0</v>
          </cell>
          <cell r="AW140">
            <v>1</v>
          </cell>
          <cell r="AX140">
            <v>0</v>
          </cell>
          <cell r="AY140">
            <v>0</v>
          </cell>
          <cell r="AZ140">
            <v>0</v>
          </cell>
          <cell r="BA140">
            <v>1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1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9</v>
          </cell>
        </row>
        <row r="141">
          <cell r="A141" t="str">
            <v>1024201001-1</v>
          </cell>
          <cell r="B141" t="str">
            <v>ม้วนฟิมล์ชิฟฟ่อนเจี้ยนชา 160*500 M</v>
          </cell>
          <cell r="C141" t="str">
            <v>ม้วน</v>
          </cell>
          <cell r="H141">
            <v>24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</row>
        <row r="142">
          <cell r="A142" t="str">
            <v>1023201043-1</v>
          </cell>
          <cell r="B142" t="str">
            <v>ม้วนฟิมล์ไอร์มาร์ค 2สี Amazon</v>
          </cell>
          <cell r="C142" t="str">
            <v>ม้วน</v>
          </cell>
          <cell r="H142">
            <v>38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1</v>
          </cell>
          <cell r="BF142">
            <v>1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1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1</v>
          </cell>
          <cell r="BR142">
            <v>0</v>
          </cell>
          <cell r="BS142">
            <v>1</v>
          </cell>
          <cell r="BT142">
            <v>5</v>
          </cell>
        </row>
        <row r="143">
          <cell r="A143" t="str">
            <v>02-MC001</v>
          </cell>
          <cell r="B143" t="str">
            <v>กล่องเค้กเบาหวิวรสฝอยทอง 100 g.Makro(1ห่อ*200ใบ)</v>
          </cell>
          <cell r="C143" t="str">
            <v>ใบ</v>
          </cell>
          <cell r="D143">
            <v>0</v>
          </cell>
          <cell r="G143" t="str">
            <v>20-25 วัน</v>
          </cell>
          <cell r="H143">
            <v>7600</v>
          </cell>
          <cell r="AN143">
            <v>0</v>
          </cell>
          <cell r="AO143">
            <v>200</v>
          </cell>
          <cell r="AP143">
            <v>200</v>
          </cell>
          <cell r="AQ143">
            <v>0</v>
          </cell>
          <cell r="AR143">
            <v>200</v>
          </cell>
          <cell r="AS143">
            <v>200</v>
          </cell>
          <cell r="AT143">
            <v>0</v>
          </cell>
          <cell r="AU143">
            <v>0</v>
          </cell>
          <cell r="AV143">
            <v>200</v>
          </cell>
          <cell r="AW143">
            <v>200</v>
          </cell>
          <cell r="AX143">
            <v>0</v>
          </cell>
          <cell r="AY143">
            <v>200</v>
          </cell>
          <cell r="AZ143">
            <v>0</v>
          </cell>
          <cell r="BA143">
            <v>200</v>
          </cell>
          <cell r="BB143">
            <v>0</v>
          </cell>
          <cell r="BC143">
            <v>0</v>
          </cell>
          <cell r="BD143">
            <v>200</v>
          </cell>
          <cell r="BE143">
            <v>0</v>
          </cell>
          <cell r="BF143">
            <v>200</v>
          </cell>
          <cell r="BG143">
            <v>0</v>
          </cell>
          <cell r="BH143">
            <v>200</v>
          </cell>
          <cell r="BI143">
            <v>0</v>
          </cell>
          <cell r="BJ143">
            <v>0</v>
          </cell>
          <cell r="BK143">
            <v>200</v>
          </cell>
          <cell r="BL143">
            <v>200</v>
          </cell>
          <cell r="BM143">
            <v>200</v>
          </cell>
          <cell r="BN143">
            <v>200</v>
          </cell>
          <cell r="BO143">
            <v>200</v>
          </cell>
          <cell r="BP143">
            <v>0</v>
          </cell>
          <cell r="BQ143">
            <v>0</v>
          </cell>
          <cell r="BR143">
            <v>0</v>
          </cell>
          <cell r="BS143">
            <v>200</v>
          </cell>
          <cell r="BT143">
            <v>3400</v>
          </cell>
        </row>
        <row r="144">
          <cell r="A144">
            <v>1020501034</v>
          </cell>
          <cell r="B144" t="str">
            <v>กล่องเค้กเบาหวิวรสฝอยทอง 100 g.Makro(1ห่อ*200ใบ) รหัสไหม่</v>
          </cell>
          <cell r="C144" t="str">
            <v>แถว</v>
          </cell>
          <cell r="D144">
            <v>0</v>
          </cell>
          <cell r="G144" t="str">
            <v>15-20 วัน</v>
          </cell>
          <cell r="H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</row>
        <row r="145">
          <cell r="A145" t="str">
            <v>02-MC002</v>
          </cell>
          <cell r="B145" t="str">
            <v>กล่องเค้กเบาหวิวเผือกมะพร้าวอ่อน 100g.MAKRO(1ห่อ*200ใบ)</v>
          </cell>
          <cell r="C145" t="str">
            <v>ใบ</v>
          </cell>
          <cell r="D145">
            <v>0</v>
          </cell>
          <cell r="G145" t="str">
            <v>20-25 วัน</v>
          </cell>
          <cell r="H145">
            <v>5800</v>
          </cell>
          <cell r="AN145">
            <v>0</v>
          </cell>
          <cell r="AO145">
            <v>0</v>
          </cell>
          <cell r="AP145">
            <v>200</v>
          </cell>
          <cell r="AQ145">
            <v>0</v>
          </cell>
          <cell r="AR145">
            <v>0</v>
          </cell>
          <cell r="AS145">
            <v>200</v>
          </cell>
          <cell r="AT145">
            <v>200</v>
          </cell>
          <cell r="AU145">
            <v>0</v>
          </cell>
          <cell r="AV145">
            <v>200</v>
          </cell>
          <cell r="AW145">
            <v>200</v>
          </cell>
          <cell r="AX145">
            <v>0</v>
          </cell>
          <cell r="AY145">
            <v>0</v>
          </cell>
          <cell r="AZ145">
            <v>200</v>
          </cell>
          <cell r="BA145">
            <v>200</v>
          </cell>
          <cell r="BB145">
            <v>0</v>
          </cell>
          <cell r="BC145">
            <v>0</v>
          </cell>
          <cell r="BD145">
            <v>0</v>
          </cell>
          <cell r="BE145">
            <v>200</v>
          </cell>
          <cell r="BF145">
            <v>0</v>
          </cell>
          <cell r="BG145">
            <v>200</v>
          </cell>
          <cell r="BH145">
            <v>0</v>
          </cell>
          <cell r="BI145">
            <v>0</v>
          </cell>
          <cell r="BJ145">
            <v>200</v>
          </cell>
          <cell r="BK145">
            <v>200</v>
          </cell>
          <cell r="BL145">
            <v>0</v>
          </cell>
          <cell r="BM145">
            <v>200</v>
          </cell>
          <cell r="BN145">
            <v>200</v>
          </cell>
          <cell r="BO145">
            <v>200</v>
          </cell>
          <cell r="BP145">
            <v>0</v>
          </cell>
          <cell r="BQ145">
            <v>0</v>
          </cell>
          <cell r="BR145">
            <v>0</v>
          </cell>
          <cell r="BS145">
            <v>200</v>
          </cell>
          <cell r="BT145">
            <v>3000</v>
          </cell>
        </row>
        <row r="146">
          <cell r="A146">
            <v>1020501035</v>
          </cell>
          <cell r="B146" t="str">
            <v>กล่องเค้กเบาหวิวเผือกมะพร้าวอ่อน 100g.MAKRO(1ห่อ*200ใบ) รหัสไหม่</v>
          </cell>
          <cell r="C146" t="str">
            <v>แถว</v>
          </cell>
          <cell r="D146">
            <v>0</v>
          </cell>
          <cell r="G146" t="str">
            <v>15-20 วัน</v>
          </cell>
          <cell r="H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</row>
        <row r="147">
          <cell r="A147" t="str">
            <v>02-PC01</v>
          </cell>
          <cell r="B147" t="str">
            <v>พิมพ์อบขนมเค้ก 1/2 ปอนด์</v>
          </cell>
          <cell r="C147" t="str">
            <v>ใบ</v>
          </cell>
          <cell r="D147">
            <v>0</v>
          </cell>
          <cell r="F147" t="str">
            <v>-</v>
          </cell>
          <cell r="G147" t="str">
            <v>7 วัน</v>
          </cell>
          <cell r="H147">
            <v>1000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</row>
        <row r="148">
          <cell r="A148" t="str">
            <v>02-PC04</v>
          </cell>
          <cell r="B148" t="str">
            <v>ถาดวงกลมชิฟฟ่อน 2ปอนด์ (ห่อ*12000ชิ้น)</v>
          </cell>
          <cell r="C148" t="str">
            <v>ชิ้น</v>
          </cell>
          <cell r="D148">
            <v>0</v>
          </cell>
          <cell r="G148" t="str">
            <v>7-15 วัน</v>
          </cell>
          <cell r="H148">
            <v>24000</v>
          </cell>
          <cell r="L148">
            <v>120000</v>
          </cell>
          <cell r="AN148">
            <v>120000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12000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12000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12000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12000</v>
          </cell>
          <cell r="BR148">
            <v>0</v>
          </cell>
          <cell r="BS148">
            <v>0</v>
          </cell>
          <cell r="BT148">
            <v>48000</v>
          </cell>
        </row>
        <row r="149">
          <cell r="A149" t="str">
            <v>02-PC05</v>
          </cell>
          <cell r="B149" t="str">
            <v>ถาดวงกลมเบาหวิว (ล)  (1/2 ปอนด์)</v>
          </cell>
          <cell r="C149" t="str">
            <v>ชิ้น</v>
          </cell>
          <cell r="D149">
            <v>0</v>
          </cell>
          <cell r="G149" t="str">
            <v>7-15 วัน</v>
          </cell>
          <cell r="H149">
            <v>156000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12000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12000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24000</v>
          </cell>
        </row>
        <row r="150">
          <cell r="A150" t="str">
            <v>02-PC06</v>
          </cell>
          <cell r="B150" t="str">
            <v>สายคาดเบาหวิว ครึ่งปอนด์ (ห่อ*3000ชิ้น)</v>
          </cell>
          <cell r="C150" t="str">
            <v>ชิ้น</v>
          </cell>
          <cell r="D150">
            <v>0</v>
          </cell>
          <cell r="G150" t="str">
            <v>7-15 วัน</v>
          </cell>
          <cell r="H150">
            <v>156000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12000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12000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24000</v>
          </cell>
        </row>
        <row r="151">
          <cell r="A151" t="str">
            <v>02-PC08</v>
          </cell>
          <cell r="B151" t="str">
            <v>สายคาดชิฟฟ่อน 2 ปอนด์   (ห่อ*3000ชิ้น)</v>
          </cell>
          <cell r="C151" t="str">
            <v>ชิ้น</v>
          </cell>
          <cell r="D151">
            <v>0</v>
          </cell>
          <cell r="G151" t="str">
            <v>7-15 วัน</v>
          </cell>
          <cell r="H151">
            <v>24000</v>
          </cell>
          <cell r="L151">
            <v>120000</v>
          </cell>
          <cell r="AN151">
            <v>120000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12000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12000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12000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12000</v>
          </cell>
          <cell r="BR151">
            <v>0</v>
          </cell>
          <cell r="BS151">
            <v>0</v>
          </cell>
          <cell r="BT151">
            <v>48000</v>
          </cell>
        </row>
        <row r="152">
          <cell r="A152" t="str">
            <v>02-PC09</v>
          </cell>
          <cell r="B152" t="str">
            <v xml:space="preserve">กระดาษขาวบางห่อชิฟฟ่อน 10รีมต่อ1มัด </v>
          </cell>
          <cell r="C152" t="str">
            <v>รีม</v>
          </cell>
          <cell r="D152">
            <v>0</v>
          </cell>
          <cell r="G152" t="str">
            <v>7 วัน</v>
          </cell>
          <cell r="H152">
            <v>90</v>
          </cell>
          <cell r="AN152">
            <v>0</v>
          </cell>
          <cell r="AO152">
            <v>0</v>
          </cell>
          <cell r="AP152">
            <v>10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10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10</v>
          </cell>
          <cell r="BT152">
            <v>30</v>
          </cell>
        </row>
        <row r="153">
          <cell r="A153" t="str">
            <v>02-PC10</v>
          </cell>
          <cell r="B153" t="str">
            <v>กระดาษรองก้นขนมปัง 3.5x4(มัด*10กก.)</v>
          </cell>
          <cell r="C153" t="str">
            <v>มัด</v>
          </cell>
          <cell r="D153">
            <v>0</v>
          </cell>
          <cell r="G153" t="str">
            <v>1 วัน</v>
          </cell>
          <cell r="H153">
            <v>30</v>
          </cell>
          <cell r="AN153">
            <v>0</v>
          </cell>
          <cell r="AO153">
            <v>1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</v>
          </cell>
          <cell r="AX153">
            <v>0</v>
          </cell>
          <cell r="AY153">
            <v>0</v>
          </cell>
          <cell r="AZ153">
            <v>1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</v>
          </cell>
          <cell r="BL153">
            <v>0</v>
          </cell>
          <cell r="BM153">
            <v>0</v>
          </cell>
          <cell r="BN153">
            <v>1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6</v>
          </cell>
        </row>
        <row r="154">
          <cell r="A154" t="str">
            <v>02-PC11</v>
          </cell>
          <cell r="B154" t="str">
            <v>ถ้วยขาว 2616 ลังละ 75 แถว</v>
          </cell>
          <cell r="C154" t="str">
            <v>แถว</v>
          </cell>
          <cell r="D154">
            <v>0</v>
          </cell>
          <cell r="F154" t="str">
            <v>-</v>
          </cell>
          <cell r="G154" t="str">
            <v>1 วัน</v>
          </cell>
          <cell r="H154">
            <v>87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5</v>
          </cell>
          <cell r="AS154">
            <v>0</v>
          </cell>
          <cell r="AT154">
            <v>10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10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10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10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10</v>
          </cell>
          <cell r="BR154">
            <v>0</v>
          </cell>
          <cell r="BS154">
            <v>0</v>
          </cell>
          <cell r="BT154">
            <v>55</v>
          </cell>
        </row>
        <row r="155">
          <cell r="A155" t="str">
            <v>1021601023-1</v>
          </cell>
          <cell r="B155" t="str">
            <v>ถ้วยขาว 2616 ลังละ 75 รหัสไหม่</v>
          </cell>
          <cell r="C155" t="str">
            <v>แถว</v>
          </cell>
          <cell r="D155">
            <v>0</v>
          </cell>
          <cell r="G155" t="str">
            <v>15-20 วัน</v>
          </cell>
          <cell r="H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</row>
        <row r="156">
          <cell r="A156" t="str">
            <v>02-PC14</v>
          </cell>
          <cell r="B156" t="str">
            <v>ถ้วยชิม 1 ออนซ์(แถว*100ใบ)</v>
          </cell>
          <cell r="C156" t="str">
            <v>ใบ</v>
          </cell>
          <cell r="D156">
            <v>0</v>
          </cell>
          <cell r="F156" t="str">
            <v>VI452,VI439</v>
          </cell>
          <cell r="G156" t="str">
            <v>1 วัน</v>
          </cell>
          <cell r="H156">
            <v>9550</v>
          </cell>
          <cell r="AN156">
            <v>0</v>
          </cell>
          <cell r="AO156">
            <v>200</v>
          </cell>
          <cell r="AP156">
            <v>100</v>
          </cell>
          <cell r="AQ156">
            <v>0</v>
          </cell>
          <cell r="AR156">
            <v>200</v>
          </cell>
          <cell r="AS156">
            <v>100</v>
          </cell>
          <cell r="AT156">
            <v>100</v>
          </cell>
          <cell r="AU156">
            <v>0</v>
          </cell>
          <cell r="AV156">
            <v>100</v>
          </cell>
          <cell r="AW156">
            <v>100</v>
          </cell>
          <cell r="AX156">
            <v>100</v>
          </cell>
          <cell r="AY156">
            <v>200</v>
          </cell>
          <cell r="AZ156">
            <v>850</v>
          </cell>
          <cell r="BA156">
            <v>100</v>
          </cell>
          <cell r="BB156">
            <v>0</v>
          </cell>
          <cell r="BC156">
            <v>100</v>
          </cell>
          <cell r="BD156">
            <v>100</v>
          </cell>
          <cell r="BE156">
            <v>100</v>
          </cell>
          <cell r="BF156">
            <v>200</v>
          </cell>
          <cell r="BG156">
            <v>100</v>
          </cell>
          <cell r="BH156">
            <v>400</v>
          </cell>
          <cell r="BI156">
            <v>0</v>
          </cell>
          <cell r="BJ156">
            <v>200</v>
          </cell>
          <cell r="BK156">
            <v>100</v>
          </cell>
          <cell r="BL156">
            <v>0</v>
          </cell>
          <cell r="BM156">
            <v>200</v>
          </cell>
          <cell r="BN156">
            <v>100</v>
          </cell>
          <cell r="BO156">
            <v>100</v>
          </cell>
          <cell r="BP156">
            <v>0</v>
          </cell>
          <cell r="BQ156">
            <v>100</v>
          </cell>
          <cell r="BR156">
            <v>100</v>
          </cell>
          <cell r="BS156">
            <v>100</v>
          </cell>
          <cell r="BT156">
            <v>4150</v>
          </cell>
        </row>
        <row r="157">
          <cell r="A157" t="str">
            <v>02-PC15</v>
          </cell>
          <cell r="B157" t="str">
            <v>ฝาปิดถ้วยชิม 1 ออนซ์(แถว*100ใบ)</v>
          </cell>
          <cell r="C157" t="str">
            <v>ใบ</v>
          </cell>
          <cell r="D157">
            <v>0</v>
          </cell>
          <cell r="F157" t="str">
            <v>22/06/66 NO55,NO49</v>
          </cell>
          <cell r="G157" t="str">
            <v>1 วัน</v>
          </cell>
          <cell r="H157">
            <v>9350</v>
          </cell>
          <cell r="AN157">
            <v>0</v>
          </cell>
          <cell r="AO157">
            <v>200</v>
          </cell>
          <cell r="AP157">
            <v>100</v>
          </cell>
          <cell r="AQ157">
            <v>0</v>
          </cell>
          <cell r="AR157">
            <v>100</v>
          </cell>
          <cell r="AS157">
            <v>100</v>
          </cell>
          <cell r="AT157">
            <v>100</v>
          </cell>
          <cell r="AU157">
            <v>0</v>
          </cell>
          <cell r="AV157">
            <v>100</v>
          </cell>
          <cell r="AW157">
            <v>100</v>
          </cell>
          <cell r="AX157">
            <v>100</v>
          </cell>
          <cell r="AY157">
            <v>200</v>
          </cell>
          <cell r="AZ157">
            <v>1150</v>
          </cell>
          <cell r="BA157">
            <v>100</v>
          </cell>
          <cell r="BB157">
            <v>0</v>
          </cell>
          <cell r="BC157">
            <v>100</v>
          </cell>
          <cell r="BD157">
            <v>100</v>
          </cell>
          <cell r="BE157">
            <v>100</v>
          </cell>
          <cell r="BF157">
            <v>200</v>
          </cell>
          <cell r="BG157">
            <v>100</v>
          </cell>
          <cell r="BH157">
            <v>100</v>
          </cell>
          <cell r="BI157">
            <v>0</v>
          </cell>
          <cell r="BJ157">
            <v>200</v>
          </cell>
          <cell r="BK157">
            <v>100</v>
          </cell>
          <cell r="BL157">
            <v>0</v>
          </cell>
          <cell r="BM157">
            <v>200</v>
          </cell>
          <cell r="BN157">
            <v>100</v>
          </cell>
          <cell r="BO157">
            <v>100</v>
          </cell>
          <cell r="BP157">
            <v>0</v>
          </cell>
          <cell r="BQ157">
            <v>100</v>
          </cell>
          <cell r="BR157">
            <v>100</v>
          </cell>
          <cell r="BS157">
            <v>100</v>
          </cell>
          <cell r="BT157">
            <v>4050</v>
          </cell>
        </row>
        <row r="158">
          <cell r="A158" t="str">
            <v>02-PC16</v>
          </cell>
          <cell r="B158" t="str">
            <v>ถ้วยขาว 2816 ลังละ 65 แถว</v>
          </cell>
          <cell r="C158" t="str">
            <v>แถว</v>
          </cell>
          <cell r="D158">
            <v>0</v>
          </cell>
          <cell r="F158" t="str">
            <v>-</v>
          </cell>
          <cell r="G158" t="str">
            <v>1 วัน</v>
          </cell>
          <cell r="H158">
            <v>122</v>
          </cell>
          <cell r="AN158">
            <v>0</v>
          </cell>
          <cell r="AO158">
            <v>0</v>
          </cell>
          <cell r="AP158">
            <v>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10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12</v>
          </cell>
        </row>
        <row r="159">
          <cell r="A159" t="str">
            <v>02-PC17</v>
          </cell>
          <cell r="B159" t="str">
            <v>กระป๋องพลาสติกPET 180pcs  ลังละ 180</v>
          </cell>
          <cell r="C159" t="str">
            <v>ใบ</v>
          </cell>
          <cell r="D159">
            <v>0</v>
          </cell>
          <cell r="F159" t="str">
            <v>231024/PM</v>
          </cell>
          <cell r="G159" t="str">
            <v>7-15 วัน</v>
          </cell>
          <cell r="H159">
            <v>4500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180</v>
          </cell>
          <cell r="AX159">
            <v>30</v>
          </cell>
          <cell r="AY159">
            <v>30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12</v>
          </cell>
          <cell r="BG159">
            <v>0</v>
          </cell>
          <cell r="BH159">
            <v>180</v>
          </cell>
          <cell r="BI159">
            <v>0</v>
          </cell>
          <cell r="BJ159">
            <v>360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792</v>
          </cell>
        </row>
        <row r="160">
          <cell r="A160" t="str">
            <v>02-PC18</v>
          </cell>
          <cell r="B160" t="str">
            <v>ฝาอลูมิเนียม  มัดละ 100</v>
          </cell>
          <cell r="C160" t="str">
            <v>ใบ</v>
          </cell>
          <cell r="D160">
            <v>0</v>
          </cell>
          <cell r="F160" t="str">
            <v>307-AL</v>
          </cell>
          <cell r="G160" t="str">
            <v>7-15 วัน</v>
          </cell>
          <cell r="H160">
            <v>3839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30</v>
          </cell>
          <cell r="AY160">
            <v>30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60</v>
          </cell>
        </row>
        <row r="161">
          <cell r="A161" t="str">
            <v>02-PC19</v>
          </cell>
          <cell r="B161" t="str">
            <v>ฝาพลาสติกพีอี สีใส  มัดละ50</v>
          </cell>
          <cell r="C161" t="str">
            <v>ใบ</v>
          </cell>
          <cell r="D161">
            <v>0</v>
          </cell>
          <cell r="F161" t="str">
            <v>230426/AM</v>
          </cell>
          <cell r="G161" t="str">
            <v>7-15 วัน</v>
          </cell>
          <cell r="H161">
            <v>3522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30</v>
          </cell>
          <cell r="AY161">
            <v>30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60</v>
          </cell>
        </row>
        <row r="162">
          <cell r="A162" t="str">
            <v>02-PC24-1</v>
          </cell>
          <cell r="B162" t="str">
            <v>กระทง 3220 ลายโบราณ 1ลัง=50 แถว</v>
          </cell>
          <cell r="C162" t="str">
            <v>แถว</v>
          </cell>
          <cell r="D162">
            <v>0</v>
          </cell>
          <cell r="F162" t="str">
            <v>-</v>
          </cell>
          <cell r="G162" t="str">
            <v>1 วัน</v>
          </cell>
          <cell r="H162">
            <v>207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5</v>
          </cell>
          <cell r="AS162">
            <v>0</v>
          </cell>
          <cell r="AT162">
            <v>10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10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25</v>
          </cell>
        </row>
        <row r="163">
          <cell r="A163" t="str">
            <v>02-PC26</v>
          </cell>
          <cell r="B163" t="str">
            <v>กระดาษลอกลาย</v>
          </cell>
          <cell r="C163" t="str">
            <v>รีม</v>
          </cell>
          <cell r="D163">
            <v>1600</v>
          </cell>
          <cell r="F163" t="str">
            <v>-</v>
          </cell>
          <cell r="G163" t="str">
            <v>-</v>
          </cell>
          <cell r="H163">
            <v>10</v>
          </cell>
          <cell r="N163">
            <v>20</v>
          </cell>
          <cell r="AN163">
            <v>20</v>
          </cell>
          <cell r="AO163">
            <v>3</v>
          </cell>
          <cell r="AP163">
            <v>0</v>
          </cell>
          <cell r="AQ163">
            <v>0</v>
          </cell>
          <cell r="AR163">
            <v>0</v>
          </cell>
          <cell r="AS163">
            <v>1</v>
          </cell>
          <cell r="AT163">
            <v>2</v>
          </cell>
          <cell r="AU163">
            <v>0</v>
          </cell>
          <cell r="AV163">
            <v>1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3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2</v>
          </cell>
          <cell r="BG163">
            <v>2</v>
          </cell>
          <cell r="BH163">
            <v>1</v>
          </cell>
          <cell r="BI163">
            <v>0</v>
          </cell>
          <cell r="BJ163">
            <v>0</v>
          </cell>
          <cell r="BK163">
            <v>1</v>
          </cell>
          <cell r="BL163">
            <v>3</v>
          </cell>
          <cell r="BM163">
            <v>2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2</v>
          </cell>
          <cell r="BT163">
            <v>23</v>
          </cell>
        </row>
        <row r="164">
          <cell r="A164" t="str">
            <v>02-PC27</v>
          </cell>
          <cell r="B164" t="str">
            <v>ถาด 5073 ใส่พายสับปะรด</v>
          </cell>
          <cell r="C164" t="str">
            <v>ใบ</v>
          </cell>
          <cell r="D164">
            <v>0</v>
          </cell>
          <cell r="G164" t="str">
            <v>3-7 วัน</v>
          </cell>
          <cell r="H164">
            <v>13400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500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500</v>
          </cell>
        </row>
        <row r="165">
          <cell r="A165" t="str">
            <v>02-PC31</v>
          </cell>
          <cell r="B165" t="str">
            <v>ถ้วยน้ำจิ้ม  1 ออนซ์ ฝาปิด(แถว*50ใบ)</v>
          </cell>
          <cell r="C165" t="str">
            <v>ใบ</v>
          </cell>
          <cell r="D165">
            <v>0</v>
          </cell>
          <cell r="G165" t="str">
            <v>7-15 วัน</v>
          </cell>
          <cell r="H165">
            <v>10050</v>
          </cell>
          <cell r="AN165">
            <v>0</v>
          </cell>
          <cell r="AO165">
            <v>50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50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100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200</v>
          </cell>
        </row>
        <row r="166">
          <cell r="A166" t="str">
            <v>02-PC38</v>
          </cell>
          <cell r="B166" t="str">
            <v>ถ้วยทิวลิป B5xH9 สีน้ำตาล  แบบแถว*200ใบ ลังละ1000ใบ</v>
          </cell>
          <cell r="C166" t="str">
            <v>แถวx200ใบ</v>
          </cell>
          <cell r="D166">
            <v>0</v>
          </cell>
          <cell r="E166" t="str">
            <v>RJ</v>
          </cell>
          <cell r="G166" t="str">
            <v>1 วัน</v>
          </cell>
          <cell r="H166">
            <v>16000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</row>
        <row r="167">
          <cell r="A167" t="str">
            <v>02-PC45</v>
          </cell>
          <cell r="B167" t="str">
            <v>E-157:ฐานน้ำตาล+ ฝา PET ใส ปตท. ใช้แค่หมดกล่อง</v>
          </cell>
          <cell r="C167" t="str">
            <v>ชุด</v>
          </cell>
          <cell r="D167">
            <v>0</v>
          </cell>
          <cell r="G167" t="str">
            <v>15-20 วัน</v>
          </cell>
          <cell r="H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</row>
        <row r="168">
          <cell r="A168" t="str">
            <v>02-PC54</v>
          </cell>
          <cell r="B168" t="str">
            <v>กระทงฟอย F-3217 1 แถว*1000 ใบ</v>
          </cell>
          <cell r="C168" t="str">
            <v>แถว</v>
          </cell>
          <cell r="H168">
            <v>17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</row>
        <row r="169">
          <cell r="A169" t="str">
            <v>02-PC58</v>
          </cell>
          <cell r="B169" t="str">
            <v>ถ้วยพีเอสฝาโดม (ป.ต.ท.) ลังละ 350 ใบ</v>
          </cell>
          <cell r="C169" t="str">
            <v>ใบ</v>
          </cell>
          <cell r="D169">
            <v>0</v>
          </cell>
          <cell r="F169" t="str">
            <v>-</v>
          </cell>
          <cell r="H169">
            <v>1750</v>
          </cell>
          <cell r="Z169">
            <v>3430</v>
          </cell>
          <cell r="AN169">
            <v>3430</v>
          </cell>
          <cell r="AO169">
            <v>98</v>
          </cell>
          <cell r="AP169">
            <v>98</v>
          </cell>
          <cell r="AQ169">
            <v>0</v>
          </cell>
          <cell r="AR169">
            <v>0</v>
          </cell>
          <cell r="AS169">
            <v>98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98</v>
          </cell>
          <cell r="AY169">
            <v>0</v>
          </cell>
          <cell r="AZ169">
            <v>0</v>
          </cell>
          <cell r="BA169">
            <v>98</v>
          </cell>
          <cell r="BB169">
            <v>0</v>
          </cell>
          <cell r="BC169">
            <v>0</v>
          </cell>
          <cell r="BD169">
            <v>98</v>
          </cell>
          <cell r="BE169">
            <v>0</v>
          </cell>
          <cell r="BF169">
            <v>0</v>
          </cell>
          <cell r="BG169">
            <v>98</v>
          </cell>
          <cell r="BH169">
            <v>0</v>
          </cell>
          <cell r="BI169">
            <v>0</v>
          </cell>
          <cell r="BJ169">
            <v>0</v>
          </cell>
          <cell r="BK169">
            <v>98</v>
          </cell>
          <cell r="BL169">
            <v>0</v>
          </cell>
          <cell r="BM169">
            <v>98</v>
          </cell>
          <cell r="BN169">
            <v>0</v>
          </cell>
          <cell r="BO169">
            <v>0</v>
          </cell>
          <cell r="BP169">
            <v>0</v>
          </cell>
          <cell r="BQ169">
            <v>98</v>
          </cell>
          <cell r="BR169">
            <v>0</v>
          </cell>
          <cell r="BS169">
            <v>0</v>
          </cell>
          <cell r="BT169">
            <v>980</v>
          </cell>
        </row>
        <row r="170">
          <cell r="A170" t="str">
            <v>02-PC59</v>
          </cell>
          <cell r="B170" t="str">
            <v>ฝาปิดถ้วยโดม (ป.ต.ท.)</v>
          </cell>
          <cell r="C170" t="str">
            <v>ใบ</v>
          </cell>
          <cell r="D170">
            <v>0</v>
          </cell>
          <cell r="F170" t="str">
            <v>-</v>
          </cell>
          <cell r="H170">
            <v>1400</v>
          </cell>
          <cell r="Z170">
            <v>3430</v>
          </cell>
          <cell r="AN170">
            <v>3430</v>
          </cell>
          <cell r="AO170">
            <v>100</v>
          </cell>
          <cell r="AP170">
            <v>100</v>
          </cell>
          <cell r="AQ170">
            <v>0</v>
          </cell>
          <cell r="AR170">
            <v>0</v>
          </cell>
          <cell r="AS170">
            <v>100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100</v>
          </cell>
          <cell r="AY170">
            <v>0</v>
          </cell>
          <cell r="AZ170">
            <v>0</v>
          </cell>
          <cell r="BA170">
            <v>100</v>
          </cell>
          <cell r="BB170">
            <v>0</v>
          </cell>
          <cell r="BC170">
            <v>0</v>
          </cell>
          <cell r="BD170">
            <v>100</v>
          </cell>
          <cell r="BE170">
            <v>0</v>
          </cell>
          <cell r="BF170">
            <v>0</v>
          </cell>
          <cell r="BG170">
            <v>100</v>
          </cell>
          <cell r="BH170">
            <v>0</v>
          </cell>
          <cell r="BI170">
            <v>0</v>
          </cell>
          <cell r="BJ170">
            <v>0</v>
          </cell>
          <cell r="BK170">
            <v>100</v>
          </cell>
          <cell r="BL170">
            <v>0</v>
          </cell>
          <cell r="BM170">
            <v>100</v>
          </cell>
          <cell r="BN170">
            <v>0</v>
          </cell>
          <cell r="BO170">
            <v>0</v>
          </cell>
          <cell r="BP170">
            <v>0</v>
          </cell>
          <cell r="BQ170">
            <v>100</v>
          </cell>
          <cell r="BR170">
            <v>0</v>
          </cell>
          <cell r="BS170">
            <v>0</v>
          </cell>
          <cell r="BT170">
            <v>1000</v>
          </cell>
        </row>
        <row r="171">
          <cell r="A171" t="str">
            <v>02-PC64</v>
          </cell>
          <cell r="B171" t="str">
            <v>ฟอยล์เหลี่ยม NO.4031 (เค้กกล้วยหอมชีส) CJ  ลังละ 2000</v>
          </cell>
          <cell r="C171" t="str">
            <v>ใบ</v>
          </cell>
          <cell r="D171">
            <v>0</v>
          </cell>
          <cell r="E171" t="str">
            <v>RJ</v>
          </cell>
          <cell r="F171" t="str">
            <v>-</v>
          </cell>
          <cell r="G171" t="str">
            <v>1 วัน</v>
          </cell>
          <cell r="H171">
            <v>4000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</row>
        <row r="172">
          <cell r="A172" t="str">
            <v>02-PC65</v>
          </cell>
          <cell r="B172" t="str">
            <v>ฝา PET NO.4031 (เค้กกล้วยหอมชีส) CJ  ลังละ 1000</v>
          </cell>
          <cell r="C172" t="str">
            <v>ใบ</v>
          </cell>
          <cell r="D172">
            <v>0</v>
          </cell>
          <cell r="E172" t="str">
            <v>RJ</v>
          </cell>
          <cell r="F172" t="str">
            <v>-</v>
          </cell>
          <cell r="G172" t="str">
            <v>1 วัน</v>
          </cell>
          <cell r="H172">
            <v>13000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</row>
        <row r="173">
          <cell r="A173" t="str">
            <v>02-PC66</v>
          </cell>
          <cell r="B173" t="str">
            <v>ฟอยล์กลม NO.3012 (ทาร์ตมะพร้าว) CJ  ลังละ 2000 ใช้กับชีสทาร์ตบลูเบอร์รี่</v>
          </cell>
          <cell r="C173" t="str">
            <v>ใบ</v>
          </cell>
          <cell r="D173">
            <v>0</v>
          </cell>
          <cell r="F173" t="str">
            <v>-</v>
          </cell>
          <cell r="G173" t="str">
            <v>1 วัน</v>
          </cell>
          <cell r="H173">
            <v>50000</v>
          </cell>
          <cell r="AN173">
            <v>0</v>
          </cell>
          <cell r="AO173">
            <v>2000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2000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2000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2000</v>
          </cell>
          <cell r="BT173">
            <v>8000</v>
          </cell>
        </row>
        <row r="174">
          <cell r="A174" t="str">
            <v>02-PC67</v>
          </cell>
          <cell r="B174" t="str">
            <v>ฝา PET NO.3012 (ทาร์ตมะพร้าว) CJ  ลังละ 2000  ใช้กับชีสทาร์ตบลูเบอร์รี่</v>
          </cell>
          <cell r="C174" t="str">
            <v>ใบ</v>
          </cell>
          <cell r="D174">
            <v>0</v>
          </cell>
          <cell r="F174" t="str">
            <v>-</v>
          </cell>
          <cell r="G174" t="str">
            <v>1 วัน</v>
          </cell>
          <cell r="H174">
            <v>52000</v>
          </cell>
          <cell r="AN174">
            <v>0</v>
          </cell>
          <cell r="AO174">
            <v>0</v>
          </cell>
          <cell r="AP174">
            <v>2000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2000</v>
          </cell>
          <cell r="AW174">
            <v>0</v>
          </cell>
          <cell r="AX174">
            <v>0</v>
          </cell>
          <cell r="AY174">
            <v>2000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6000</v>
          </cell>
        </row>
        <row r="175">
          <cell r="A175" t="str">
            <v>02-PP01</v>
          </cell>
          <cell r="B175" t="str">
            <v>กล่อง E44 ฝาพับ(1ลัง*1200/แถว*50)</v>
          </cell>
          <cell r="C175" t="str">
            <v>ใบ</v>
          </cell>
          <cell r="D175">
            <v>0</v>
          </cell>
          <cell r="F175" t="str">
            <v>6608063,6608176</v>
          </cell>
          <cell r="G175" t="str">
            <v>15-20 วัน</v>
          </cell>
          <cell r="H175">
            <v>9000</v>
          </cell>
          <cell r="T175">
            <v>15600</v>
          </cell>
          <cell r="AN175">
            <v>15600</v>
          </cell>
          <cell r="AO175">
            <v>500</v>
          </cell>
          <cell r="AP175">
            <v>500</v>
          </cell>
          <cell r="AQ175">
            <v>0</v>
          </cell>
          <cell r="AR175">
            <v>450</v>
          </cell>
          <cell r="AS175">
            <v>250</v>
          </cell>
          <cell r="AT175">
            <v>150</v>
          </cell>
          <cell r="AU175">
            <v>0</v>
          </cell>
          <cell r="AV175">
            <v>850</v>
          </cell>
          <cell r="AW175">
            <v>800</v>
          </cell>
          <cell r="AX175">
            <v>500</v>
          </cell>
          <cell r="AY175">
            <v>0</v>
          </cell>
          <cell r="AZ175">
            <v>500</v>
          </cell>
          <cell r="BA175">
            <v>200</v>
          </cell>
          <cell r="BB175">
            <v>0</v>
          </cell>
          <cell r="BC175">
            <v>500</v>
          </cell>
          <cell r="BD175">
            <v>500</v>
          </cell>
          <cell r="BE175">
            <v>500</v>
          </cell>
          <cell r="BF175">
            <v>0</v>
          </cell>
          <cell r="BG175">
            <v>500</v>
          </cell>
          <cell r="BH175">
            <v>400</v>
          </cell>
          <cell r="BI175">
            <v>0</v>
          </cell>
          <cell r="BJ175">
            <v>400</v>
          </cell>
          <cell r="BK175">
            <v>400</v>
          </cell>
          <cell r="BL175">
            <v>200</v>
          </cell>
          <cell r="BM175">
            <v>300</v>
          </cell>
          <cell r="BN175">
            <v>500</v>
          </cell>
          <cell r="BO175">
            <v>200</v>
          </cell>
          <cell r="BP175">
            <v>0</v>
          </cell>
          <cell r="BQ175">
            <v>500</v>
          </cell>
          <cell r="BR175">
            <v>500</v>
          </cell>
          <cell r="BS175">
            <v>250</v>
          </cell>
          <cell r="BT175">
            <v>10350</v>
          </cell>
        </row>
        <row r="176">
          <cell r="A176" t="str">
            <v>02-PP06</v>
          </cell>
          <cell r="B176" t="str">
            <v>ถาด E55 ฐานน้ำตาล(1ลัง*300ใบ)</v>
          </cell>
          <cell r="C176" t="str">
            <v>ใบ</v>
          </cell>
          <cell r="D176">
            <v>0</v>
          </cell>
          <cell r="F176" t="str">
            <v>79M230015616</v>
          </cell>
          <cell r="G176" t="str">
            <v>15-20 วัน</v>
          </cell>
          <cell r="H176">
            <v>3000</v>
          </cell>
          <cell r="J176">
            <v>9000</v>
          </cell>
          <cell r="AN176">
            <v>9000</v>
          </cell>
          <cell r="AO176">
            <v>300</v>
          </cell>
          <cell r="AP176">
            <v>250</v>
          </cell>
          <cell r="AQ176">
            <v>0</v>
          </cell>
          <cell r="AR176">
            <v>250</v>
          </cell>
          <cell r="AS176">
            <v>150</v>
          </cell>
          <cell r="AT176">
            <v>200</v>
          </cell>
          <cell r="AU176">
            <v>0</v>
          </cell>
          <cell r="AV176">
            <v>300</v>
          </cell>
          <cell r="AW176">
            <v>150</v>
          </cell>
          <cell r="AX176">
            <v>200</v>
          </cell>
          <cell r="AY176">
            <v>250</v>
          </cell>
          <cell r="AZ176">
            <v>0</v>
          </cell>
          <cell r="BA176">
            <v>250</v>
          </cell>
          <cell r="BB176">
            <v>0</v>
          </cell>
          <cell r="BC176">
            <v>300</v>
          </cell>
          <cell r="BD176">
            <v>100</v>
          </cell>
          <cell r="BE176">
            <v>100</v>
          </cell>
          <cell r="BF176">
            <v>250</v>
          </cell>
          <cell r="BG176">
            <v>150</v>
          </cell>
          <cell r="BH176">
            <v>200</v>
          </cell>
          <cell r="BI176">
            <v>0</v>
          </cell>
          <cell r="BJ176">
            <v>150</v>
          </cell>
          <cell r="BK176">
            <v>250</v>
          </cell>
          <cell r="BL176">
            <v>200</v>
          </cell>
          <cell r="BM176">
            <v>200</v>
          </cell>
          <cell r="BN176">
            <v>150</v>
          </cell>
          <cell r="BO176">
            <v>100</v>
          </cell>
          <cell r="BP176">
            <v>0</v>
          </cell>
          <cell r="BQ176">
            <v>150</v>
          </cell>
          <cell r="BR176">
            <v>200</v>
          </cell>
          <cell r="BS176">
            <v>150</v>
          </cell>
          <cell r="BT176">
            <v>4950</v>
          </cell>
        </row>
        <row r="177">
          <cell r="A177">
            <v>1021701004</v>
          </cell>
          <cell r="B177" t="str">
            <v>ถาด E55 ฐานน้ำตาล(1ลัง*300ใบ) รหัสไหม่</v>
          </cell>
          <cell r="C177" t="str">
            <v>ใบ</v>
          </cell>
          <cell r="D177" t="str">
            <v>ใบ</v>
          </cell>
          <cell r="H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</row>
        <row r="178">
          <cell r="A178" t="str">
            <v>02-PP07</v>
          </cell>
          <cell r="B178" t="str">
            <v>ถาด E-61 ฐานน้ำตาล  (เตี้ย)(1ลัง*750ใบ)</v>
          </cell>
          <cell r="C178" t="str">
            <v>ใบ</v>
          </cell>
          <cell r="D178">
            <v>0</v>
          </cell>
          <cell r="F178" t="str">
            <v>79M230016248</v>
          </cell>
          <cell r="G178" t="str">
            <v>15-20 วัน</v>
          </cell>
          <cell r="H178">
            <v>9250</v>
          </cell>
          <cell r="AN178">
            <v>0</v>
          </cell>
          <cell r="AO178">
            <v>100</v>
          </cell>
          <cell r="AP178">
            <v>150</v>
          </cell>
          <cell r="AQ178">
            <v>0</v>
          </cell>
          <cell r="AR178">
            <v>0</v>
          </cell>
          <cell r="AS178">
            <v>50</v>
          </cell>
          <cell r="AT178">
            <v>50</v>
          </cell>
          <cell r="AU178">
            <v>0</v>
          </cell>
          <cell r="AV178">
            <v>150</v>
          </cell>
          <cell r="AW178">
            <v>100</v>
          </cell>
          <cell r="AX178">
            <v>0</v>
          </cell>
          <cell r="AY178">
            <v>100</v>
          </cell>
          <cell r="AZ178">
            <v>50</v>
          </cell>
          <cell r="BA178">
            <v>100</v>
          </cell>
          <cell r="BB178">
            <v>0</v>
          </cell>
          <cell r="BC178">
            <v>100</v>
          </cell>
          <cell r="BD178">
            <v>0</v>
          </cell>
          <cell r="BE178">
            <v>50</v>
          </cell>
          <cell r="BF178">
            <v>0</v>
          </cell>
          <cell r="BG178">
            <v>50</v>
          </cell>
          <cell r="BH178">
            <v>100</v>
          </cell>
          <cell r="BI178">
            <v>0</v>
          </cell>
          <cell r="BJ178">
            <v>100</v>
          </cell>
          <cell r="BK178">
            <v>100</v>
          </cell>
          <cell r="BL178">
            <v>0</v>
          </cell>
          <cell r="BM178">
            <v>100</v>
          </cell>
          <cell r="BN178">
            <v>100</v>
          </cell>
          <cell r="BO178">
            <v>50</v>
          </cell>
          <cell r="BP178">
            <v>0</v>
          </cell>
          <cell r="BQ178">
            <v>100</v>
          </cell>
          <cell r="BR178">
            <v>125</v>
          </cell>
          <cell r="BS178">
            <v>0</v>
          </cell>
          <cell r="BT178">
            <v>1825</v>
          </cell>
        </row>
        <row r="179">
          <cell r="A179" t="str">
            <v>02-PP08</v>
          </cell>
          <cell r="B179" t="str">
            <v>ถาด E-114 ฝาใส-ฐานน้ำตาล(1ลัง*700ใบ)</v>
          </cell>
          <cell r="C179" t="str">
            <v>ใบ</v>
          </cell>
          <cell r="D179">
            <v>0</v>
          </cell>
          <cell r="G179" t="str">
            <v>15-20 วัน</v>
          </cell>
          <cell r="H179">
            <v>9550</v>
          </cell>
          <cell r="AN179">
            <v>0</v>
          </cell>
          <cell r="AO179">
            <v>150</v>
          </cell>
          <cell r="AP179">
            <v>200</v>
          </cell>
          <cell r="AQ179">
            <v>0</v>
          </cell>
          <cell r="AR179">
            <v>200</v>
          </cell>
          <cell r="AS179">
            <v>150</v>
          </cell>
          <cell r="AT179">
            <v>200</v>
          </cell>
          <cell r="AU179">
            <v>0</v>
          </cell>
          <cell r="AV179">
            <v>250</v>
          </cell>
          <cell r="AW179">
            <v>300</v>
          </cell>
          <cell r="AX179">
            <v>200</v>
          </cell>
          <cell r="AY179">
            <v>300</v>
          </cell>
          <cell r="AZ179">
            <v>350</v>
          </cell>
          <cell r="BA179">
            <v>100</v>
          </cell>
          <cell r="BB179">
            <v>0</v>
          </cell>
          <cell r="BC179">
            <v>100</v>
          </cell>
          <cell r="BD179">
            <v>200</v>
          </cell>
          <cell r="BE179">
            <v>150</v>
          </cell>
          <cell r="BF179">
            <v>200</v>
          </cell>
          <cell r="BG179">
            <v>150</v>
          </cell>
          <cell r="BH179">
            <v>200</v>
          </cell>
          <cell r="BI179">
            <v>0</v>
          </cell>
          <cell r="BJ179">
            <v>300</v>
          </cell>
          <cell r="BK179">
            <v>200</v>
          </cell>
          <cell r="BL179">
            <v>0</v>
          </cell>
          <cell r="BM179">
            <v>550</v>
          </cell>
          <cell r="BN179">
            <v>100</v>
          </cell>
          <cell r="BO179">
            <v>200</v>
          </cell>
          <cell r="BP179">
            <v>0</v>
          </cell>
          <cell r="BQ179">
            <v>100</v>
          </cell>
          <cell r="BR179">
            <v>200</v>
          </cell>
          <cell r="BS179">
            <v>150</v>
          </cell>
          <cell r="BT179">
            <v>5200</v>
          </cell>
        </row>
        <row r="180">
          <cell r="A180" t="str">
            <v>02-PP10</v>
          </cell>
          <cell r="B180" t="str">
            <v>ถาดเบเกอรี่ Top seal 50(1ลัง*1500ใบ)</v>
          </cell>
          <cell r="C180" t="str">
            <v>ใบ</v>
          </cell>
          <cell r="D180">
            <v>0</v>
          </cell>
          <cell r="F180" t="str">
            <v>50/309(2/3)</v>
          </cell>
          <cell r="G180" t="str">
            <v>15-20 วัน</v>
          </cell>
          <cell r="H180">
            <v>317530</v>
          </cell>
          <cell r="AN180">
            <v>0</v>
          </cell>
          <cell r="AO180">
            <v>3200</v>
          </cell>
          <cell r="AP180">
            <v>2900</v>
          </cell>
          <cell r="AQ180">
            <v>0</v>
          </cell>
          <cell r="AR180">
            <v>1600</v>
          </cell>
          <cell r="AS180">
            <v>3900</v>
          </cell>
          <cell r="AT180">
            <v>5300</v>
          </cell>
          <cell r="AU180">
            <v>0</v>
          </cell>
          <cell r="AV180">
            <v>6000</v>
          </cell>
          <cell r="AW180">
            <v>1600</v>
          </cell>
          <cell r="AX180">
            <v>1100</v>
          </cell>
          <cell r="AY180">
            <v>4300</v>
          </cell>
          <cell r="AZ180">
            <v>1100</v>
          </cell>
          <cell r="BA180">
            <v>6000</v>
          </cell>
          <cell r="BB180">
            <v>0</v>
          </cell>
          <cell r="BC180">
            <v>3300</v>
          </cell>
          <cell r="BD180">
            <v>4500</v>
          </cell>
          <cell r="BE180">
            <v>0</v>
          </cell>
          <cell r="BF180">
            <v>4700</v>
          </cell>
          <cell r="BG180">
            <v>3100</v>
          </cell>
          <cell r="BH180">
            <v>5400</v>
          </cell>
          <cell r="BI180">
            <v>0</v>
          </cell>
          <cell r="BJ180">
            <v>1800</v>
          </cell>
          <cell r="BK180">
            <v>6200</v>
          </cell>
          <cell r="BL180">
            <v>4100</v>
          </cell>
          <cell r="BM180">
            <v>7000</v>
          </cell>
          <cell r="BN180">
            <v>9400</v>
          </cell>
          <cell r="BO180">
            <v>9100</v>
          </cell>
          <cell r="BP180">
            <v>0</v>
          </cell>
          <cell r="BQ180">
            <v>2400</v>
          </cell>
          <cell r="BR180">
            <v>7500</v>
          </cell>
          <cell r="BS180">
            <v>7500</v>
          </cell>
          <cell r="BT180">
            <v>113000</v>
          </cell>
        </row>
        <row r="181">
          <cell r="A181">
            <v>1021701006</v>
          </cell>
          <cell r="B181" t="str">
            <v>ถาดเบเกอรี่ Top seal 50(1ลัง*1500ใบ) รหัสไหม่</v>
          </cell>
          <cell r="C181" t="str">
            <v>ใบ</v>
          </cell>
          <cell r="D181" t="str">
            <v>ใบ</v>
          </cell>
          <cell r="H181">
            <v>0</v>
          </cell>
          <cell r="AB181">
            <v>51500</v>
          </cell>
          <cell r="AN181">
            <v>51500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</row>
        <row r="182">
          <cell r="A182" t="str">
            <v>02-PP11</v>
          </cell>
          <cell r="B182" t="str">
            <v>ถาดเบเกอรี่ Top seal 65(1ลัง*1000ใบ)</v>
          </cell>
          <cell r="C182" t="str">
            <v>ใบ</v>
          </cell>
          <cell r="D182">
            <v>0</v>
          </cell>
          <cell r="F182" t="str">
            <v>79M230017578,79M230019076</v>
          </cell>
          <cell r="G182" t="str">
            <v>15-20 วัน</v>
          </cell>
          <cell r="H182">
            <v>193150</v>
          </cell>
          <cell r="J182">
            <v>200000</v>
          </cell>
          <cell r="N182">
            <v>200000</v>
          </cell>
          <cell r="Q182">
            <v>200000</v>
          </cell>
          <cell r="U182">
            <v>200000</v>
          </cell>
          <cell r="AN182">
            <v>800000</v>
          </cell>
          <cell r="AO182">
            <v>29500</v>
          </cell>
          <cell r="AP182">
            <v>28000</v>
          </cell>
          <cell r="AQ182">
            <v>0</v>
          </cell>
          <cell r="AR182">
            <v>31550</v>
          </cell>
          <cell r="AS182">
            <v>35100</v>
          </cell>
          <cell r="AT182">
            <v>65600</v>
          </cell>
          <cell r="AU182">
            <v>0</v>
          </cell>
          <cell r="AV182">
            <v>30000</v>
          </cell>
          <cell r="AW182">
            <v>21000</v>
          </cell>
          <cell r="AX182">
            <v>37300</v>
          </cell>
          <cell r="AY182">
            <v>35650</v>
          </cell>
          <cell r="AZ182">
            <v>35100</v>
          </cell>
          <cell r="BA182">
            <v>55000</v>
          </cell>
          <cell r="BB182">
            <v>0</v>
          </cell>
          <cell r="BC182">
            <v>31200</v>
          </cell>
          <cell r="BD182">
            <v>32900</v>
          </cell>
          <cell r="BE182">
            <v>25000</v>
          </cell>
          <cell r="BF182">
            <v>30000</v>
          </cell>
          <cell r="BG182">
            <v>36200</v>
          </cell>
          <cell r="BH182">
            <v>47100</v>
          </cell>
          <cell r="BI182">
            <v>0</v>
          </cell>
          <cell r="BJ182">
            <v>30750</v>
          </cell>
          <cell r="BK182">
            <v>29000</v>
          </cell>
          <cell r="BL182">
            <v>27000</v>
          </cell>
          <cell r="BM182">
            <v>31300</v>
          </cell>
          <cell r="BN182">
            <v>29600</v>
          </cell>
          <cell r="BO182">
            <v>42200</v>
          </cell>
          <cell r="BP182">
            <v>0</v>
          </cell>
          <cell r="BQ182">
            <v>31500</v>
          </cell>
          <cell r="BR182">
            <v>28000</v>
          </cell>
          <cell r="BS182">
            <v>30000</v>
          </cell>
          <cell r="BT182">
            <v>885550</v>
          </cell>
        </row>
        <row r="183">
          <cell r="A183">
            <v>1021701007</v>
          </cell>
          <cell r="B183" t="str">
            <v>ถาดเบเกอรี่ Top seal 65(1ลัง*1000ใบ)</v>
          </cell>
          <cell r="C183" t="str">
            <v>ใบ</v>
          </cell>
          <cell r="D183" t="str">
            <v>ใบ</v>
          </cell>
          <cell r="H183">
            <v>0</v>
          </cell>
          <cell r="AL183">
            <v>210000</v>
          </cell>
          <cell r="AN183">
            <v>210000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</row>
        <row r="184">
          <cell r="A184" t="str">
            <v>02-PP13</v>
          </cell>
          <cell r="B184" t="str">
            <v>ถาด E-20 เอแคลร์นมสด(1ลัง*400ใบ)</v>
          </cell>
          <cell r="C184" t="str">
            <v>ใบ</v>
          </cell>
          <cell r="D184">
            <v>0</v>
          </cell>
          <cell r="F184" t="str">
            <v>79M230018080</v>
          </cell>
          <cell r="G184" t="str">
            <v>15-20 วัน</v>
          </cell>
          <cell r="H184">
            <v>88850</v>
          </cell>
          <cell r="AN184">
            <v>0</v>
          </cell>
          <cell r="AO184">
            <v>6950</v>
          </cell>
          <cell r="AP184">
            <v>4000</v>
          </cell>
          <cell r="AQ184">
            <v>0</v>
          </cell>
          <cell r="AR184">
            <v>2950</v>
          </cell>
          <cell r="AS184">
            <v>5250</v>
          </cell>
          <cell r="AT184">
            <v>6950</v>
          </cell>
          <cell r="AU184">
            <v>0</v>
          </cell>
          <cell r="AV184">
            <v>4800</v>
          </cell>
          <cell r="AW184">
            <v>1300</v>
          </cell>
          <cell r="AX184">
            <v>6700</v>
          </cell>
          <cell r="AY184">
            <v>7050</v>
          </cell>
          <cell r="AZ184">
            <v>6100</v>
          </cell>
          <cell r="BA184">
            <v>8950</v>
          </cell>
          <cell r="BB184">
            <v>0</v>
          </cell>
          <cell r="BC184">
            <v>7800</v>
          </cell>
          <cell r="BD184">
            <v>6500</v>
          </cell>
          <cell r="BE184">
            <v>800</v>
          </cell>
          <cell r="BF184">
            <v>5450</v>
          </cell>
          <cell r="BG184">
            <v>6500</v>
          </cell>
          <cell r="BH184">
            <v>800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88850</v>
          </cell>
        </row>
        <row r="185">
          <cell r="A185">
            <v>1021701008</v>
          </cell>
          <cell r="B185" t="str">
            <v>ถาด E-20 เอแคลร์นมสด(1ลัง*400ใบ) รหัสไหม่</v>
          </cell>
          <cell r="C185" t="str">
            <v>ใบ</v>
          </cell>
          <cell r="H185">
            <v>0</v>
          </cell>
          <cell r="AB185">
            <v>10200</v>
          </cell>
          <cell r="AC185">
            <v>3000</v>
          </cell>
          <cell r="AE185">
            <v>10200</v>
          </cell>
          <cell r="AG185">
            <v>20000</v>
          </cell>
          <cell r="AI185">
            <v>16000</v>
          </cell>
          <cell r="AL185">
            <v>40000</v>
          </cell>
          <cell r="AM185">
            <v>40000</v>
          </cell>
          <cell r="AN185">
            <v>139400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5400</v>
          </cell>
          <cell r="BI185">
            <v>0</v>
          </cell>
          <cell r="BJ185">
            <v>6100</v>
          </cell>
          <cell r="BK185">
            <v>1700</v>
          </cell>
          <cell r="BL185">
            <v>5500</v>
          </cell>
          <cell r="BM185">
            <v>5500</v>
          </cell>
          <cell r="BN185">
            <v>6000</v>
          </cell>
          <cell r="BO185">
            <v>6750</v>
          </cell>
          <cell r="BP185">
            <v>0</v>
          </cell>
          <cell r="BQ185">
            <v>4450</v>
          </cell>
          <cell r="BR185">
            <v>6000</v>
          </cell>
          <cell r="BS185">
            <v>5600</v>
          </cell>
          <cell r="BT185">
            <v>53000</v>
          </cell>
        </row>
        <row r="186">
          <cell r="A186" t="str">
            <v>02-PP19</v>
          </cell>
          <cell r="B186" t="str">
            <v>ถาดชิฟฟอนสามเหลี่ยม No.11(1ลัง*2000ใบ)</v>
          </cell>
          <cell r="C186" t="str">
            <v>ใบ</v>
          </cell>
          <cell r="D186">
            <v>0</v>
          </cell>
          <cell r="G186" t="str">
            <v>15-20 วัน</v>
          </cell>
          <cell r="H186">
            <v>58000</v>
          </cell>
          <cell r="L186">
            <v>200000</v>
          </cell>
          <cell r="AN186">
            <v>200000</v>
          </cell>
          <cell r="AO186">
            <v>12000</v>
          </cell>
          <cell r="AP186">
            <v>12000</v>
          </cell>
          <cell r="AQ186">
            <v>0</v>
          </cell>
          <cell r="AR186">
            <v>8000</v>
          </cell>
          <cell r="AS186">
            <v>14000</v>
          </cell>
          <cell r="AT186">
            <v>22000</v>
          </cell>
          <cell r="AU186">
            <v>0</v>
          </cell>
          <cell r="AV186">
            <v>6000</v>
          </cell>
          <cell r="AW186">
            <v>10000</v>
          </cell>
          <cell r="AX186">
            <v>8000</v>
          </cell>
          <cell r="AY186">
            <v>12000</v>
          </cell>
          <cell r="AZ186">
            <v>10000</v>
          </cell>
          <cell r="BA186">
            <v>16000</v>
          </cell>
          <cell r="BB186">
            <v>0</v>
          </cell>
          <cell r="BC186">
            <v>6000</v>
          </cell>
          <cell r="BD186">
            <v>28000</v>
          </cell>
          <cell r="BE186">
            <v>2000</v>
          </cell>
          <cell r="BF186">
            <v>16000</v>
          </cell>
          <cell r="BG186">
            <v>8000</v>
          </cell>
          <cell r="BH186">
            <v>12000</v>
          </cell>
          <cell r="BI186">
            <v>0</v>
          </cell>
          <cell r="BJ186">
            <v>8000</v>
          </cell>
          <cell r="BK186">
            <v>10000</v>
          </cell>
          <cell r="BL186">
            <v>12000</v>
          </cell>
          <cell r="BM186">
            <v>18000</v>
          </cell>
          <cell r="BN186">
            <v>8000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258000</v>
          </cell>
        </row>
        <row r="187">
          <cell r="A187">
            <v>1021701009</v>
          </cell>
          <cell r="B187" t="str">
            <v>ถาดชิฟฟอนสามเหลี่ยม No.11(1ลัง*2000ใบ) รหัสไหม่</v>
          </cell>
          <cell r="C187" t="str">
            <v>ใบ</v>
          </cell>
          <cell r="H187">
            <v>0</v>
          </cell>
          <cell r="AF187">
            <v>200000</v>
          </cell>
          <cell r="AN187">
            <v>200000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4000</v>
          </cell>
          <cell r="BO187">
            <v>8000</v>
          </cell>
          <cell r="BP187">
            <v>0</v>
          </cell>
          <cell r="BQ187">
            <v>10000</v>
          </cell>
          <cell r="BR187">
            <v>10000</v>
          </cell>
          <cell r="BS187">
            <v>14000</v>
          </cell>
          <cell r="BT187">
            <v>46000</v>
          </cell>
        </row>
        <row r="188">
          <cell r="A188" t="str">
            <v>02-PP20</v>
          </cell>
          <cell r="B188" t="str">
            <v>ถาดท๊อฟฟี่กระเช้า PM115(1ลัง*300ใบ) แพ็คละ 50 ใบ</v>
          </cell>
          <cell r="C188" t="str">
            <v>ใบ</v>
          </cell>
          <cell r="D188">
            <v>0</v>
          </cell>
          <cell r="G188" t="str">
            <v>15-20 วัน</v>
          </cell>
          <cell r="H188">
            <v>600</v>
          </cell>
          <cell r="N188">
            <v>1500</v>
          </cell>
          <cell r="AN188">
            <v>1500</v>
          </cell>
          <cell r="AO188">
            <v>50</v>
          </cell>
          <cell r="AP188">
            <v>50</v>
          </cell>
          <cell r="AQ188">
            <v>0</v>
          </cell>
          <cell r="AR188">
            <v>0</v>
          </cell>
          <cell r="AS188">
            <v>50</v>
          </cell>
          <cell r="AT188">
            <v>0</v>
          </cell>
          <cell r="AU188">
            <v>0</v>
          </cell>
          <cell r="AV188">
            <v>50</v>
          </cell>
          <cell r="AW188">
            <v>0</v>
          </cell>
          <cell r="AX188">
            <v>0</v>
          </cell>
          <cell r="AY188">
            <v>50</v>
          </cell>
          <cell r="AZ188">
            <v>0</v>
          </cell>
          <cell r="BA188">
            <v>50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50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50</v>
          </cell>
          <cell r="BN188">
            <v>50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50</v>
          </cell>
          <cell r="BT188">
            <v>500</v>
          </cell>
        </row>
        <row r="189">
          <cell r="A189" t="str">
            <v>02-PP22</v>
          </cell>
          <cell r="B189" t="str">
            <v>ถาดกล่องธรรมชาติ S010(1ลัง*900ใบ) แถวละ 50 ใบ</v>
          </cell>
          <cell r="C189" t="str">
            <v>ใบ</v>
          </cell>
          <cell r="D189">
            <v>0</v>
          </cell>
          <cell r="F189" t="str">
            <v>RF2304059,RF2304064</v>
          </cell>
          <cell r="G189" t="str">
            <v>15-20 วัน</v>
          </cell>
          <cell r="H189">
            <v>12600</v>
          </cell>
          <cell r="X189">
            <v>18000</v>
          </cell>
          <cell r="AN189">
            <v>18000</v>
          </cell>
          <cell r="AO189">
            <v>200</v>
          </cell>
          <cell r="AP189">
            <v>400</v>
          </cell>
          <cell r="AQ189">
            <v>0</v>
          </cell>
          <cell r="AR189">
            <v>1100</v>
          </cell>
          <cell r="AS189">
            <v>100</v>
          </cell>
          <cell r="AT189">
            <v>1000</v>
          </cell>
          <cell r="AU189">
            <v>0</v>
          </cell>
          <cell r="AV189">
            <v>300</v>
          </cell>
          <cell r="AW189">
            <v>300</v>
          </cell>
          <cell r="AX189">
            <v>1100</v>
          </cell>
          <cell r="AY189">
            <v>400</v>
          </cell>
          <cell r="AZ189">
            <v>1000</v>
          </cell>
          <cell r="BA189">
            <v>150</v>
          </cell>
          <cell r="BB189">
            <v>0</v>
          </cell>
          <cell r="BC189">
            <v>300</v>
          </cell>
          <cell r="BD189">
            <v>200</v>
          </cell>
          <cell r="BE189">
            <v>1450</v>
          </cell>
          <cell r="BF189">
            <v>1100</v>
          </cell>
          <cell r="BG189">
            <v>250</v>
          </cell>
          <cell r="BH189">
            <v>400</v>
          </cell>
          <cell r="BI189">
            <v>0</v>
          </cell>
          <cell r="BJ189">
            <v>250</v>
          </cell>
          <cell r="BK189">
            <v>1200</v>
          </cell>
          <cell r="BL189">
            <v>0</v>
          </cell>
          <cell r="BM189">
            <v>250</v>
          </cell>
          <cell r="BN189">
            <v>0</v>
          </cell>
          <cell r="BO189">
            <v>0</v>
          </cell>
          <cell r="BP189">
            <v>0</v>
          </cell>
          <cell r="BQ189">
            <v>900</v>
          </cell>
          <cell r="BR189">
            <v>300</v>
          </cell>
          <cell r="BS189">
            <v>1100</v>
          </cell>
          <cell r="BT189">
            <v>13750</v>
          </cell>
        </row>
        <row r="190">
          <cell r="A190">
            <v>1021701011</v>
          </cell>
          <cell r="B190" t="str">
            <v>ถาดกล่องธรรมชาติ S010(1ลัง*900ใบ) แถวละ 50 ใบ รหัสไหม่</v>
          </cell>
          <cell r="C190" t="str">
            <v>ใบ</v>
          </cell>
          <cell r="D190" t="str">
            <v>ใบ</v>
          </cell>
          <cell r="H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</row>
        <row r="191">
          <cell r="A191" t="str">
            <v>02-PP23</v>
          </cell>
          <cell r="B191" t="str">
            <v>ฝาถาดธรรมชาติ S010(1ลัง*900ใบ) แถวละ50ใบ</v>
          </cell>
          <cell r="C191" t="str">
            <v>ใบ</v>
          </cell>
          <cell r="D191">
            <v>0</v>
          </cell>
          <cell r="F191" t="str">
            <v>35M230005936,35M230007718</v>
          </cell>
          <cell r="G191" t="str">
            <v>15-20 วัน</v>
          </cell>
          <cell r="H191">
            <v>16500</v>
          </cell>
          <cell r="X191">
            <v>18000</v>
          </cell>
          <cell r="AN191">
            <v>18000</v>
          </cell>
          <cell r="AO191">
            <v>850</v>
          </cell>
          <cell r="AP191">
            <v>800</v>
          </cell>
          <cell r="AQ191">
            <v>0</v>
          </cell>
          <cell r="AR191">
            <v>200</v>
          </cell>
          <cell r="AS191">
            <v>450</v>
          </cell>
          <cell r="AT191">
            <v>350</v>
          </cell>
          <cell r="AU191">
            <v>0</v>
          </cell>
          <cell r="AV191">
            <v>700</v>
          </cell>
          <cell r="AW191">
            <v>750</v>
          </cell>
          <cell r="AX191">
            <v>500</v>
          </cell>
          <cell r="AY191">
            <v>250</v>
          </cell>
          <cell r="AZ191">
            <v>350</v>
          </cell>
          <cell r="BA191">
            <v>750</v>
          </cell>
          <cell r="BB191">
            <v>0</v>
          </cell>
          <cell r="BC191">
            <v>600</v>
          </cell>
          <cell r="BD191">
            <v>400</v>
          </cell>
          <cell r="BE191">
            <v>650</v>
          </cell>
          <cell r="BF191">
            <v>400</v>
          </cell>
          <cell r="BG191">
            <v>350</v>
          </cell>
          <cell r="BH191">
            <v>700</v>
          </cell>
          <cell r="BI191">
            <v>0</v>
          </cell>
          <cell r="BJ191">
            <v>550</v>
          </cell>
          <cell r="BK191">
            <v>400</v>
          </cell>
          <cell r="BL191">
            <v>600</v>
          </cell>
          <cell r="BM191">
            <v>550</v>
          </cell>
          <cell r="BN191">
            <v>100</v>
          </cell>
          <cell r="BO191">
            <v>200</v>
          </cell>
          <cell r="BP191">
            <v>0</v>
          </cell>
          <cell r="BQ191">
            <v>400</v>
          </cell>
          <cell r="BR191">
            <v>650</v>
          </cell>
          <cell r="BS191">
            <v>200</v>
          </cell>
          <cell r="BT191">
            <v>12700</v>
          </cell>
        </row>
        <row r="192">
          <cell r="A192">
            <v>1021701011</v>
          </cell>
          <cell r="B192" t="str">
            <v>ฝาถาดธรรมชาติ S010(1ลัง*900ใบ) แถวละ50ใบ รหัสไหม่</v>
          </cell>
          <cell r="C192" t="str">
            <v>ใบ</v>
          </cell>
          <cell r="D192" t="str">
            <v>ใบ</v>
          </cell>
          <cell r="H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</row>
        <row r="193">
          <cell r="A193" t="str">
            <v>02-PP28</v>
          </cell>
          <cell r="B193" t="str">
            <v>ถาดใส E-54 น้ำตาล(1ลัง*300)</v>
          </cell>
          <cell r="C193" t="str">
            <v>ใบ</v>
          </cell>
          <cell r="D193">
            <v>0</v>
          </cell>
          <cell r="F193" t="str">
            <v>79M230017235</v>
          </cell>
          <cell r="G193" t="str">
            <v>15-20 วัน</v>
          </cell>
          <cell r="H193">
            <v>7000</v>
          </cell>
          <cell r="AN193">
            <v>0</v>
          </cell>
          <cell r="AO193">
            <v>300</v>
          </cell>
          <cell r="AP193">
            <v>150</v>
          </cell>
          <cell r="AQ193">
            <v>0</v>
          </cell>
          <cell r="AR193">
            <v>200</v>
          </cell>
          <cell r="AS193">
            <v>150</v>
          </cell>
          <cell r="AT193">
            <v>150</v>
          </cell>
          <cell r="AU193">
            <v>0</v>
          </cell>
          <cell r="AV193">
            <v>300</v>
          </cell>
          <cell r="AW193">
            <v>150</v>
          </cell>
          <cell r="AX193">
            <v>100</v>
          </cell>
          <cell r="AY193">
            <v>200</v>
          </cell>
          <cell r="AZ193">
            <v>150</v>
          </cell>
          <cell r="BA193">
            <v>150</v>
          </cell>
          <cell r="BB193">
            <v>0</v>
          </cell>
          <cell r="BC193">
            <v>300</v>
          </cell>
          <cell r="BD193">
            <v>100</v>
          </cell>
          <cell r="BE193">
            <v>100</v>
          </cell>
          <cell r="BF193">
            <v>100</v>
          </cell>
          <cell r="BG193">
            <v>0</v>
          </cell>
          <cell r="BH193">
            <v>250</v>
          </cell>
          <cell r="BI193">
            <v>0</v>
          </cell>
          <cell r="BJ193">
            <v>150</v>
          </cell>
          <cell r="BK193">
            <v>200</v>
          </cell>
          <cell r="BL193">
            <v>150</v>
          </cell>
          <cell r="BM193">
            <v>150</v>
          </cell>
          <cell r="BN193">
            <v>150</v>
          </cell>
          <cell r="BO193">
            <v>50</v>
          </cell>
          <cell r="BP193">
            <v>0</v>
          </cell>
          <cell r="BQ193">
            <v>150</v>
          </cell>
          <cell r="BR193">
            <v>250</v>
          </cell>
          <cell r="BS193">
            <v>50</v>
          </cell>
          <cell r="BT193">
            <v>4150</v>
          </cell>
        </row>
        <row r="194">
          <cell r="A194">
            <v>1021701013</v>
          </cell>
          <cell r="B194" t="str">
            <v>ถาดใส E-54 น้ำตาล(1ลัง*300) รหัสไหม่</v>
          </cell>
          <cell r="C194" t="str">
            <v>ใบ</v>
          </cell>
          <cell r="H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</row>
        <row r="195">
          <cell r="A195" t="str">
            <v>02-PP35</v>
          </cell>
          <cell r="B195" t="str">
            <v>ถาดยาวปังเนยนิ่ม หนา 0.6mm(1ลัง*600ใบ)</v>
          </cell>
          <cell r="C195" t="str">
            <v>ใบ</v>
          </cell>
          <cell r="D195">
            <v>0</v>
          </cell>
          <cell r="F195" t="str">
            <v>35M230009983</v>
          </cell>
          <cell r="G195" t="str">
            <v>20-25 วัน</v>
          </cell>
          <cell r="H195">
            <v>5200</v>
          </cell>
          <cell r="AN195">
            <v>0</v>
          </cell>
          <cell r="AO195">
            <v>200</v>
          </cell>
          <cell r="AP195">
            <v>400</v>
          </cell>
          <cell r="AQ195">
            <v>0</v>
          </cell>
          <cell r="AR195">
            <v>800</v>
          </cell>
          <cell r="AS195">
            <v>0</v>
          </cell>
          <cell r="AT195">
            <v>200</v>
          </cell>
          <cell r="AU195">
            <v>0</v>
          </cell>
          <cell r="AV195">
            <v>100</v>
          </cell>
          <cell r="AW195">
            <v>100</v>
          </cell>
          <cell r="AX195">
            <v>0</v>
          </cell>
          <cell r="AY195">
            <v>600</v>
          </cell>
          <cell r="AZ195">
            <v>150</v>
          </cell>
          <cell r="BA195">
            <v>600</v>
          </cell>
          <cell r="BB195">
            <v>0</v>
          </cell>
          <cell r="BC195">
            <v>450</v>
          </cell>
          <cell r="BD195">
            <v>100</v>
          </cell>
          <cell r="BE195">
            <v>0</v>
          </cell>
          <cell r="BF195">
            <v>200</v>
          </cell>
          <cell r="BG195">
            <v>450</v>
          </cell>
          <cell r="BH195">
            <v>150</v>
          </cell>
          <cell r="BI195">
            <v>0</v>
          </cell>
          <cell r="BJ195">
            <v>0</v>
          </cell>
          <cell r="BK195">
            <v>0</v>
          </cell>
          <cell r="BL195">
            <v>700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5200</v>
          </cell>
        </row>
        <row r="196">
          <cell r="A196">
            <v>1021701014</v>
          </cell>
          <cell r="B196" t="str">
            <v>ถาดยาวปังเนยนิ่ม หนา 0.6mm(1ลัง*600ใบ) รหัสไหม่</v>
          </cell>
          <cell r="C196" t="str">
            <v>ใบ</v>
          </cell>
          <cell r="H196">
            <v>0</v>
          </cell>
          <cell r="AB196">
            <v>6000</v>
          </cell>
          <cell r="AN196">
            <v>6000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50</v>
          </cell>
          <cell r="BM196">
            <v>700</v>
          </cell>
          <cell r="BN196">
            <v>150</v>
          </cell>
          <cell r="BO196">
            <v>200</v>
          </cell>
          <cell r="BP196">
            <v>0</v>
          </cell>
          <cell r="BQ196">
            <v>150</v>
          </cell>
          <cell r="BR196">
            <v>300</v>
          </cell>
          <cell r="BS196">
            <v>750</v>
          </cell>
          <cell r="BT196">
            <v>2300</v>
          </cell>
        </row>
        <row r="197">
          <cell r="A197" t="str">
            <v>02-PP37</v>
          </cell>
          <cell r="B197" t="str">
            <v>ถาดเบาหวิวใหญ่ เนื้อ PP 0.50mm.(1ลัง*500ใบ)</v>
          </cell>
          <cell r="C197" t="str">
            <v>ใบ</v>
          </cell>
          <cell r="D197">
            <v>0</v>
          </cell>
          <cell r="F197" t="str">
            <v>VXM2436</v>
          </cell>
          <cell r="G197" t="str">
            <v>20-25 วัน</v>
          </cell>
          <cell r="H197">
            <v>7500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100</v>
          </cell>
          <cell r="BR197">
            <v>0</v>
          </cell>
          <cell r="BS197">
            <v>0</v>
          </cell>
          <cell r="BT197">
            <v>100</v>
          </cell>
        </row>
        <row r="198">
          <cell r="A198" t="str">
            <v>02-PP38</v>
          </cell>
          <cell r="B198" t="str">
            <v>ถาดเบาหวิวเล็ก เนื้อ PP  0.50mm.(1ลัง*1000ใบ)</v>
          </cell>
          <cell r="C198" t="str">
            <v>ใบ</v>
          </cell>
          <cell r="D198">
            <v>0</v>
          </cell>
          <cell r="G198" t="str">
            <v>20-25 วัน</v>
          </cell>
          <cell r="H198">
            <v>29050</v>
          </cell>
          <cell r="AN198">
            <v>0</v>
          </cell>
          <cell r="AO198">
            <v>1000</v>
          </cell>
          <cell r="AP198">
            <v>1000</v>
          </cell>
          <cell r="AQ198">
            <v>0</v>
          </cell>
          <cell r="AR198">
            <v>200</v>
          </cell>
          <cell r="AS198">
            <v>700</v>
          </cell>
          <cell r="AT198">
            <v>0</v>
          </cell>
          <cell r="AU198">
            <v>0</v>
          </cell>
          <cell r="AV198">
            <v>1000</v>
          </cell>
          <cell r="AW198">
            <v>500</v>
          </cell>
          <cell r="AX198">
            <v>1000</v>
          </cell>
          <cell r="AY198">
            <v>1150</v>
          </cell>
          <cell r="AZ198">
            <v>1000</v>
          </cell>
          <cell r="BA198">
            <v>200</v>
          </cell>
          <cell r="BB198">
            <v>0</v>
          </cell>
          <cell r="BC198">
            <v>300</v>
          </cell>
          <cell r="BD198">
            <v>1300</v>
          </cell>
          <cell r="BE198">
            <v>0</v>
          </cell>
          <cell r="BF198">
            <v>1000</v>
          </cell>
          <cell r="BG198">
            <v>1000</v>
          </cell>
          <cell r="BH198">
            <v>400</v>
          </cell>
          <cell r="BI198">
            <v>0</v>
          </cell>
          <cell r="BJ198">
            <v>1300</v>
          </cell>
          <cell r="BK198">
            <v>300</v>
          </cell>
          <cell r="BL198">
            <v>500</v>
          </cell>
          <cell r="BM198">
            <v>1000</v>
          </cell>
          <cell r="BN198">
            <v>1000</v>
          </cell>
          <cell r="BO198">
            <v>1000</v>
          </cell>
          <cell r="BP198">
            <v>0</v>
          </cell>
          <cell r="BQ198">
            <v>1000</v>
          </cell>
          <cell r="BR198">
            <v>1000</v>
          </cell>
          <cell r="BS198">
            <v>0</v>
          </cell>
          <cell r="BT198">
            <v>18850</v>
          </cell>
        </row>
        <row r="199">
          <cell r="A199">
            <v>1021701016</v>
          </cell>
          <cell r="B199" t="str">
            <v>ถาดเบาหวิวเล็ก เนื้อ PP  0.50mm.(1ลัง*1000ใบ) รหัสไหม่</v>
          </cell>
          <cell r="C199" t="str">
            <v>ใบ</v>
          </cell>
          <cell r="H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</row>
        <row r="200">
          <cell r="A200" t="str">
            <v>02-PP50</v>
          </cell>
          <cell r="B200" t="str">
            <v>กล่องพลาสติกPETฐานน้ำตาล E-109  *โปรเจค ป.ต.ท.</v>
          </cell>
          <cell r="C200" t="str">
            <v>ใบ</v>
          </cell>
          <cell r="D200">
            <v>0</v>
          </cell>
          <cell r="G200" t="str">
            <v>15-20 วัน</v>
          </cell>
          <cell r="H200">
            <v>2900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100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100</v>
          </cell>
        </row>
        <row r="201">
          <cell r="A201" t="str">
            <v>02-PP53</v>
          </cell>
          <cell r="B201" t="str">
            <v>ถาดกล่อง+ฝา 4 หลุม(ลัง*800ใบ)</v>
          </cell>
          <cell r="C201" t="str">
            <v>ดวง</v>
          </cell>
          <cell r="D201">
            <v>0</v>
          </cell>
          <cell r="E201" t="str">
            <v>RJ</v>
          </cell>
          <cell r="G201" t="str">
            <v>1 เดือน</v>
          </cell>
          <cell r="H201">
            <v>30000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</row>
        <row r="202">
          <cell r="A202" t="str">
            <v>02-PP56</v>
          </cell>
          <cell r="B202" t="str">
            <v>ถาดขนมเปี๊ยะ 450 กรัม PP 0.5 MM. 100ใบ*ห่อ</v>
          </cell>
          <cell r="C202" t="str">
            <v>ใบ</v>
          </cell>
          <cell r="D202">
            <v>0</v>
          </cell>
          <cell r="G202" t="str">
            <v>15-20 วัน</v>
          </cell>
          <cell r="H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</row>
        <row r="203">
          <cell r="A203" t="str">
            <v>02-PP58</v>
          </cell>
          <cell r="B203" t="str">
            <v>ถ้วยพอดีคำขุ่น+ฝา PP BC</v>
          </cell>
          <cell r="C203" t="str">
            <v>ใบ</v>
          </cell>
          <cell r="D203">
            <v>0</v>
          </cell>
          <cell r="E203" t="str">
            <v>RJ</v>
          </cell>
          <cell r="G203" t="str">
            <v>1 เดือน</v>
          </cell>
          <cell r="H203">
            <v>35000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</row>
        <row r="204">
          <cell r="A204" t="str">
            <v>02-SAZ04</v>
          </cell>
          <cell r="B204" t="str">
            <v>สติ๊กเกอร์ อย.Amazon เค้กฝอยทองลาวา</v>
          </cell>
          <cell r="C204" t="str">
            <v>ดวง</v>
          </cell>
          <cell r="D204">
            <v>0</v>
          </cell>
          <cell r="G204" t="str">
            <v>1 เดือน</v>
          </cell>
          <cell r="H204">
            <v>20000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5000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5000</v>
          </cell>
        </row>
        <row r="205">
          <cell r="A205" t="str">
            <v>02-SB01</v>
          </cell>
          <cell r="B205" t="str">
            <v>สติ๊กเกอร์กาแฟดวงเล็กติดชิฟฟ่อนรวมรส</v>
          </cell>
          <cell r="C205" t="str">
            <v>ดวง</v>
          </cell>
          <cell r="D205">
            <v>0</v>
          </cell>
          <cell r="F205" t="str">
            <v>6606-0043SK</v>
          </cell>
          <cell r="G205" t="str">
            <v>1 เดือน</v>
          </cell>
          <cell r="H205">
            <v>139032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5004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5004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5004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2348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5024</v>
          </cell>
          <cell r="BR205">
            <v>0</v>
          </cell>
          <cell r="BS205">
            <v>0</v>
          </cell>
          <cell r="BT205">
            <v>22384</v>
          </cell>
        </row>
        <row r="206">
          <cell r="A206" t="str">
            <v>02-SB02</v>
          </cell>
          <cell r="B206" t="str">
            <v>สติ๊กเกอร์กล้วยหอมดวงเล็กติดชิฟฟ่อนรวมรส</v>
          </cell>
          <cell r="C206" t="str">
            <v>ดวง</v>
          </cell>
          <cell r="D206">
            <v>0</v>
          </cell>
          <cell r="F206" t="str">
            <v>-</v>
          </cell>
          <cell r="G206" t="str">
            <v>1 เดือน</v>
          </cell>
          <cell r="H206">
            <v>30060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</row>
        <row r="207">
          <cell r="A207" t="str">
            <v>02-SB03</v>
          </cell>
          <cell r="B207" t="str">
            <v>สติ๊กเกอร์โกโก้ดวงเล็กติดชิฟฟ่อนรวมรส</v>
          </cell>
          <cell r="C207" t="str">
            <v>ดวง</v>
          </cell>
          <cell r="D207">
            <v>0</v>
          </cell>
          <cell r="F207" t="str">
            <v>-</v>
          </cell>
          <cell r="G207" t="str">
            <v>1 เดือน</v>
          </cell>
          <cell r="H207">
            <v>150561</v>
          </cell>
          <cell r="AN207">
            <v>0</v>
          </cell>
          <cell r="AO207">
            <v>0</v>
          </cell>
          <cell r="AP207">
            <v>5005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5016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10021</v>
          </cell>
        </row>
        <row r="208">
          <cell r="A208" t="str">
            <v>02-SB12</v>
          </cell>
          <cell r="B208" t="str">
            <v>สติ๊กเกอร์ส้มดวงเล็กติดชิฟฟ่อนรวมรส</v>
          </cell>
          <cell r="C208" t="str">
            <v>ดวง</v>
          </cell>
          <cell r="D208">
            <v>0</v>
          </cell>
          <cell r="F208" t="str">
            <v>-</v>
          </cell>
          <cell r="G208" t="str">
            <v>1 เดือน</v>
          </cell>
          <cell r="H208">
            <v>239704</v>
          </cell>
          <cell r="AN208">
            <v>0</v>
          </cell>
          <cell r="AO208">
            <v>0</v>
          </cell>
          <cell r="AP208">
            <v>5000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5024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5024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5004</v>
          </cell>
          <cell r="BL208">
            <v>1012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9000</v>
          </cell>
          <cell r="BR208">
            <v>0</v>
          </cell>
          <cell r="BS208">
            <v>0</v>
          </cell>
          <cell r="BT208">
            <v>30064</v>
          </cell>
        </row>
        <row r="209">
          <cell r="A209" t="str">
            <v>02-SB14</v>
          </cell>
          <cell r="B209" t="str">
            <v>สติ๊กเกอร์มะพร้าวดวงเล็กติดชิฟฟ่อนรวมรส</v>
          </cell>
          <cell r="C209" t="str">
            <v>ดวง</v>
          </cell>
          <cell r="D209">
            <v>0</v>
          </cell>
          <cell r="F209" t="str">
            <v>-</v>
          </cell>
          <cell r="G209" t="str">
            <v>1 เดือน</v>
          </cell>
          <cell r="H209">
            <v>79113</v>
          </cell>
          <cell r="AN209">
            <v>0</v>
          </cell>
          <cell r="AO209">
            <v>5004</v>
          </cell>
          <cell r="AP209">
            <v>0</v>
          </cell>
          <cell r="AQ209">
            <v>0</v>
          </cell>
          <cell r="AR209">
            <v>5004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5004</v>
          </cell>
          <cell r="AX209">
            <v>0</v>
          </cell>
          <cell r="AY209">
            <v>0</v>
          </cell>
          <cell r="AZ209">
            <v>0</v>
          </cell>
          <cell r="BA209">
            <v>5004</v>
          </cell>
          <cell r="BB209">
            <v>0</v>
          </cell>
          <cell r="BC209">
            <v>0</v>
          </cell>
          <cell r="BD209">
            <v>0</v>
          </cell>
          <cell r="BE209">
            <v>5004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5004</v>
          </cell>
          <cell r="BK209">
            <v>5004</v>
          </cell>
          <cell r="BL209">
            <v>7032</v>
          </cell>
          <cell r="BM209">
            <v>0</v>
          </cell>
          <cell r="BN209">
            <v>5004</v>
          </cell>
          <cell r="BO209">
            <v>5004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52068</v>
          </cell>
        </row>
        <row r="210">
          <cell r="A210" t="str">
            <v>02-SB15</v>
          </cell>
          <cell r="B210" t="str">
            <v>สติ๊กเกอร์ลูกตาลดวงเล็กติดชิฟฟ่อนรวมรส</v>
          </cell>
          <cell r="C210" t="str">
            <v>ดวง</v>
          </cell>
          <cell r="D210">
            <v>0</v>
          </cell>
          <cell r="E210" t="str">
            <v>RJ</v>
          </cell>
          <cell r="F210" t="str">
            <v>-</v>
          </cell>
          <cell r="G210" t="str">
            <v>1 เดือน</v>
          </cell>
          <cell r="H210">
            <v>96000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</row>
        <row r="211">
          <cell r="A211" t="str">
            <v>02-SB16</v>
          </cell>
          <cell r="B211" t="str">
            <v>สติ๊กเกอร์เผือกดวงเล็กติดชิฟฟ่อนรวมรส</v>
          </cell>
          <cell r="C211" t="str">
            <v>ดวง</v>
          </cell>
          <cell r="D211">
            <v>0</v>
          </cell>
          <cell r="F211" t="str">
            <v>-</v>
          </cell>
          <cell r="G211" t="str">
            <v>1 เดือน</v>
          </cell>
          <cell r="H211">
            <v>62392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</row>
        <row r="212">
          <cell r="A212" t="str">
            <v>02-SB17</v>
          </cell>
          <cell r="B212" t="str">
            <v>สติ๊กเกอร์น้ำผึ้งวงกลมติดชิฟฟอนรวมรส</v>
          </cell>
          <cell r="C212" t="str">
            <v>ดวง</v>
          </cell>
          <cell r="D212">
            <v>0</v>
          </cell>
          <cell r="F212" t="str">
            <v>-</v>
          </cell>
          <cell r="G212" t="str">
            <v>1 เดือน</v>
          </cell>
          <cell r="H212">
            <v>255980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5000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5000</v>
          </cell>
        </row>
        <row r="213">
          <cell r="A213" t="str">
            <v>02-SB18</v>
          </cell>
          <cell r="B213" t="str">
            <v>สติ๊กเกอร์ชีสเค้กวงกลมติดชิฟฟอนรวมรส</v>
          </cell>
          <cell r="C213" t="str">
            <v>ดวง</v>
          </cell>
          <cell r="D213">
            <v>0</v>
          </cell>
          <cell r="F213" t="str">
            <v>6603-0208SK</v>
          </cell>
          <cell r="G213" t="str">
            <v>1 เดือน</v>
          </cell>
          <cell r="H213">
            <v>262920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5000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5000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10000</v>
          </cell>
        </row>
        <row r="214">
          <cell r="A214" t="str">
            <v>02-SB19</v>
          </cell>
          <cell r="B214" t="str">
            <v>สติ๊กเกอร์มัลเบอร์รี่วงกลมติดชิฟฟอนรวมรส ไม่ใช้</v>
          </cell>
          <cell r="C214" t="str">
            <v>ดวง</v>
          </cell>
          <cell r="D214">
            <v>0</v>
          </cell>
          <cell r="E214" t="str">
            <v>RJ</v>
          </cell>
          <cell r="F214" t="str">
            <v>-</v>
          </cell>
          <cell r="G214" t="str">
            <v>1 เดือน</v>
          </cell>
          <cell r="H214">
            <v>233200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</row>
        <row r="215">
          <cell r="A215" t="str">
            <v>02-SB21</v>
          </cell>
          <cell r="B215" t="str">
            <v>สติ๊กเกอร์วงกลมกาแฟ (บาร์โค๊ด)</v>
          </cell>
          <cell r="C215" t="str">
            <v>ดวง</v>
          </cell>
          <cell r="D215">
            <v>0</v>
          </cell>
          <cell r="E215" t="str">
            <v>RJ</v>
          </cell>
          <cell r="F215" t="str">
            <v>JD2023-02653</v>
          </cell>
          <cell r="G215" t="str">
            <v>1 เดือน</v>
          </cell>
          <cell r="H215">
            <v>20280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</row>
        <row r="216">
          <cell r="A216" t="str">
            <v>02-SB22</v>
          </cell>
          <cell r="B216" t="str">
            <v>สติ๊กเกอร์วงกลมโกโก้ (บาร์โค๊ด)</v>
          </cell>
          <cell r="C216" t="str">
            <v>ดวง</v>
          </cell>
          <cell r="D216">
            <v>0</v>
          </cell>
          <cell r="E216" t="str">
            <v>RJ</v>
          </cell>
          <cell r="F216" t="str">
            <v>JD-2023-02615</v>
          </cell>
          <cell r="G216" t="str">
            <v>1 เดือน</v>
          </cell>
          <cell r="H216">
            <v>26230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</row>
        <row r="217">
          <cell r="A217" t="str">
            <v>02-SB24</v>
          </cell>
          <cell r="B217" t="str">
            <v>สติ๊กเกอร์ดวงกลมชาเขียว (บาร์โค๊ด)</v>
          </cell>
          <cell r="C217" t="str">
            <v>ดวง</v>
          </cell>
          <cell r="D217">
            <v>0</v>
          </cell>
          <cell r="E217" t="str">
            <v>RJ</v>
          </cell>
          <cell r="F217" t="str">
            <v>JD2023-02615</v>
          </cell>
          <cell r="G217" t="str">
            <v>1 เดือน</v>
          </cell>
          <cell r="H217">
            <v>5040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</row>
        <row r="218">
          <cell r="A218" t="str">
            <v>02-SB25</v>
          </cell>
          <cell r="B218" t="str">
            <v>สติ๊กเกอร์วงกลมชาไทย (บาร์โค๊ด)</v>
          </cell>
          <cell r="C218" t="str">
            <v>ดวง</v>
          </cell>
          <cell r="D218">
            <v>0</v>
          </cell>
          <cell r="E218" t="str">
            <v>RJ</v>
          </cell>
          <cell r="F218" t="str">
            <v>JD2023-02653</v>
          </cell>
          <cell r="G218" t="str">
            <v>1 เดือน</v>
          </cell>
          <cell r="H218">
            <v>15280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</row>
        <row r="219">
          <cell r="A219" t="str">
            <v>02-SB27</v>
          </cell>
          <cell r="B219" t="str">
            <v>สติ๊กเกอร์วงกลมบลูเบอรี่ (บาร์โค๊ด)</v>
          </cell>
          <cell r="C219" t="str">
            <v>ดวง</v>
          </cell>
          <cell r="D219">
            <v>0</v>
          </cell>
          <cell r="E219" t="str">
            <v>RJ</v>
          </cell>
          <cell r="F219" t="str">
            <v>JD2023-02615</v>
          </cell>
          <cell r="G219" t="str">
            <v>1 เดือน</v>
          </cell>
          <cell r="H219">
            <v>20320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</row>
        <row r="220">
          <cell r="A220" t="str">
            <v>02-SB28</v>
          </cell>
          <cell r="B220" t="str">
            <v>สติ๊กเกอร์วงกลมใบเตย (บาร์โค๊ด)</v>
          </cell>
          <cell r="C220" t="str">
            <v>ดวง</v>
          </cell>
          <cell r="D220">
            <v>0</v>
          </cell>
          <cell r="E220" t="str">
            <v>RJ</v>
          </cell>
          <cell r="F220" t="str">
            <v>JD2023-02615</v>
          </cell>
          <cell r="G220" t="str">
            <v>1 เดือน</v>
          </cell>
          <cell r="H220">
            <v>5280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</row>
        <row r="221">
          <cell r="A221" t="str">
            <v>02-SB29</v>
          </cell>
          <cell r="B221" t="str">
            <v>สติ๊กเกอร์วงกลมเผือก (บาร์โค๊ด)</v>
          </cell>
          <cell r="C221" t="str">
            <v>ดวง</v>
          </cell>
          <cell r="D221">
            <v>0</v>
          </cell>
          <cell r="E221" t="str">
            <v>RJ</v>
          </cell>
          <cell r="F221" t="str">
            <v>JD2023-02615</v>
          </cell>
          <cell r="G221" t="str">
            <v>1 เดือน</v>
          </cell>
          <cell r="H221">
            <v>10160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</row>
        <row r="222">
          <cell r="A222" t="str">
            <v>02-SB32</v>
          </cell>
          <cell r="B222" t="str">
            <v>สติ๊กเกอร์วงกลมเมล่อน (บาร์โค๊ด)</v>
          </cell>
          <cell r="C222" t="str">
            <v>ดวง</v>
          </cell>
          <cell r="D222">
            <v>0</v>
          </cell>
          <cell r="E222" t="str">
            <v>RJ</v>
          </cell>
          <cell r="F222" t="str">
            <v>JD2023-02653</v>
          </cell>
          <cell r="G222" t="str">
            <v>1 เดือน</v>
          </cell>
          <cell r="H222">
            <v>9790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</row>
        <row r="223">
          <cell r="A223" t="str">
            <v>02-SB33</v>
          </cell>
          <cell r="B223" t="str">
            <v>สติ๊กเกอร์วงกลมสตรอบอรี่ (บาร์โค๊ด)</v>
          </cell>
          <cell r="C223" t="str">
            <v>ดวง</v>
          </cell>
          <cell r="D223">
            <v>0</v>
          </cell>
          <cell r="E223" t="str">
            <v>RJ</v>
          </cell>
          <cell r="F223" t="str">
            <v>JD2023-02653</v>
          </cell>
          <cell r="G223" t="str">
            <v>1 เดือน</v>
          </cell>
          <cell r="H223">
            <v>15280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</row>
        <row r="224">
          <cell r="A224" t="str">
            <v>02-SB34</v>
          </cell>
          <cell r="B224" t="str">
            <v>สติ๊กเกอร์วงกลมส้ม (บาร์โค๊ด)</v>
          </cell>
          <cell r="C224" t="str">
            <v>ดวง</v>
          </cell>
          <cell r="D224">
            <v>0</v>
          </cell>
          <cell r="E224" t="str">
            <v>RJ</v>
          </cell>
          <cell r="F224" t="str">
            <v>JD2023-02615</v>
          </cell>
          <cell r="G224" t="str">
            <v>1 เดือน</v>
          </cell>
          <cell r="H224">
            <v>20240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</row>
        <row r="225">
          <cell r="A225" t="str">
            <v>02-SBR1</v>
          </cell>
          <cell r="B225" t="str">
            <v>สติ๊กเกอร์ท็อฟฟี่ (บาร์โค๊ด)</v>
          </cell>
          <cell r="C225" t="str">
            <v>ดวง</v>
          </cell>
          <cell r="D225">
            <v>0</v>
          </cell>
          <cell r="H225">
            <v>7921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672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672</v>
          </cell>
        </row>
        <row r="226">
          <cell r="A226" t="str">
            <v>02-SBR33</v>
          </cell>
          <cell r="B226" t="str">
            <v>สติ๊กเกอร์บาร์โค้ดบัวลอย</v>
          </cell>
          <cell r="C226" t="str">
            <v>ดวง</v>
          </cell>
          <cell r="D226">
            <v>0</v>
          </cell>
          <cell r="E226" t="str">
            <v>RJ</v>
          </cell>
          <cell r="F226" t="str">
            <v>-</v>
          </cell>
          <cell r="G226" t="str">
            <v>1 เดือน</v>
          </cell>
          <cell r="H226">
            <v>10000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</row>
        <row r="227">
          <cell r="A227" t="str">
            <v>02-SBR34</v>
          </cell>
          <cell r="B227" t="str">
            <v>สติ๊กเกอร์บาร์โค้ดบานอฟฟี่</v>
          </cell>
          <cell r="C227" t="str">
            <v>ดวง</v>
          </cell>
          <cell r="D227">
            <v>0</v>
          </cell>
          <cell r="E227" t="str">
            <v>RJ</v>
          </cell>
          <cell r="F227" t="str">
            <v>-</v>
          </cell>
          <cell r="G227" t="str">
            <v>1 เดือน</v>
          </cell>
          <cell r="H227">
            <v>18600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</row>
        <row r="228">
          <cell r="A228" t="str">
            <v>02-SBR35</v>
          </cell>
          <cell r="B228" t="str">
            <v>สติ๊กเกอร์บาร์โค้ดเอแคลร์ชาไทย</v>
          </cell>
          <cell r="C228" t="str">
            <v>ดวง</v>
          </cell>
          <cell r="D228">
            <v>0</v>
          </cell>
          <cell r="E228" t="str">
            <v>RJ</v>
          </cell>
          <cell r="F228" t="str">
            <v>-</v>
          </cell>
          <cell r="G228" t="str">
            <v>1 เดือน</v>
          </cell>
          <cell r="H228">
            <v>30000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</row>
        <row r="229">
          <cell r="A229" t="str">
            <v>02-SBR36</v>
          </cell>
          <cell r="B229" t="str">
            <v>สติ๊กเกอร์บาร์โค้ดปังนุ่มชาไทย BC</v>
          </cell>
          <cell r="C229" t="str">
            <v>ดวง</v>
          </cell>
          <cell r="D229">
            <v>0</v>
          </cell>
          <cell r="E229" t="str">
            <v>RJ</v>
          </cell>
          <cell r="F229" t="str">
            <v>-</v>
          </cell>
          <cell r="G229" t="str">
            <v>1 เดือน</v>
          </cell>
          <cell r="H229">
            <v>50000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</row>
        <row r="230">
          <cell r="A230" t="str">
            <v>02-SBR38</v>
          </cell>
          <cell r="B230" t="str">
            <v>สติ๊กเกอร์บาร์โค้ดปังพริกเผาหมูหยองมินิ</v>
          </cell>
          <cell r="C230" t="str">
            <v>ดวง</v>
          </cell>
          <cell r="D230">
            <v>0</v>
          </cell>
          <cell r="E230" t="str">
            <v>RJ</v>
          </cell>
          <cell r="F230" t="str">
            <v>-</v>
          </cell>
          <cell r="G230" t="str">
            <v>1 เดือน</v>
          </cell>
          <cell r="H230">
            <v>17136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</row>
        <row r="231">
          <cell r="A231" t="str">
            <v>02-SBR39</v>
          </cell>
          <cell r="B231" t="str">
            <v>สติ๊กเกอร์บาร์โค้ดมะม่วงชีสพาย</v>
          </cell>
          <cell r="C231" t="str">
            <v>ดวง</v>
          </cell>
          <cell r="D231">
            <v>0</v>
          </cell>
          <cell r="E231" t="str">
            <v>RJ</v>
          </cell>
          <cell r="F231" t="str">
            <v>JD2023-02616</v>
          </cell>
          <cell r="G231" t="str">
            <v>1 เดือน</v>
          </cell>
          <cell r="H231">
            <v>30000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</row>
        <row r="232">
          <cell r="A232" t="str">
            <v>02-SC01</v>
          </cell>
          <cell r="B232" t="str">
            <v>สติ๊กเกอร์เค้กชิฟฟ่อนสอดไส้ฝอยทอง</v>
          </cell>
          <cell r="C232" t="str">
            <v>ดวง</v>
          </cell>
          <cell r="D232">
            <v>0</v>
          </cell>
          <cell r="G232" t="str">
            <v>1 เดือน</v>
          </cell>
          <cell r="H232">
            <v>112548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5000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5000</v>
          </cell>
        </row>
        <row r="233">
          <cell r="A233" t="str">
            <v>02-SC02</v>
          </cell>
          <cell r="B233" t="str">
            <v>สติ๊กเกอร์เค้กชิฟฟ่อนสอดไส้มะพร้าวนมสด</v>
          </cell>
          <cell r="C233" t="str">
            <v>ดวง</v>
          </cell>
          <cell r="D233">
            <v>0</v>
          </cell>
          <cell r="F233" t="str">
            <v>-</v>
          </cell>
          <cell r="G233" t="str">
            <v>1 เดือน</v>
          </cell>
          <cell r="H233">
            <v>136835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5004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4980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9984</v>
          </cell>
        </row>
        <row r="234">
          <cell r="A234" t="str">
            <v>02-SC04</v>
          </cell>
          <cell r="B234" t="str">
            <v>สติ๊กเกอร์เค้กชิฟฟ่อนสอดไส้็ส้ม</v>
          </cell>
          <cell r="C234" t="str">
            <v>ดวง</v>
          </cell>
          <cell r="D234">
            <v>0</v>
          </cell>
          <cell r="G234" t="str">
            <v>1 เดือน</v>
          </cell>
          <cell r="H234">
            <v>228330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</row>
        <row r="235">
          <cell r="A235" t="str">
            <v>02-SC06</v>
          </cell>
          <cell r="B235" t="str">
            <v>สติ๊กเกอร์บลูเบอรี่ดวงกลม</v>
          </cell>
          <cell r="C235" t="str">
            <v>ดวง</v>
          </cell>
          <cell r="D235">
            <v>0</v>
          </cell>
          <cell r="F235" t="str">
            <v>-</v>
          </cell>
          <cell r="G235" t="str">
            <v>1 เดือน</v>
          </cell>
          <cell r="H235">
            <v>110279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5004</v>
          </cell>
          <cell r="AS235">
            <v>0</v>
          </cell>
          <cell r="AT235">
            <v>0</v>
          </cell>
          <cell r="AU235">
            <v>0</v>
          </cell>
          <cell r="AV235">
            <v>5004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4713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5016</v>
          </cell>
          <cell r="BN235">
            <v>0</v>
          </cell>
          <cell r="BO235">
            <v>5016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24753</v>
          </cell>
        </row>
        <row r="236">
          <cell r="A236" t="str">
            <v>02-SC07</v>
          </cell>
          <cell r="B236" t="str">
            <v>สติ๊กเกอร์สับปะรดดวงกลม</v>
          </cell>
          <cell r="C236" t="str">
            <v>ดวง</v>
          </cell>
          <cell r="D236">
            <v>0</v>
          </cell>
          <cell r="F236" t="str">
            <v>-</v>
          </cell>
          <cell r="G236" t="str">
            <v>1 เดือน</v>
          </cell>
          <cell r="H236">
            <v>145620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7">
          <cell r="A237" t="str">
            <v>02-SC08</v>
          </cell>
          <cell r="B237" t="str">
            <v>สติ๊กเกอร์ชาไทยดวงกลม</v>
          </cell>
          <cell r="C237" t="str">
            <v>ดวง</v>
          </cell>
          <cell r="D237">
            <v>0</v>
          </cell>
          <cell r="G237" t="str">
            <v>1 เดือน</v>
          </cell>
          <cell r="H237">
            <v>164778</v>
          </cell>
          <cell r="AN237">
            <v>0</v>
          </cell>
          <cell r="AO237">
            <v>0</v>
          </cell>
          <cell r="AP237">
            <v>5004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5004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5000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5004</v>
          </cell>
          <cell r="BK237">
            <v>0</v>
          </cell>
          <cell r="BL237">
            <v>5622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5000</v>
          </cell>
          <cell r="BR237">
            <v>0</v>
          </cell>
          <cell r="BS237">
            <v>0</v>
          </cell>
          <cell r="BT237">
            <v>30634</v>
          </cell>
        </row>
        <row r="238">
          <cell r="A238" t="str">
            <v>02-SC09</v>
          </cell>
          <cell r="B238" t="str">
            <v>สติ๊กเกอร์เนยนมดวงกลม</v>
          </cell>
          <cell r="C238" t="str">
            <v>ดวง</v>
          </cell>
          <cell r="D238">
            <v>0</v>
          </cell>
          <cell r="F238" t="str">
            <v>6606-0122BR</v>
          </cell>
          <cell r="G238" t="str">
            <v>1 เดือน</v>
          </cell>
          <cell r="H238">
            <v>218199</v>
          </cell>
          <cell r="AN238">
            <v>0</v>
          </cell>
          <cell r="AO238">
            <v>0</v>
          </cell>
          <cell r="AP238">
            <v>5019</v>
          </cell>
          <cell r="AQ238">
            <v>0</v>
          </cell>
          <cell r="AR238">
            <v>0</v>
          </cell>
          <cell r="AS238">
            <v>5019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5019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5000</v>
          </cell>
          <cell r="BK238">
            <v>0</v>
          </cell>
          <cell r="BL238">
            <v>13306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5000</v>
          </cell>
          <cell r="BR238">
            <v>0</v>
          </cell>
          <cell r="BS238">
            <v>0</v>
          </cell>
          <cell r="BT238">
            <v>38363</v>
          </cell>
        </row>
        <row r="239">
          <cell r="A239" t="str">
            <v>02-SC10</v>
          </cell>
          <cell r="B239" t="str">
            <v>สติ๊กเกอร์สตอเบอรี่ดวงกลม</v>
          </cell>
          <cell r="C239" t="str">
            <v>ดวง</v>
          </cell>
          <cell r="D239">
            <v>0</v>
          </cell>
          <cell r="F239" t="str">
            <v>-</v>
          </cell>
          <cell r="G239" t="str">
            <v>1 เดือน</v>
          </cell>
          <cell r="H239">
            <v>68130</v>
          </cell>
          <cell r="AN239">
            <v>0</v>
          </cell>
          <cell r="AO239">
            <v>0</v>
          </cell>
          <cell r="AP239">
            <v>5004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5004</v>
          </cell>
          <cell r="AW239">
            <v>0</v>
          </cell>
          <cell r="AX239">
            <v>0</v>
          </cell>
          <cell r="AY239">
            <v>0</v>
          </cell>
          <cell r="AZ239">
            <v>5004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5004</v>
          </cell>
          <cell r="BG239">
            <v>0</v>
          </cell>
          <cell r="BH239">
            <v>0</v>
          </cell>
          <cell r="BI239">
            <v>0</v>
          </cell>
          <cell r="BJ239">
            <v>5004</v>
          </cell>
          <cell r="BK239">
            <v>0</v>
          </cell>
          <cell r="BL239">
            <v>7986</v>
          </cell>
          <cell r="BM239">
            <v>0</v>
          </cell>
          <cell r="BN239">
            <v>5004</v>
          </cell>
          <cell r="BO239">
            <v>0</v>
          </cell>
          <cell r="BP239">
            <v>0</v>
          </cell>
          <cell r="BQ239">
            <v>30120</v>
          </cell>
          <cell r="BR239">
            <v>0</v>
          </cell>
          <cell r="BS239">
            <v>0</v>
          </cell>
          <cell r="BT239">
            <v>68130</v>
          </cell>
        </row>
        <row r="240">
          <cell r="A240" t="str">
            <v>02-SC18</v>
          </cell>
          <cell r="B240" t="str">
            <v>สติ๊กเกอร์สตอเบอรี่ครีมเค้กCJ(ครีม ขาว)</v>
          </cell>
          <cell r="C240" t="str">
            <v>ดวง</v>
          </cell>
          <cell r="D240">
            <v>0</v>
          </cell>
          <cell r="E240" t="str">
            <v>RJ</v>
          </cell>
          <cell r="G240" t="str">
            <v>1 เดือน</v>
          </cell>
          <cell r="H240">
            <v>4444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</row>
        <row r="241">
          <cell r="A241" t="str">
            <v>02-SC19</v>
          </cell>
          <cell r="B241" t="str">
            <v>สติ๊กเกอร์ปังเนยนิ่ม 3 ชิ้น TOP</v>
          </cell>
          <cell r="C241" t="str">
            <v>ดวง</v>
          </cell>
          <cell r="D241">
            <v>0</v>
          </cell>
          <cell r="F241" t="str">
            <v>JD2023-02180</v>
          </cell>
          <cell r="G241" t="str">
            <v>1 เดือน</v>
          </cell>
          <cell r="H241">
            <v>6428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332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352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300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984</v>
          </cell>
        </row>
        <row r="242">
          <cell r="A242" t="str">
            <v>02-SC21</v>
          </cell>
          <cell r="B242" t="str">
            <v>สติกเกอร์แซนวิชแฮมชีส CJ (เลิกใช้)</v>
          </cell>
          <cell r="C242" t="str">
            <v>ดวง</v>
          </cell>
          <cell r="D242">
            <v>0</v>
          </cell>
          <cell r="E242" t="str">
            <v>RJ</v>
          </cell>
          <cell r="F242" t="str">
            <v>-</v>
          </cell>
          <cell r="G242" t="str">
            <v>1 เดือน</v>
          </cell>
          <cell r="H242">
            <v>1572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</row>
        <row r="243">
          <cell r="A243" t="str">
            <v>02-SC23</v>
          </cell>
          <cell r="B243" t="str">
            <v>สติ๊กเกอร์เมอแรงค์(ใหม่)90</v>
          </cell>
          <cell r="C243" t="str">
            <v>ดวง</v>
          </cell>
          <cell r="D243">
            <v>0</v>
          </cell>
          <cell r="F243" t="str">
            <v>JD2023-02507-2</v>
          </cell>
          <cell r="G243" t="str">
            <v>1 เดือน</v>
          </cell>
          <cell r="H243">
            <v>7000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1000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1000</v>
          </cell>
        </row>
        <row r="244">
          <cell r="A244" t="str">
            <v>02-SC27</v>
          </cell>
          <cell r="B244" t="str">
            <v>สติ๊กเกอร์แซนวิชปูอัด CJ  เลิกใช้</v>
          </cell>
          <cell r="C244" t="str">
            <v>ดวง</v>
          </cell>
          <cell r="D244">
            <v>0</v>
          </cell>
          <cell r="E244" t="str">
            <v>RJ</v>
          </cell>
          <cell r="F244" t="str">
            <v>-</v>
          </cell>
          <cell r="G244" t="str">
            <v>1 เดือน</v>
          </cell>
          <cell r="H244">
            <v>23900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</row>
        <row r="245">
          <cell r="A245" t="str">
            <v>02-SC31</v>
          </cell>
          <cell r="B245" t="str">
            <v>สติ๊กเกอร์สายคาดเค้กฝอยทองหน้านิ่ม ส่งเดอะมอ ใช้อันนี้</v>
          </cell>
          <cell r="C245" t="str">
            <v>ดวง</v>
          </cell>
          <cell r="D245">
            <v>0</v>
          </cell>
          <cell r="F245" t="str">
            <v>-</v>
          </cell>
          <cell r="G245" t="str">
            <v>1 เดือน</v>
          </cell>
          <cell r="H245">
            <v>12600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</row>
        <row r="246">
          <cell r="A246" t="str">
            <v>02-SC32</v>
          </cell>
          <cell r="B246" t="str">
            <v>STK เค้กลอดช่อง BC</v>
          </cell>
          <cell r="C246" t="str">
            <v>ดวง</v>
          </cell>
          <cell r="D246">
            <v>0</v>
          </cell>
          <cell r="E246" t="str">
            <v>RJ</v>
          </cell>
          <cell r="F246" t="str">
            <v>-</v>
          </cell>
          <cell r="G246" t="str">
            <v>1 เดือน</v>
          </cell>
          <cell r="H246">
            <v>836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</row>
        <row r="247">
          <cell r="A247" t="str">
            <v>02-SC35</v>
          </cell>
          <cell r="B247" t="str">
            <v>สติ๊กเกอร์คุ้ม 4 สีปังแถว CJ</v>
          </cell>
          <cell r="C247" t="str">
            <v>ดวง</v>
          </cell>
          <cell r="D247">
            <v>0</v>
          </cell>
          <cell r="E247" t="str">
            <v>RJ</v>
          </cell>
          <cell r="F247" t="str">
            <v>-</v>
          </cell>
          <cell r="G247" t="str">
            <v>1 เดือน</v>
          </cell>
          <cell r="H247">
            <v>936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</row>
        <row r="248">
          <cell r="A248" t="str">
            <v>02-SC36</v>
          </cell>
          <cell r="B248" t="str">
            <v>สติ๊กเกอร์น้ำหนัก 400 กรัมสีดำ CJ</v>
          </cell>
          <cell r="C248" t="str">
            <v>ดวง</v>
          </cell>
          <cell r="D248">
            <v>0</v>
          </cell>
          <cell r="E248" t="str">
            <v>RJ</v>
          </cell>
          <cell r="F248" t="str">
            <v>-</v>
          </cell>
          <cell r="G248" t="str">
            <v>1 เดือน</v>
          </cell>
          <cell r="H248">
            <v>3452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</row>
        <row r="249">
          <cell r="A249" t="str">
            <v>02-SC37</v>
          </cell>
          <cell r="B249" t="str">
            <v>สติ๊กเกอร์เมอแรงค์ Oline35</v>
          </cell>
          <cell r="C249" t="str">
            <v>ดวง</v>
          </cell>
          <cell r="D249">
            <v>0</v>
          </cell>
          <cell r="E249" t="str">
            <v>RJ</v>
          </cell>
          <cell r="F249" t="str">
            <v>-</v>
          </cell>
          <cell r="G249" t="str">
            <v>1 เดือน</v>
          </cell>
          <cell r="H249">
            <v>4000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</row>
        <row r="250">
          <cell r="A250" t="str">
            <v>02-SC44</v>
          </cell>
          <cell r="B250" t="str">
            <v>สติ๊กเกอร์สายคาดพิซซ่าโบโรน่า CJ</v>
          </cell>
          <cell r="C250" t="str">
            <v>ดวง</v>
          </cell>
          <cell r="D250">
            <v>0</v>
          </cell>
          <cell r="F250" t="str">
            <v>-</v>
          </cell>
          <cell r="G250" t="str">
            <v>1 เดือน</v>
          </cell>
          <cell r="H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</row>
        <row r="251">
          <cell r="A251">
            <v>1020201003</v>
          </cell>
          <cell r="B251" t="str">
            <v>สติ๊กเกอร์สายคาดพิซซ่าโบโรน่า CJ ติดโปร</v>
          </cell>
          <cell r="C251" t="str">
            <v>ดวง</v>
          </cell>
          <cell r="D251">
            <v>0</v>
          </cell>
          <cell r="E251" t="str">
            <v>RJ</v>
          </cell>
          <cell r="H251">
            <v>9608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</row>
        <row r="252">
          <cell r="A252" t="str">
            <v>02-SC45</v>
          </cell>
          <cell r="B252" t="str">
            <v>สติ๊กเกอร์สายคาดขนมปังข้าวโพดแฮม CJ</v>
          </cell>
          <cell r="C252" t="str">
            <v>ดวง</v>
          </cell>
          <cell r="D252">
            <v>0</v>
          </cell>
          <cell r="E252" t="str">
            <v>RJ</v>
          </cell>
          <cell r="F252" t="str">
            <v>-</v>
          </cell>
          <cell r="G252" t="str">
            <v>1 เดือน</v>
          </cell>
          <cell r="H252">
            <v>118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</row>
        <row r="253">
          <cell r="A253" t="str">
            <v>02-SC46</v>
          </cell>
          <cell r="B253" t="str">
            <v>สติ๊กเกอร์สายคาดชิฟฟ่อนเค้กสอดใส้ครีมมะพร้าว CJ</v>
          </cell>
          <cell r="C253" t="str">
            <v>ดวง</v>
          </cell>
          <cell r="D253">
            <v>0</v>
          </cell>
          <cell r="H253">
            <v>35034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</row>
        <row r="254">
          <cell r="A254" t="str">
            <v>02-SC50</v>
          </cell>
          <cell r="B254" t="str">
            <v>สติ๊กเกอร์สายคาดเค้กมะพร้าวลาวา CJ</v>
          </cell>
          <cell r="C254" t="str">
            <v>ดวง</v>
          </cell>
          <cell r="D254">
            <v>0</v>
          </cell>
          <cell r="F254" t="str">
            <v>-</v>
          </cell>
          <cell r="G254" t="str">
            <v>1 เดือน</v>
          </cell>
          <cell r="H254">
            <v>35733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</row>
        <row r="255">
          <cell r="A255" t="str">
            <v>02-SC52</v>
          </cell>
          <cell r="B255" t="str">
            <v>สติ๊กเกอร์สายคาดแซนวิสแฮมไข่ CJ เลิก</v>
          </cell>
          <cell r="C255" t="str">
            <v>ดวง</v>
          </cell>
          <cell r="D255">
            <v>0</v>
          </cell>
          <cell r="E255" t="str">
            <v>RJ</v>
          </cell>
          <cell r="F255" t="str">
            <v>-</v>
          </cell>
          <cell r="G255" t="str">
            <v>1 เดือน</v>
          </cell>
          <cell r="H255">
            <v>2407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</row>
        <row r="256">
          <cell r="A256" t="str">
            <v>02-SC53</v>
          </cell>
          <cell r="B256" t="str">
            <v>สติ๊กเกอร์สายคาดเอแคลร์ชาไทย CJ เลิก</v>
          </cell>
          <cell r="C256" t="str">
            <v>ดวง</v>
          </cell>
          <cell r="D256">
            <v>0</v>
          </cell>
          <cell r="E256" t="str">
            <v>RJ</v>
          </cell>
          <cell r="F256" t="str">
            <v>-</v>
          </cell>
          <cell r="G256" t="str">
            <v>1 เดือน</v>
          </cell>
          <cell r="H256">
            <v>2828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</row>
        <row r="257">
          <cell r="A257" t="str">
            <v>02-SC54</v>
          </cell>
          <cell r="B257" t="str">
            <v>สติ๊กเกอร์สายคาดบานอฟฟี่ BC</v>
          </cell>
          <cell r="C257" t="str">
            <v>ดวง</v>
          </cell>
          <cell r="D257">
            <v>0</v>
          </cell>
          <cell r="F257" t="str">
            <v>-</v>
          </cell>
          <cell r="G257" t="str">
            <v>1 เดือน</v>
          </cell>
          <cell r="H257">
            <v>9884</v>
          </cell>
          <cell r="AN257">
            <v>0</v>
          </cell>
          <cell r="AO257">
            <v>1104</v>
          </cell>
          <cell r="AP257">
            <v>1700</v>
          </cell>
          <cell r="AQ257">
            <v>0</v>
          </cell>
          <cell r="AR257">
            <v>1200</v>
          </cell>
          <cell r="AS257">
            <v>1200</v>
          </cell>
          <cell r="AT257">
            <v>1200</v>
          </cell>
          <cell r="AU257">
            <v>0</v>
          </cell>
          <cell r="AV257">
            <v>1800</v>
          </cell>
          <cell r="AW257">
            <v>600</v>
          </cell>
          <cell r="AX257">
            <v>1080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9884</v>
          </cell>
        </row>
        <row r="258">
          <cell r="A258">
            <v>1023401008</v>
          </cell>
          <cell r="B258" t="str">
            <v>สติ๊กเกอร์สายคาดบานอฟฟี่ BC รหัสไหม่</v>
          </cell>
          <cell r="C258" t="str">
            <v>ดวง</v>
          </cell>
          <cell r="H258">
            <v>0</v>
          </cell>
          <cell r="J258">
            <v>60000</v>
          </cell>
          <cell r="AN258">
            <v>60000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120</v>
          </cell>
          <cell r="AY258">
            <v>1212</v>
          </cell>
          <cell r="AZ258">
            <v>1200</v>
          </cell>
          <cell r="BA258">
            <v>1200</v>
          </cell>
          <cell r="BB258">
            <v>0</v>
          </cell>
          <cell r="BC258">
            <v>2004</v>
          </cell>
          <cell r="BD258">
            <v>2400</v>
          </cell>
          <cell r="BE258">
            <v>1764</v>
          </cell>
          <cell r="BF258">
            <v>1200</v>
          </cell>
          <cell r="BG258">
            <v>1800</v>
          </cell>
          <cell r="BH258">
            <v>1200</v>
          </cell>
          <cell r="BI258">
            <v>0</v>
          </cell>
          <cell r="BJ258">
            <v>702</v>
          </cell>
          <cell r="BK258">
            <v>0</v>
          </cell>
          <cell r="BL258">
            <v>1200</v>
          </cell>
          <cell r="BM258">
            <v>600</v>
          </cell>
          <cell r="BN258">
            <v>600</v>
          </cell>
          <cell r="BO258">
            <v>1104</v>
          </cell>
          <cell r="BP258">
            <v>0</v>
          </cell>
          <cell r="BQ258">
            <v>900</v>
          </cell>
          <cell r="BR258">
            <v>1200</v>
          </cell>
          <cell r="BS258">
            <v>600</v>
          </cell>
          <cell r="BT258">
            <v>21006</v>
          </cell>
        </row>
        <row r="259">
          <cell r="A259" t="str">
            <v>02-SC55</v>
          </cell>
          <cell r="B259" t="str">
            <v>สติ๊กเกอร์สายคาดโดนัทไส้แยมสตรอเบอรี่ CJ 2ชิ้น</v>
          </cell>
          <cell r="C259" t="str">
            <v>ดวง</v>
          </cell>
          <cell r="D259">
            <v>0</v>
          </cell>
          <cell r="E259" t="str">
            <v>RJ</v>
          </cell>
          <cell r="F259" t="str">
            <v>-</v>
          </cell>
          <cell r="G259" t="str">
            <v>1 เดือน</v>
          </cell>
          <cell r="H259">
            <v>11495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</row>
        <row r="260">
          <cell r="A260" t="str">
            <v>02-SC56</v>
          </cell>
          <cell r="B260" t="str">
            <v>สติ๊กเกอร์สายคาดโดนัทไส้คัทสตาร์ส CJ 2ชิ้น</v>
          </cell>
          <cell r="C260" t="str">
            <v>ดวง</v>
          </cell>
          <cell r="D260">
            <v>0</v>
          </cell>
          <cell r="E260" t="str">
            <v>RJ</v>
          </cell>
          <cell r="F260" t="str">
            <v>-</v>
          </cell>
          <cell r="G260" t="str">
            <v>1 เดือน</v>
          </cell>
          <cell r="H260">
            <v>6829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</row>
        <row r="261">
          <cell r="A261" t="str">
            <v>02-SC57</v>
          </cell>
          <cell r="B261" t="str">
            <v>สติ๊กเกอร์สายคาดขนมปังไก่หยองน้ำพริกเผา CJ</v>
          </cell>
          <cell r="C261" t="str">
            <v>ดวง</v>
          </cell>
          <cell r="D261">
            <v>0</v>
          </cell>
          <cell r="E261" t="str">
            <v>RJ</v>
          </cell>
          <cell r="F261" t="str">
            <v>-</v>
          </cell>
          <cell r="G261" t="str">
            <v>1 เดือน</v>
          </cell>
          <cell r="H261">
            <v>779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</row>
        <row r="262">
          <cell r="A262">
            <v>1023401001</v>
          </cell>
          <cell r="B262" t="str">
            <v>สติ๊กเกอร์สายคาดขนมปังไก่หยองน้ำพริกเผา CJติดโปร</v>
          </cell>
          <cell r="C262" t="str">
            <v>ดวง</v>
          </cell>
          <cell r="D262">
            <v>0</v>
          </cell>
          <cell r="E262" t="str">
            <v>RJ</v>
          </cell>
          <cell r="H262">
            <v>21189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</row>
        <row r="263">
          <cell r="A263" t="str">
            <v>02-SC58</v>
          </cell>
          <cell r="B263" t="str">
            <v>สติ๊กเกอร์สายคาดขนมปังไก่หยองน้ำสลัด CJ</v>
          </cell>
          <cell r="C263" t="str">
            <v>ดวง</v>
          </cell>
          <cell r="D263">
            <v>0</v>
          </cell>
          <cell r="E263" t="str">
            <v>RJ</v>
          </cell>
          <cell r="F263" t="str">
            <v>-</v>
          </cell>
          <cell r="G263" t="str">
            <v>1 เดือน</v>
          </cell>
          <cell r="H263">
            <v>3846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</row>
        <row r="264">
          <cell r="A264">
            <v>1020201004</v>
          </cell>
          <cell r="B264" t="str">
            <v>สติ๊กเกอร์สายคาดขนมปังไก่หยองน้ำสลัด CJติดโปร</v>
          </cell>
          <cell r="C264" t="str">
            <v>ดวง</v>
          </cell>
          <cell r="D264">
            <v>0</v>
          </cell>
          <cell r="E264" t="str">
            <v>RJ</v>
          </cell>
          <cell r="H264">
            <v>17928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</row>
        <row r="265">
          <cell r="A265" t="str">
            <v>02-SC61</v>
          </cell>
          <cell r="B265" t="str">
            <v>สติ๊กเกอร์สายคาดพิมพ์ใสทาร์ตมะพร้าวอ่อน CJ</v>
          </cell>
          <cell r="C265" t="str">
            <v>ดวง</v>
          </cell>
          <cell r="D265">
            <v>0</v>
          </cell>
          <cell r="E265" t="str">
            <v>RJ</v>
          </cell>
          <cell r="F265" t="str">
            <v>-</v>
          </cell>
          <cell r="G265" t="str">
            <v>1 เดือน</v>
          </cell>
          <cell r="H265">
            <v>4993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</row>
        <row r="266">
          <cell r="A266" t="str">
            <v>02-SC62</v>
          </cell>
          <cell r="B266" t="str">
            <v>สติ๊กเกอร์สายคาดพิมพ์ใสเค้กกล้วยหอมชีส CJ</v>
          </cell>
          <cell r="C266" t="str">
            <v>ดวง</v>
          </cell>
          <cell r="D266">
            <v>0</v>
          </cell>
          <cell r="E266" t="str">
            <v>RJ</v>
          </cell>
          <cell r="F266" t="str">
            <v>-</v>
          </cell>
          <cell r="G266" t="str">
            <v>1 เดือน</v>
          </cell>
          <cell r="H266">
            <v>6260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</row>
        <row r="267">
          <cell r="A267" t="str">
            <v>02-SCI01</v>
          </cell>
          <cell r="B267" t="str">
            <v>สติ๊กเกอร์ดวงกลมเค้กฝอยทองลาวา AZ</v>
          </cell>
          <cell r="C267" t="str">
            <v>ดวง</v>
          </cell>
          <cell r="D267">
            <v>0</v>
          </cell>
          <cell r="G267" t="str">
            <v>1 เดือน</v>
          </cell>
          <cell r="H267">
            <v>20000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5000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5000</v>
          </cell>
        </row>
        <row r="268">
          <cell r="A268" t="str">
            <v>02-SCI04</v>
          </cell>
          <cell r="B268" t="str">
            <v>สติ๊กเกอร์คอนเฟลก  แผ่นละ36ดวง</v>
          </cell>
          <cell r="C268" t="str">
            <v>ดวง</v>
          </cell>
          <cell r="D268">
            <v>0</v>
          </cell>
          <cell r="E268" t="str">
            <v>RJ</v>
          </cell>
          <cell r="G268" t="str">
            <v>1 เดือน</v>
          </cell>
          <cell r="H268">
            <v>13800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</row>
        <row r="269">
          <cell r="A269" t="str">
            <v>02-SCI05</v>
          </cell>
          <cell r="B269" t="str">
            <v>สติ๊กเกอร์ท๊อฟฟี่ถั่ว กระเช้า แผ่นละ 27 ดวง</v>
          </cell>
          <cell r="C269" t="str">
            <v>ดวง</v>
          </cell>
          <cell r="D269">
            <v>0</v>
          </cell>
          <cell r="G269" t="str">
            <v>1 เดือน</v>
          </cell>
          <cell r="H269">
            <v>16035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</row>
        <row r="270">
          <cell r="A270" t="str">
            <v>02-SCI06</v>
          </cell>
          <cell r="B270" t="str">
            <v>สติ๊กเกอร์ดวงกลมเค้กฝอยทองลาวามีอย.ในตัว ไม่แบน แผ่นละ 30 ดวง</v>
          </cell>
          <cell r="C270" t="str">
            <v>ดวง</v>
          </cell>
          <cell r="D270">
            <v>0</v>
          </cell>
          <cell r="E270" t="str">
            <v>RJ</v>
          </cell>
          <cell r="G270" t="str">
            <v>1 เดือน</v>
          </cell>
          <cell r="H270">
            <v>31200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</row>
        <row r="271">
          <cell r="A271" t="str">
            <v>02-SCI07</v>
          </cell>
          <cell r="B271" t="str">
            <v>สติ๊กเกอร์ดวงกลมวรรณวนัช แผ่นละ 54 ดวง</v>
          </cell>
          <cell r="C271" t="str">
            <v>ดวง</v>
          </cell>
          <cell r="D271">
            <v>0</v>
          </cell>
          <cell r="G271" t="str">
            <v>1 เดือน</v>
          </cell>
          <cell r="H271">
            <v>62316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540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540</v>
          </cell>
          <cell r="BD271">
            <v>0</v>
          </cell>
          <cell r="BE271">
            <v>0</v>
          </cell>
          <cell r="BF271">
            <v>0</v>
          </cell>
          <cell r="BG271">
            <v>270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1350</v>
          </cell>
        </row>
        <row r="272">
          <cell r="A272" t="str">
            <v>02-SCI12</v>
          </cell>
          <cell r="B272" t="str">
            <v>สติ๊กเกอร์ใบเตยดวงกลมBC</v>
          </cell>
          <cell r="C272" t="str">
            <v>ดวง</v>
          </cell>
          <cell r="D272">
            <v>0</v>
          </cell>
          <cell r="F272" t="str">
            <v>-</v>
          </cell>
          <cell r="G272" t="str">
            <v>1 เดือน</v>
          </cell>
          <cell r="H272">
            <v>161133</v>
          </cell>
          <cell r="AN272">
            <v>0</v>
          </cell>
          <cell r="AO272">
            <v>3056</v>
          </cell>
          <cell r="AP272">
            <v>4689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5004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5004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5004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22757</v>
          </cell>
        </row>
        <row r="273">
          <cell r="A273" t="str">
            <v>02-SCI13</v>
          </cell>
          <cell r="B273" t="str">
            <v>สติ๊กเกอร์เมล่อนดวงกลมBC</v>
          </cell>
          <cell r="C273" t="str">
            <v>ดวง</v>
          </cell>
          <cell r="D273">
            <v>0</v>
          </cell>
          <cell r="F273" t="str">
            <v>-</v>
          </cell>
          <cell r="G273" t="str">
            <v>1 เดือน</v>
          </cell>
          <cell r="H273">
            <v>35028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</row>
        <row r="274">
          <cell r="A274" t="str">
            <v>02-SCI14</v>
          </cell>
          <cell r="B274" t="str">
            <v>สติ๊กเกอร์วานิลาดวงกลมBC</v>
          </cell>
          <cell r="C274" t="str">
            <v>ดวง</v>
          </cell>
          <cell r="D274">
            <v>0</v>
          </cell>
          <cell r="F274" t="str">
            <v>-</v>
          </cell>
          <cell r="G274" t="str">
            <v>1 เดือน</v>
          </cell>
          <cell r="H274">
            <v>172300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</row>
        <row r="275">
          <cell r="A275" t="str">
            <v>02-SCI16</v>
          </cell>
          <cell r="B275" t="str">
            <v>สติ๊กเกอร์สายคาดปังนุ่มชาไทย BC</v>
          </cell>
          <cell r="C275" t="str">
            <v>ดวง</v>
          </cell>
          <cell r="D275">
            <v>0</v>
          </cell>
          <cell r="E275" t="str">
            <v>RJ</v>
          </cell>
          <cell r="F275" t="str">
            <v>-</v>
          </cell>
          <cell r="G275" t="str">
            <v>1 เดือน</v>
          </cell>
          <cell r="H275">
            <v>668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</row>
        <row r="276">
          <cell r="A276" t="str">
            <v>02-SCI17</v>
          </cell>
          <cell r="B276" t="str">
            <v>สติ๊กเกอร์สายคาดปังนุ่มมะพร้าว BC</v>
          </cell>
          <cell r="C276" t="str">
            <v>ดวง</v>
          </cell>
          <cell r="D276">
            <v>0</v>
          </cell>
          <cell r="F276" t="str">
            <v>-</v>
          </cell>
          <cell r="G276" t="str">
            <v>1 เดือน</v>
          </cell>
          <cell r="H276">
            <v>14626</v>
          </cell>
          <cell r="AN276">
            <v>0</v>
          </cell>
          <cell r="AO276">
            <v>1440</v>
          </cell>
          <cell r="AP276">
            <v>1532</v>
          </cell>
          <cell r="AQ276">
            <v>0</v>
          </cell>
          <cell r="AR276">
            <v>600</v>
          </cell>
          <cell r="AS276">
            <v>958</v>
          </cell>
          <cell r="AT276">
            <v>1100</v>
          </cell>
          <cell r="AU276">
            <v>0</v>
          </cell>
          <cell r="AV276">
            <v>100</v>
          </cell>
          <cell r="AW276">
            <v>600</v>
          </cell>
          <cell r="AX276">
            <v>1000</v>
          </cell>
          <cell r="AY276">
            <v>100</v>
          </cell>
          <cell r="AZ276">
            <v>1000</v>
          </cell>
          <cell r="BA276">
            <v>2000</v>
          </cell>
          <cell r="BB276">
            <v>0</v>
          </cell>
          <cell r="BC276">
            <v>632</v>
          </cell>
          <cell r="BD276">
            <v>708</v>
          </cell>
          <cell r="BE276">
            <v>0</v>
          </cell>
          <cell r="BF276">
            <v>1200</v>
          </cell>
          <cell r="BG276">
            <v>1000</v>
          </cell>
          <cell r="BH276">
            <v>656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14626</v>
          </cell>
        </row>
        <row r="277">
          <cell r="A277">
            <v>1023301004</v>
          </cell>
          <cell r="B277" t="str">
            <v>สติ๊กเกอร์สายคาดปังนุ่มมะพร้าว BC หรัสไหม่</v>
          </cell>
          <cell r="C277" t="str">
            <v>ดวง</v>
          </cell>
          <cell r="H277">
            <v>0</v>
          </cell>
          <cell r="R277">
            <v>30000</v>
          </cell>
          <cell r="AN277">
            <v>30000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344</v>
          </cell>
          <cell r="BI277">
            <v>0</v>
          </cell>
          <cell r="BJ277">
            <v>1000</v>
          </cell>
          <cell r="BK277">
            <v>0</v>
          </cell>
          <cell r="BL277">
            <v>1000</v>
          </cell>
          <cell r="BM277">
            <v>1000</v>
          </cell>
          <cell r="BN277">
            <v>1000</v>
          </cell>
          <cell r="BO277">
            <v>1000</v>
          </cell>
          <cell r="BP277">
            <v>0</v>
          </cell>
          <cell r="BQ277">
            <v>1000</v>
          </cell>
          <cell r="BR277">
            <v>1000</v>
          </cell>
          <cell r="BS277">
            <v>0</v>
          </cell>
          <cell r="BT277">
            <v>7344</v>
          </cell>
        </row>
        <row r="278">
          <cell r="A278" t="str">
            <v>02-SCI20</v>
          </cell>
          <cell r="B278" t="str">
            <v>สติ๊กเกอร์สายคาดเค้กมะพร้าว BC</v>
          </cell>
          <cell r="C278" t="str">
            <v>ดวง</v>
          </cell>
          <cell r="D278">
            <v>0</v>
          </cell>
          <cell r="E278" t="str">
            <v>RJ</v>
          </cell>
          <cell r="F278" t="str">
            <v>-</v>
          </cell>
          <cell r="G278" t="str">
            <v>1 เดือน</v>
          </cell>
          <cell r="H278">
            <v>23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</row>
        <row r="279">
          <cell r="A279" t="str">
            <v>02-SCI21</v>
          </cell>
          <cell r="B279" t="str">
            <v>สติ๊กเกอร์สายคาดเค้กสายรุ้ง BC</v>
          </cell>
          <cell r="C279" t="str">
            <v>ดวง</v>
          </cell>
          <cell r="D279">
            <v>0</v>
          </cell>
          <cell r="E279" t="str">
            <v>RJ</v>
          </cell>
          <cell r="F279" t="str">
            <v>-</v>
          </cell>
          <cell r="G279" t="str">
            <v>1 เดือน</v>
          </cell>
          <cell r="H279">
            <v>8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</row>
        <row r="280">
          <cell r="A280" t="str">
            <v>02-SCI22</v>
          </cell>
          <cell r="B280" t="str">
            <v>สติ๊กเกอร์สายคาดเค้กสตรอเบอร์รี่ BC</v>
          </cell>
          <cell r="C280" t="str">
            <v>ดวง</v>
          </cell>
          <cell r="D280">
            <v>0</v>
          </cell>
          <cell r="E280" t="str">
            <v>RJ</v>
          </cell>
          <cell r="F280" t="str">
            <v>-</v>
          </cell>
          <cell r="G280" t="str">
            <v>1 เดือน</v>
          </cell>
          <cell r="H280">
            <v>163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</row>
        <row r="281">
          <cell r="A281" t="str">
            <v>02-SCI23</v>
          </cell>
          <cell r="B281" t="str">
            <v>สติ๊กเกอร์สายคาดเค้กช็อคโกแลต BC</v>
          </cell>
          <cell r="C281" t="str">
            <v>ดวง</v>
          </cell>
          <cell r="D281">
            <v>0</v>
          </cell>
          <cell r="E281" t="str">
            <v>RJ</v>
          </cell>
          <cell r="F281" t="str">
            <v>-</v>
          </cell>
          <cell r="G281" t="str">
            <v>1 เดือน</v>
          </cell>
          <cell r="H281">
            <v>183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</row>
        <row r="282">
          <cell r="A282" t="str">
            <v>02-S-S17</v>
          </cell>
          <cell r="B282" t="str">
            <v>สติ๊กเกอร์ อย.เปี๊ยะไส้ถั่วไข่เค็ม 7*2.5cm.</v>
          </cell>
          <cell r="C282" t="str">
            <v>ดวง</v>
          </cell>
          <cell r="D282">
            <v>0</v>
          </cell>
          <cell r="F282" t="str">
            <v>-</v>
          </cell>
          <cell r="G282" t="str">
            <v>1 เดือน</v>
          </cell>
          <cell r="H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</row>
        <row r="283">
          <cell r="A283" t="str">
            <v>02-STAZ06</v>
          </cell>
          <cell r="B283" t="str">
            <v>สติ๊กเกอร์สายคาดเค้กเบาหวิวกล้วยหอมเนยสดAmazon</v>
          </cell>
          <cell r="C283" t="str">
            <v>ดวง</v>
          </cell>
          <cell r="D283">
            <v>0</v>
          </cell>
          <cell r="F283" t="str">
            <v>JD2023-02147-2</v>
          </cell>
          <cell r="G283" t="str">
            <v>15-20 วัน</v>
          </cell>
          <cell r="H283">
            <v>14000</v>
          </cell>
          <cell r="AN283">
            <v>0</v>
          </cell>
          <cell r="AO283">
            <v>1000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1000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1000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1000</v>
          </cell>
          <cell r="BS283">
            <v>0</v>
          </cell>
          <cell r="BT283">
            <v>4000</v>
          </cell>
        </row>
        <row r="284">
          <cell r="A284" t="str">
            <v>02-STAZ07</v>
          </cell>
          <cell r="B284" t="str">
            <v>สติ๊กเกอร์สายคาดเค้กมะพร้าวไส้ครีมAmazon</v>
          </cell>
          <cell r="C284" t="str">
            <v>ดวง</v>
          </cell>
          <cell r="D284">
            <v>0</v>
          </cell>
          <cell r="F284" t="str">
            <v>JD2023-02165-2,JD2023-20165-3</v>
          </cell>
          <cell r="G284" t="str">
            <v>15-20 วัน</v>
          </cell>
          <cell r="H284">
            <v>5000</v>
          </cell>
          <cell r="N284">
            <v>20000</v>
          </cell>
          <cell r="AN284">
            <v>20000</v>
          </cell>
          <cell r="AO284">
            <v>1000</v>
          </cell>
          <cell r="AP284">
            <v>0</v>
          </cell>
          <cell r="AQ284">
            <v>0</v>
          </cell>
          <cell r="AR284">
            <v>1000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1000</v>
          </cell>
          <cell r="AX284">
            <v>1000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1000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1000</v>
          </cell>
          <cell r="BL284">
            <v>0</v>
          </cell>
          <cell r="BM284">
            <v>1000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1000</v>
          </cell>
          <cell r="BS284">
            <v>1000</v>
          </cell>
          <cell r="BT284">
            <v>9000</v>
          </cell>
        </row>
        <row r="285">
          <cell r="A285">
            <v>1023201006</v>
          </cell>
          <cell r="B285" t="str">
            <v>สติ๊กเกอร์สายคาดเค้กมะพร้าวไส้ครีมAmazon รหัสไหม่</v>
          </cell>
          <cell r="C285" t="str">
            <v>ดวง</v>
          </cell>
          <cell r="D285">
            <v>0</v>
          </cell>
          <cell r="F285" t="str">
            <v>-</v>
          </cell>
          <cell r="G285" t="str">
            <v>1 เดือน</v>
          </cell>
          <cell r="H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</row>
        <row r="286">
          <cell r="A286" t="str">
            <v>02-STAZ08</v>
          </cell>
          <cell r="B286" t="str">
            <v>สติ๊กเกอร์สายคาดชิฟฟ่อนเค้กสอดไส้มะพร้าวนมสดAmazon(ชิฟใส้)</v>
          </cell>
          <cell r="C286" t="str">
            <v>ดวง</v>
          </cell>
          <cell r="D286">
            <v>0</v>
          </cell>
          <cell r="F286" t="str">
            <v>JD2023-01892-2</v>
          </cell>
          <cell r="G286" t="str">
            <v>15-20 วัน</v>
          </cell>
          <cell r="H286">
            <v>31796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1000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1000</v>
          </cell>
        </row>
        <row r="287">
          <cell r="A287" t="str">
            <v>02-STAZ09</v>
          </cell>
          <cell r="B287" t="str">
            <v>สติ๊กเกอร์สายคาดปังสังขยาใบเตยนมสดAmazon</v>
          </cell>
          <cell r="C287" t="str">
            <v>ดวง</v>
          </cell>
          <cell r="D287">
            <v>0</v>
          </cell>
          <cell r="F287" t="str">
            <v>JD2023-02012-4</v>
          </cell>
          <cell r="G287" t="str">
            <v>15-20 วัน</v>
          </cell>
          <cell r="H287">
            <v>11000</v>
          </cell>
          <cell r="N287">
            <v>30000</v>
          </cell>
          <cell r="AN287">
            <v>30000</v>
          </cell>
          <cell r="AO287">
            <v>1000</v>
          </cell>
          <cell r="AP287">
            <v>1000</v>
          </cell>
          <cell r="AQ287">
            <v>0</v>
          </cell>
          <cell r="AR287">
            <v>1000</v>
          </cell>
          <cell r="AS287">
            <v>0</v>
          </cell>
          <cell r="AT287">
            <v>1000</v>
          </cell>
          <cell r="AU287">
            <v>0</v>
          </cell>
          <cell r="AV287">
            <v>0</v>
          </cell>
          <cell r="AW287">
            <v>1000</v>
          </cell>
          <cell r="AX287">
            <v>1000</v>
          </cell>
          <cell r="AY287">
            <v>1000</v>
          </cell>
          <cell r="AZ287">
            <v>0</v>
          </cell>
          <cell r="BA287">
            <v>0</v>
          </cell>
          <cell r="BB287">
            <v>0</v>
          </cell>
          <cell r="BC287">
            <v>1000</v>
          </cell>
          <cell r="BD287">
            <v>1000</v>
          </cell>
          <cell r="BE287">
            <v>0</v>
          </cell>
          <cell r="BF287">
            <v>0</v>
          </cell>
          <cell r="BG287">
            <v>1000</v>
          </cell>
          <cell r="BH287">
            <v>1000</v>
          </cell>
          <cell r="BI287">
            <v>0</v>
          </cell>
          <cell r="BJ287">
            <v>0</v>
          </cell>
          <cell r="BK287">
            <v>1000</v>
          </cell>
          <cell r="BL287">
            <v>0</v>
          </cell>
          <cell r="BM287">
            <v>1000</v>
          </cell>
          <cell r="BN287">
            <v>1000</v>
          </cell>
          <cell r="BO287">
            <v>0</v>
          </cell>
          <cell r="BP287">
            <v>0</v>
          </cell>
          <cell r="BQ287">
            <v>0</v>
          </cell>
          <cell r="BR287">
            <v>1000</v>
          </cell>
          <cell r="BS287">
            <v>0</v>
          </cell>
          <cell r="BT287">
            <v>15000</v>
          </cell>
        </row>
        <row r="288">
          <cell r="A288">
            <v>1023201008</v>
          </cell>
          <cell r="B288" t="str">
            <v>สติ๊กเกอร์สายคาดปังสังขยาใบเตยนมสดAmazon รหัสไหม่</v>
          </cell>
          <cell r="C288" t="str">
            <v>ดวง</v>
          </cell>
          <cell r="D288">
            <v>0</v>
          </cell>
          <cell r="F288" t="str">
            <v>-</v>
          </cell>
          <cell r="G288" t="str">
            <v>1 เดือน</v>
          </cell>
          <cell r="H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</row>
        <row r="289">
          <cell r="A289" t="str">
            <v>02-STAZ12</v>
          </cell>
          <cell r="B289" t="str">
            <v>สติ๊กเกอร์สายคาดขนมปังหิมะฮอกไกโดAmazon</v>
          </cell>
          <cell r="C289" t="str">
            <v>ดวง</v>
          </cell>
          <cell r="D289">
            <v>0</v>
          </cell>
          <cell r="G289" t="str">
            <v>15-20 วัน</v>
          </cell>
          <cell r="H289">
            <v>9000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1000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1000</v>
          </cell>
        </row>
        <row r="290">
          <cell r="A290" t="str">
            <v>02-STAZ13</v>
          </cell>
          <cell r="B290" t="str">
            <v>สติ๊กเกอร์สายคาด เค้กโบราณครีม Amazon</v>
          </cell>
          <cell r="C290" t="str">
            <v>ดวง</v>
          </cell>
          <cell r="D290">
            <v>0</v>
          </cell>
          <cell r="F290" t="str">
            <v>-</v>
          </cell>
          <cell r="G290" t="str">
            <v>15-20 วัน</v>
          </cell>
          <cell r="H290">
            <v>31000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1000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1000</v>
          </cell>
          <cell r="BL290">
            <v>0</v>
          </cell>
          <cell r="BM290">
            <v>0</v>
          </cell>
          <cell r="BN290">
            <v>1000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3000</v>
          </cell>
        </row>
        <row r="291">
          <cell r="A291" t="str">
            <v>02-STAZ14</v>
          </cell>
          <cell r="B291" t="str">
            <v>สติ๊กเกอร์สายคาดเค้กโบราณผลไม้Amazon</v>
          </cell>
          <cell r="C291" t="str">
            <v>ดวง</v>
          </cell>
          <cell r="D291">
            <v>0</v>
          </cell>
          <cell r="F291" t="str">
            <v>JD2023-02802</v>
          </cell>
          <cell r="G291" t="str">
            <v>15-20 วัน</v>
          </cell>
          <cell r="H291">
            <v>36000</v>
          </cell>
          <cell r="AN291">
            <v>0</v>
          </cell>
          <cell r="AO291">
            <v>0</v>
          </cell>
          <cell r="AP291">
            <v>1000</v>
          </cell>
          <cell r="AQ291">
            <v>0</v>
          </cell>
          <cell r="AR291">
            <v>1000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1000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1000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1000</v>
          </cell>
          <cell r="BS291">
            <v>1000</v>
          </cell>
          <cell r="BT291">
            <v>6000</v>
          </cell>
        </row>
        <row r="292">
          <cell r="A292" t="str">
            <v>02-STAZ15</v>
          </cell>
          <cell r="B292" t="str">
            <v>สติ๊กเกอร์สายคาดเอแคลร์นมสดAmazon ไม่ใช้</v>
          </cell>
          <cell r="C292" t="str">
            <v>ดวง</v>
          </cell>
          <cell r="D292">
            <v>0</v>
          </cell>
          <cell r="E292" t="str">
            <v>RJ</v>
          </cell>
          <cell r="F292" t="str">
            <v>JD2023-02024-4</v>
          </cell>
          <cell r="G292" t="str">
            <v>15-20 วัน</v>
          </cell>
          <cell r="H292">
            <v>10000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</row>
        <row r="293">
          <cell r="A293" t="str">
            <v>02-STAZ17</v>
          </cell>
          <cell r="B293" t="str">
            <v>สติ๊กเกอร์สายคาดปังไส้กรอกAmazon</v>
          </cell>
          <cell r="C293" t="str">
            <v>ดวง</v>
          </cell>
          <cell r="D293">
            <v>0</v>
          </cell>
          <cell r="F293" t="str">
            <v>JD2023-02523</v>
          </cell>
          <cell r="G293" t="str">
            <v>15-20 วัน</v>
          </cell>
          <cell r="H293">
            <v>11000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1000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1000</v>
          </cell>
        </row>
        <row r="294">
          <cell r="A294" t="str">
            <v>02-STAZ19</v>
          </cell>
          <cell r="B294" t="str">
            <v>สติ๊กเกอร์สายคาดปังพริกเผาหมูหยองมินิAmazon  ไม่ใช้</v>
          </cell>
          <cell r="C294" t="str">
            <v>ดวง</v>
          </cell>
          <cell r="D294">
            <v>0</v>
          </cell>
          <cell r="E294" t="str">
            <v>RJ</v>
          </cell>
          <cell r="F294" t="str">
            <v>JD2023-01421</v>
          </cell>
          <cell r="G294" t="str">
            <v>15-20 วัน</v>
          </cell>
          <cell r="H294">
            <v>29000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</row>
        <row r="295">
          <cell r="A295" t="str">
            <v>02-STAZ22</v>
          </cell>
          <cell r="B295" t="str">
            <v>สติ๊กเกอร์สายคาดครีมฮอร์นใบเตยPP AmaZon</v>
          </cell>
          <cell r="C295" t="str">
            <v>ดวง</v>
          </cell>
          <cell r="D295">
            <v>0</v>
          </cell>
          <cell r="F295" t="str">
            <v>JD-2023-02177-2</v>
          </cell>
          <cell r="G295" t="str">
            <v>15-20 วัน</v>
          </cell>
          <cell r="H295">
            <v>13000</v>
          </cell>
          <cell r="N295">
            <v>20000</v>
          </cell>
          <cell r="AN295">
            <v>20000</v>
          </cell>
          <cell r="AO295">
            <v>1000</v>
          </cell>
          <cell r="AP295">
            <v>1000</v>
          </cell>
          <cell r="AQ295">
            <v>0</v>
          </cell>
          <cell r="AR295">
            <v>1000</v>
          </cell>
          <cell r="AS295">
            <v>0</v>
          </cell>
          <cell r="AT295">
            <v>1000</v>
          </cell>
          <cell r="AU295">
            <v>0</v>
          </cell>
          <cell r="AV295">
            <v>0</v>
          </cell>
          <cell r="AW295">
            <v>1000</v>
          </cell>
          <cell r="AX295">
            <v>0</v>
          </cell>
          <cell r="AY295">
            <v>1000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1000</v>
          </cell>
          <cell r="BE295">
            <v>0</v>
          </cell>
          <cell r="BF295">
            <v>1000</v>
          </cell>
          <cell r="BG295">
            <v>0</v>
          </cell>
          <cell r="BH295">
            <v>1000</v>
          </cell>
          <cell r="BI295">
            <v>0</v>
          </cell>
          <cell r="BJ295">
            <v>0</v>
          </cell>
          <cell r="BK295">
            <v>1000</v>
          </cell>
          <cell r="BL295">
            <v>0</v>
          </cell>
          <cell r="BM295">
            <v>1000</v>
          </cell>
          <cell r="BN295">
            <v>0</v>
          </cell>
          <cell r="BO295">
            <v>0</v>
          </cell>
          <cell r="BP295">
            <v>0</v>
          </cell>
          <cell r="BQ295">
            <v>1000</v>
          </cell>
          <cell r="BR295">
            <v>0</v>
          </cell>
          <cell r="BS295">
            <v>1000</v>
          </cell>
          <cell r="BT295">
            <v>13000</v>
          </cell>
        </row>
        <row r="296">
          <cell r="A296" t="str">
            <v>02-STAZ23</v>
          </cell>
          <cell r="B296" t="str">
            <v>สติ๊กเกอร์สายคาดครีมฮอร์นวนิลาPP AmaZon ไม่ใช้</v>
          </cell>
          <cell r="C296" t="str">
            <v>ดวง</v>
          </cell>
          <cell r="D296">
            <v>0</v>
          </cell>
          <cell r="E296" t="str">
            <v>RJ</v>
          </cell>
          <cell r="F296" t="str">
            <v>JD2023-01746-4</v>
          </cell>
          <cell r="G296" t="str">
            <v>15-20 วัน</v>
          </cell>
          <cell r="H296">
            <v>2592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</row>
        <row r="297">
          <cell r="A297" t="str">
            <v>02-STAZ24</v>
          </cell>
          <cell r="B297" t="str">
            <v>สติ๊กเกอร์สายคาดครีมฮอร์นชอคโกแล็ตPP AmaZon</v>
          </cell>
          <cell r="C297" t="str">
            <v>ดวง</v>
          </cell>
          <cell r="D297">
            <v>0</v>
          </cell>
          <cell r="F297" t="str">
            <v>JD2023-02498</v>
          </cell>
          <cell r="G297" t="str">
            <v>15-20 วัน</v>
          </cell>
          <cell r="H297">
            <v>1804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</row>
        <row r="298">
          <cell r="A298" t="str">
            <v>02-STAZ25</v>
          </cell>
          <cell r="B298" t="str">
            <v>สติ๊กเกอร์ปังเนยนิ่ม5ชิ้น AmaZon</v>
          </cell>
          <cell r="C298" t="str">
            <v>ดวง</v>
          </cell>
          <cell r="D298">
            <v>0</v>
          </cell>
          <cell r="F298" t="str">
            <v>JD2023-02370-2</v>
          </cell>
          <cell r="G298" t="str">
            <v>1 เดือน</v>
          </cell>
          <cell r="H298">
            <v>40000</v>
          </cell>
          <cell r="AN298">
            <v>0</v>
          </cell>
          <cell r="AO298">
            <v>1000</v>
          </cell>
          <cell r="AP298">
            <v>0</v>
          </cell>
          <cell r="AQ298">
            <v>0</v>
          </cell>
          <cell r="AR298">
            <v>2000</v>
          </cell>
          <cell r="AS298">
            <v>1000</v>
          </cell>
          <cell r="AT298">
            <v>0</v>
          </cell>
          <cell r="AU298">
            <v>0</v>
          </cell>
          <cell r="AV298">
            <v>2000</v>
          </cell>
          <cell r="AW298">
            <v>0</v>
          </cell>
          <cell r="AX298">
            <v>1000</v>
          </cell>
          <cell r="AY298">
            <v>1000</v>
          </cell>
          <cell r="AZ298">
            <v>1000</v>
          </cell>
          <cell r="BA298">
            <v>1000</v>
          </cell>
          <cell r="BB298">
            <v>0</v>
          </cell>
          <cell r="BC298">
            <v>1000</v>
          </cell>
          <cell r="BD298">
            <v>1000</v>
          </cell>
          <cell r="BE298">
            <v>1000</v>
          </cell>
          <cell r="BF298">
            <v>1000</v>
          </cell>
          <cell r="BG298">
            <v>0</v>
          </cell>
          <cell r="BH298">
            <v>1000</v>
          </cell>
          <cell r="BI298">
            <v>0</v>
          </cell>
          <cell r="BJ298">
            <v>1000</v>
          </cell>
          <cell r="BK298">
            <v>1000</v>
          </cell>
          <cell r="BL298">
            <v>1000</v>
          </cell>
          <cell r="BM298">
            <v>1000</v>
          </cell>
          <cell r="BN298">
            <v>1000</v>
          </cell>
          <cell r="BO298">
            <v>1000</v>
          </cell>
          <cell r="BP298">
            <v>0</v>
          </cell>
          <cell r="BQ298">
            <v>0</v>
          </cell>
          <cell r="BR298">
            <v>1000</v>
          </cell>
          <cell r="BS298">
            <v>1000</v>
          </cell>
          <cell r="BT298">
            <v>23000</v>
          </cell>
        </row>
        <row r="299">
          <cell r="A299">
            <v>1023201017</v>
          </cell>
          <cell r="B299" t="str">
            <v>สติ๊กเกอร์ปังเนยนิ่ม5ชิ้น AmaZon รหัสไหม่</v>
          </cell>
          <cell r="C299" t="str">
            <v>ดวง</v>
          </cell>
          <cell r="D299">
            <v>0</v>
          </cell>
          <cell r="F299" t="str">
            <v>-</v>
          </cell>
          <cell r="G299" t="str">
            <v>1 เดือน</v>
          </cell>
          <cell r="H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</row>
        <row r="300">
          <cell r="A300" t="str">
            <v>02-STAZ51</v>
          </cell>
          <cell r="B300" t="str">
            <v>สติ๊กเกอร์สายคาดแซนวิชปูอัดสาหร่าย (ป.ต.ท)</v>
          </cell>
          <cell r="C300" t="str">
            <v>ดวง</v>
          </cell>
          <cell r="D300">
            <v>0</v>
          </cell>
          <cell r="F300" t="str">
            <v>JD2023-02009-4</v>
          </cell>
          <cell r="G300" t="str">
            <v>15-20 วัน</v>
          </cell>
          <cell r="H300">
            <v>24000</v>
          </cell>
          <cell r="AN300">
            <v>0</v>
          </cell>
          <cell r="AO300">
            <v>2000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2000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2000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2000</v>
          </cell>
          <cell r="BS300">
            <v>0</v>
          </cell>
          <cell r="BT300">
            <v>8000</v>
          </cell>
        </row>
        <row r="301">
          <cell r="A301">
            <v>1023201018</v>
          </cell>
          <cell r="B301" t="str">
            <v>สติ๊กเกอร์สายคาดแซนวิชปูอัดสาหร่าย (ป.ต.ท) รหัสไหม่</v>
          </cell>
          <cell r="C301" t="str">
            <v>ดวง</v>
          </cell>
          <cell r="D301">
            <v>0</v>
          </cell>
          <cell r="F301" t="str">
            <v>-</v>
          </cell>
          <cell r="G301" t="str">
            <v>1 เดือน</v>
          </cell>
          <cell r="H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</row>
        <row r="302">
          <cell r="A302" t="str">
            <v>02-STAZ52</v>
          </cell>
          <cell r="B302" t="str">
            <v>สติ๊กเกอร์สายคาดแซนวิชปูอัด (ป.ต.ท)</v>
          </cell>
          <cell r="C302" t="str">
            <v>ดวง</v>
          </cell>
          <cell r="D302">
            <v>0</v>
          </cell>
          <cell r="F302" t="str">
            <v>JD2023-02009-6</v>
          </cell>
          <cell r="G302" t="str">
            <v>15-20 วัน</v>
          </cell>
          <cell r="H302">
            <v>4000</v>
          </cell>
          <cell r="N302">
            <v>30000</v>
          </cell>
          <cell r="AN302">
            <v>30000</v>
          </cell>
          <cell r="AO302">
            <v>0</v>
          </cell>
          <cell r="AP302">
            <v>0</v>
          </cell>
          <cell r="AQ302">
            <v>0</v>
          </cell>
          <cell r="AR302">
            <v>2000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2000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2000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2000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2000</v>
          </cell>
          <cell r="BS302">
            <v>0</v>
          </cell>
          <cell r="BT302">
            <v>10000</v>
          </cell>
        </row>
        <row r="303">
          <cell r="A303" t="str">
            <v>02-STAZ53</v>
          </cell>
          <cell r="B303" t="str">
            <v>สติ๊กเกอร์สายคาดแซนวิชโฮลวีททูน่า (ป.ต.ท) แบบใหม่</v>
          </cell>
          <cell r="C303" t="str">
            <v>ดวง</v>
          </cell>
          <cell r="D303">
            <v>0</v>
          </cell>
          <cell r="G303" t="str">
            <v>15-20 วัน</v>
          </cell>
          <cell r="H303">
            <v>6000</v>
          </cell>
          <cell r="N303">
            <v>20000</v>
          </cell>
          <cell r="AN303">
            <v>20000</v>
          </cell>
          <cell r="AO303">
            <v>2000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2000</v>
          </cell>
          <cell r="AU303">
            <v>0</v>
          </cell>
          <cell r="AV303">
            <v>2000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2000</v>
          </cell>
          <cell r="BF303">
            <v>0</v>
          </cell>
          <cell r="BG303">
            <v>2000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2000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2000</v>
          </cell>
          <cell r="BS303">
            <v>0</v>
          </cell>
          <cell r="BT303">
            <v>14000</v>
          </cell>
        </row>
        <row r="304">
          <cell r="A304">
            <v>1023101020</v>
          </cell>
          <cell r="B304" t="str">
            <v>สติ๊กเกอร์สายคาดแซนวิชโฮลวีททูน่า (ป.ต.ท) รหัสใหม่</v>
          </cell>
          <cell r="C304" t="str">
            <v>ดวง</v>
          </cell>
          <cell r="D304">
            <v>0</v>
          </cell>
          <cell r="F304" t="str">
            <v>-</v>
          </cell>
          <cell r="G304" t="str">
            <v>1 เดือน</v>
          </cell>
          <cell r="H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</row>
        <row r="305">
          <cell r="A305" t="str">
            <v>02-STAZ54</v>
          </cell>
          <cell r="B305" t="str">
            <v>สติ๊กเกอร์สายคาดแซนวิชโฮลวีทแฮมชีส(ป.ต.ท)</v>
          </cell>
          <cell r="C305" t="str">
            <v>ดวง</v>
          </cell>
          <cell r="D305">
            <v>0</v>
          </cell>
          <cell r="G305" t="str">
            <v>15-20 วัน</v>
          </cell>
          <cell r="H305">
            <v>16000</v>
          </cell>
          <cell r="N305">
            <v>20000</v>
          </cell>
          <cell r="AN305">
            <v>20000</v>
          </cell>
          <cell r="AO305">
            <v>2000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2000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2000</v>
          </cell>
          <cell r="BB305">
            <v>0</v>
          </cell>
          <cell r="BC305">
            <v>2000</v>
          </cell>
          <cell r="BD305">
            <v>0</v>
          </cell>
          <cell r="BE305">
            <v>2000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2000</v>
          </cell>
          <cell r="BN305">
            <v>0</v>
          </cell>
          <cell r="BO305">
            <v>0</v>
          </cell>
          <cell r="BP305">
            <v>0</v>
          </cell>
          <cell r="BQ305">
            <v>2000</v>
          </cell>
          <cell r="BR305">
            <v>0</v>
          </cell>
          <cell r="BS305">
            <v>0</v>
          </cell>
          <cell r="BT305">
            <v>14000</v>
          </cell>
        </row>
        <row r="306">
          <cell r="A306">
            <v>1023201021</v>
          </cell>
          <cell r="B306" t="str">
            <v>สติ๊กเกอร์สายคาดแซนวิชโฮลวีทแฮมชีส(ป.ต.ท) รหัสไหม่</v>
          </cell>
          <cell r="C306" t="str">
            <v>ดวง</v>
          </cell>
          <cell r="D306">
            <v>0</v>
          </cell>
          <cell r="F306" t="str">
            <v>-</v>
          </cell>
          <cell r="G306" t="str">
            <v>1 เดือน</v>
          </cell>
          <cell r="H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</row>
        <row r="307">
          <cell r="A307" t="str">
            <v>02-STAZ55</v>
          </cell>
          <cell r="B307" t="str">
            <v>สติ๊กเกอร์สายคาดแซนวิชแฮมชีส (ป.ต.ท)</v>
          </cell>
          <cell r="C307" t="str">
            <v>ดวง</v>
          </cell>
          <cell r="D307">
            <v>0</v>
          </cell>
          <cell r="F307" t="str">
            <v>JD2023-02010-4</v>
          </cell>
          <cell r="G307" t="str">
            <v>15-20 วัน</v>
          </cell>
          <cell r="H307">
            <v>30000</v>
          </cell>
          <cell r="AN307">
            <v>0</v>
          </cell>
          <cell r="AO307">
            <v>2000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2000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2000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2000</v>
          </cell>
          <cell r="BS307">
            <v>0</v>
          </cell>
          <cell r="BT307">
            <v>8000</v>
          </cell>
        </row>
        <row r="308">
          <cell r="A308" t="str">
            <v>02-STAZ56</v>
          </cell>
          <cell r="B308" t="str">
            <v>สติ๊กเกอร์สายคาดแซนวิชหมูหยองแฮม (ป.ต.ท) ไม่ใช้</v>
          </cell>
          <cell r="C308" t="str">
            <v>ดวง</v>
          </cell>
          <cell r="D308">
            <v>0</v>
          </cell>
          <cell r="E308" t="str">
            <v>RJ</v>
          </cell>
          <cell r="F308" t="str">
            <v>JD2023-02011-3</v>
          </cell>
          <cell r="G308" t="str">
            <v>15-20 วัน</v>
          </cell>
          <cell r="H308">
            <v>8204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</row>
        <row r="309">
          <cell r="A309" t="str">
            <v>02-STAZ64</v>
          </cell>
          <cell r="B309" t="str">
            <v>สติ๊กเกอร์สายคาดช็อคบอล  แผ่นละ 11 ดวง</v>
          </cell>
          <cell r="C309" t="str">
            <v>ดวง</v>
          </cell>
          <cell r="H309">
            <v>1182</v>
          </cell>
          <cell r="AN309">
            <v>0</v>
          </cell>
          <cell r="AO309">
            <v>11</v>
          </cell>
          <cell r="AP309">
            <v>0</v>
          </cell>
          <cell r="AQ309">
            <v>0</v>
          </cell>
          <cell r="AR309">
            <v>0</v>
          </cell>
          <cell r="AS309">
            <v>11</v>
          </cell>
          <cell r="AT309">
            <v>0</v>
          </cell>
          <cell r="AU309">
            <v>0</v>
          </cell>
          <cell r="AV309">
            <v>11</v>
          </cell>
          <cell r="AW309">
            <v>0</v>
          </cell>
          <cell r="AX309">
            <v>0</v>
          </cell>
          <cell r="AY309">
            <v>0</v>
          </cell>
          <cell r="AZ309">
            <v>11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11</v>
          </cell>
          <cell r="BH309">
            <v>0</v>
          </cell>
          <cell r="BI309">
            <v>0</v>
          </cell>
          <cell r="BJ309">
            <v>11</v>
          </cell>
          <cell r="BK309">
            <v>0</v>
          </cell>
          <cell r="BL309">
            <v>0</v>
          </cell>
          <cell r="BM309">
            <v>0</v>
          </cell>
          <cell r="BN309">
            <v>11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77</v>
          </cell>
        </row>
        <row r="310">
          <cell r="A310" t="str">
            <v>02-STAZ67</v>
          </cell>
          <cell r="B310" t="str">
            <v>สติ๊กเกอร์สายคาดบลูเบอรี่ครีมเค้ก</v>
          </cell>
          <cell r="C310" t="str">
            <v>ดวง</v>
          </cell>
          <cell r="D310">
            <v>0</v>
          </cell>
          <cell r="F310" t="str">
            <v>-</v>
          </cell>
          <cell r="G310" t="str">
            <v>15-20 วัน</v>
          </cell>
          <cell r="H310">
            <v>3376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</row>
        <row r="311">
          <cell r="A311" t="str">
            <v>02-STAZ69</v>
          </cell>
          <cell r="B311" t="str">
            <v>สติ๊กเกอร์สายคาดเค้กส้มครีมเค้ก</v>
          </cell>
          <cell r="C311" t="str">
            <v>ดวง</v>
          </cell>
          <cell r="D311">
            <v>0</v>
          </cell>
          <cell r="G311" t="str">
            <v>15-20 วัน</v>
          </cell>
          <cell r="H311">
            <v>1777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</row>
        <row r="312">
          <cell r="A312" t="str">
            <v>02-STAZ70</v>
          </cell>
          <cell r="B312" t="str">
            <v>สติ๊กเกอร์สายคาดเค้กสตอเบอรี่ครีมเค้ก</v>
          </cell>
          <cell r="C312" t="str">
            <v>ดวง</v>
          </cell>
          <cell r="D312">
            <v>0</v>
          </cell>
          <cell r="G312" t="str">
            <v>15-20 วัน</v>
          </cell>
          <cell r="H312">
            <v>655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</row>
        <row r="313">
          <cell r="A313" t="str">
            <v>02-SC29</v>
          </cell>
          <cell r="B313" t="str">
            <v>สติกเกอร์สายคาดแซนวิสโบราณ CJ (ใหม่) ไม่ใช้</v>
          </cell>
          <cell r="C313" t="str">
            <v>ดวง</v>
          </cell>
          <cell r="D313">
            <v>0</v>
          </cell>
          <cell r="E313" t="str">
            <v>RJ</v>
          </cell>
          <cell r="F313" t="str">
            <v>-</v>
          </cell>
          <cell r="G313" t="str">
            <v>1 เดือน</v>
          </cell>
          <cell r="H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</row>
        <row r="314">
          <cell r="A314">
            <v>1020201005</v>
          </cell>
          <cell r="B314" t="str">
            <v>สติกเกอร์สายคาดแซนวิสโบราณ CJ (ใหม่) ติดโปร ไม่ใช้</v>
          </cell>
          <cell r="C314" t="str">
            <v>ดวง</v>
          </cell>
          <cell r="D314">
            <v>0</v>
          </cell>
          <cell r="E314" t="str">
            <v>RJ</v>
          </cell>
          <cell r="H314">
            <v>62791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</row>
        <row r="315">
          <cell r="A315" t="str">
            <v>02-STAZ81</v>
          </cell>
          <cell r="B315" t="str">
            <v>สติกเกอร์ซอฟท์เค้กช็อคโกแลตมูธ AmaZon</v>
          </cell>
          <cell r="C315" t="str">
            <v>ดวง</v>
          </cell>
          <cell r="D315">
            <v>0</v>
          </cell>
          <cell r="F315" t="str">
            <v>JD2023-02665</v>
          </cell>
          <cell r="G315" t="str">
            <v>1 เดือน</v>
          </cell>
          <cell r="H315">
            <v>4000</v>
          </cell>
          <cell r="AN315">
            <v>0</v>
          </cell>
          <cell r="AO315">
            <v>1000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1000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1000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1000</v>
          </cell>
          <cell r="BS315">
            <v>0</v>
          </cell>
          <cell r="BT315">
            <v>4000</v>
          </cell>
        </row>
        <row r="316">
          <cell r="A316">
            <v>1023201026</v>
          </cell>
          <cell r="B316" t="str">
            <v>สติกเกอร์ซอฟท์เค้กช็อคโกแลตมูธ AmaZon  รหัสไหม่</v>
          </cell>
          <cell r="C316" t="str">
            <v>ดวง</v>
          </cell>
          <cell r="D316">
            <v>0</v>
          </cell>
          <cell r="F316" t="str">
            <v>-</v>
          </cell>
          <cell r="G316" t="str">
            <v>1 เดือน</v>
          </cell>
          <cell r="H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</row>
        <row r="317">
          <cell r="A317" t="str">
            <v>02-STAZ85</v>
          </cell>
          <cell r="B317" t="str">
            <v>สติ๊กเกอร์สายคาดแพนเค้กฝอยทองครีมนมสด ป.ต.ท.</v>
          </cell>
          <cell r="C317" t="str">
            <v>ดวง</v>
          </cell>
          <cell r="D317">
            <v>0</v>
          </cell>
          <cell r="F317" t="str">
            <v>-</v>
          </cell>
          <cell r="G317" t="str">
            <v>15-20 วัน</v>
          </cell>
          <cell r="H317">
            <v>2000</v>
          </cell>
          <cell r="L317">
            <v>5000</v>
          </cell>
          <cell r="AN317">
            <v>5000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1000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1000</v>
          </cell>
        </row>
        <row r="318">
          <cell r="A318" t="str">
            <v>02-STAZ86</v>
          </cell>
          <cell r="B318" t="str">
            <v>สติ๊กเกอร์เค้กกล้วยหอมคาราเมล (ป.ต.ท.)</v>
          </cell>
          <cell r="C318" t="str">
            <v>ดวง</v>
          </cell>
          <cell r="D318">
            <v>0</v>
          </cell>
          <cell r="F318" t="str">
            <v>-</v>
          </cell>
          <cell r="G318" t="str">
            <v>15-20 วัน</v>
          </cell>
          <cell r="H318">
            <v>8000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1000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1000</v>
          </cell>
        </row>
        <row r="319">
          <cell r="A319" t="str">
            <v>02-STAZ88</v>
          </cell>
          <cell r="B319" t="str">
            <v>สติ๊กเกอร์มินิใส้กรอกชีส (ป.ต.ท.)</v>
          </cell>
          <cell r="C319" t="str">
            <v>ดวง</v>
          </cell>
          <cell r="D319">
            <v>0</v>
          </cell>
          <cell r="F319" t="str">
            <v>-</v>
          </cell>
          <cell r="G319" t="str">
            <v>15-20 วัน</v>
          </cell>
          <cell r="H319">
            <v>10000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1000</v>
          </cell>
          <cell r="BA319">
            <v>0</v>
          </cell>
          <cell r="BB319">
            <v>0</v>
          </cell>
          <cell r="BC319">
            <v>1000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2000</v>
          </cell>
        </row>
        <row r="320">
          <cell r="A320">
            <v>1023201029</v>
          </cell>
          <cell r="B320" t="str">
            <v>สติ๊กเกอร์มินิใส้กรอกชีส (ป.ต.ท.) รหัสไหม่</v>
          </cell>
          <cell r="C320" t="str">
            <v>ดวง</v>
          </cell>
          <cell r="D320">
            <v>0</v>
          </cell>
          <cell r="F320" t="str">
            <v>-</v>
          </cell>
          <cell r="G320" t="str">
            <v>1 เดือน</v>
          </cell>
          <cell r="H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</row>
        <row r="321">
          <cell r="A321" t="str">
            <v>02-STAZ89</v>
          </cell>
          <cell r="B321" t="str">
            <v>สติ๊กเกอร์ชิฟฟ่อนมะพร้าวลาวา  (ป.ต.ท.)</v>
          </cell>
          <cell r="C321" t="str">
            <v>ดวง</v>
          </cell>
          <cell r="D321">
            <v>0</v>
          </cell>
          <cell r="F321" t="str">
            <v>-</v>
          </cell>
          <cell r="G321" t="str">
            <v>15-20 วัน</v>
          </cell>
          <cell r="H321">
            <v>2404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</row>
        <row r="322">
          <cell r="A322" t="str">
            <v>02-STAZ90</v>
          </cell>
          <cell r="B322" t="str">
            <v>สติ๊กเกอร์ชูครีมนมสดฮอกไกโด ป.ต.ท.</v>
          </cell>
          <cell r="C322" t="str">
            <v>ดวง</v>
          </cell>
          <cell r="D322">
            <v>0</v>
          </cell>
          <cell r="F322" t="str">
            <v>-</v>
          </cell>
          <cell r="G322" t="str">
            <v>15-20 วัน</v>
          </cell>
          <cell r="H322">
            <v>3000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1000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1000</v>
          </cell>
        </row>
        <row r="323">
          <cell r="A323">
            <v>1023201031</v>
          </cell>
          <cell r="B323" t="str">
            <v>สติ๊กเกอร์ชูครีมนมสดฮอกไกโด ป.ต.ท. รหัสไหม่</v>
          </cell>
          <cell r="C323" t="str">
            <v>ดวง</v>
          </cell>
          <cell r="D323">
            <v>0</v>
          </cell>
          <cell r="F323" t="str">
            <v>-</v>
          </cell>
          <cell r="G323" t="str">
            <v>1 เดือน</v>
          </cell>
          <cell r="H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</row>
        <row r="324">
          <cell r="A324" t="str">
            <v>02-STAZ91</v>
          </cell>
          <cell r="B324" t="str">
            <v>สติ๊กเกอร์มัลเบอรี่พายอเมซอน  ป.ต.ท.</v>
          </cell>
          <cell r="C324" t="str">
            <v>ดวง</v>
          </cell>
          <cell r="D324">
            <v>0</v>
          </cell>
          <cell r="F324" t="str">
            <v>-</v>
          </cell>
          <cell r="G324" t="str">
            <v>15-20 วัน</v>
          </cell>
          <cell r="H324">
            <v>5000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</row>
        <row r="325">
          <cell r="A325" t="str">
            <v>02-STAZ93</v>
          </cell>
          <cell r="B325" t="str">
            <v>สติ๊กเกอร์เอแคลร์ ชาไทย อเมซอล  ป.ต.ท. เปลี่ยนแบบใหม่</v>
          </cell>
          <cell r="C325" t="str">
            <v>ดวง</v>
          </cell>
          <cell r="D325">
            <v>0</v>
          </cell>
          <cell r="F325" t="str">
            <v>-</v>
          </cell>
          <cell r="G325" t="str">
            <v>15-20 วัน</v>
          </cell>
          <cell r="H325">
            <v>9000</v>
          </cell>
          <cell r="L325">
            <v>20000</v>
          </cell>
          <cell r="AN325">
            <v>20000</v>
          </cell>
          <cell r="AO325">
            <v>0</v>
          </cell>
          <cell r="AP325">
            <v>1000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1000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1000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1000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1000</v>
          </cell>
          <cell r="BO325">
            <v>0</v>
          </cell>
          <cell r="BP325">
            <v>0</v>
          </cell>
          <cell r="BQ325">
            <v>0</v>
          </cell>
          <cell r="BR325">
            <v>1000</v>
          </cell>
          <cell r="BS325">
            <v>0</v>
          </cell>
          <cell r="BT325">
            <v>6000</v>
          </cell>
        </row>
        <row r="326">
          <cell r="A326" t="str">
            <v>02-STAZ94</v>
          </cell>
          <cell r="B326" t="str">
            <v>สติ๊กเกอร์คัพเค้กไส้คัสตาร์ส อเมซอน  ป.ต.ท.</v>
          </cell>
          <cell r="C326" t="str">
            <v>ดวง</v>
          </cell>
          <cell r="D326">
            <v>0</v>
          </cell>
          <cell r="F326" t="str">
            <v>-</v>
          </cell>
          <cell r="G326" t="str">
            <v>15-20 วัน</v>
          </cell>
          <cell r="H326">
            <v>2000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</row>
        <row r="327">
          <cell r="A327" t="str">
            <v>02-STAZ95</v>
          </cell>
          <cell r="B327" t="str">
            <v>สติ๊กเกอร์เค้ดโรลมะพร้าวใบเตย (ป.ต.ท.)</v>
          </cell>
          <cell r="C327" t="str">
            <v>ดวง</v>
          </cell>
          <cell r="D327">
            <v>0</v>
          </cell>
          <cell r="F327" t="str">
            <v>-</v>
          </cell>
          <cell r="G327" t="str">
            <v>15-20 วัน</v>
          </cell>
          <cell r="H327">
            <v>1000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</row>
        <row r="328">
          <cell r="A328" t="str">
            <v>02-STAZ96</v>
          </cell>
          <cell r="B328" t="str">
            <v>สติ๊กเกอร์ชิฟฟ่อนสตรอเบอรี่นมสด  ป.ต.ท.</v>
          </cell>
          <cell r="C328" t="str">
            <v>ดวง</v>
          </cell>
          <cell r="D328">
            <v>0</v>
          </cell>
          <cell r="F328" t="str">
            <v>-</v>
          </cell>
          <cell r="G328" t="str">
            <v>15-20 วัน</v>
          </cell>
          <cell r="H328">
            <v>2000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</row>
        <row r="329">
          <cell r="A329" t="str">
            <v>02-STAZ97</v>
          </cell>
          <cell r="B329" t="str">
            <v>สติ๊กเกอร์สายคาดขนมปังเปียกปูนใบเตย (ป.ต.ท.)</v>
          </cell>
          <cell r="C329" t="str">
            <v>ดวง</v>
          </cell>
          <cell r="D329">
            <v>0</v>
          </cell>
          <cell r="E329" t="str">
            <v>RJ</v>
          </cell>
          <cell r="F329" t="str">
            <v>-</v>
          </cell>
          <cell r="G329" t="str">
            <v>15-20 วัน</v>
          </cell>
          <cell r="H329">
            <v>1170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</row>
        <row r="330">
          <cell r="A330" t="str">
            <v>02-STAZ98</v>
          </cell>
          <cell r="B330" t="str">
            <v>สติ๊กเกอร์สายคาดโรลเค้กสังขยาใบเตย (ป.ต.ท.)</v>
          </cell>
          <cell r="C330" t="str">
            <v>ดวง</v>
          </cell>
          <cell r="D330">
            <v>0</v>
          </cell>
          <cell r="E330" t="str">
            <v>RJ</v>
          </cell>
          <cell r="F330" t="str">
            <v>-</v>
          </cell>
          <cell r="G330" t="str">
            <v>15-20 วัน</v>
          </cell>
          <cell r="H330">
            <v>1400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</row>
        <row r="331">
          <cell r="A331" t="str">
            <v>02-STAZ99</v>
          </cell>
          <cell r="B331" t="str">
            <v>สติ๊กเกอร์สายคาดชูครีมเปียกปูนใบเตย (ป.ต.ท.)</v>
          </cell>
          <cell r="C331" t="str">
            <v>ดวง</v>
          </cell>
          <cell r="D331">
            <v>0</v>
          </cell>
          <cell r="E331" t="str">
            <v>RJ</v>
          </cell>
          <cell r="F331" t="str">
            <v>-</v>
          </cell>
          <cell r="G331" t="str">
            <v>15-20 วัน</v>
          </cell>
          <cell r="H331">
            <v>1704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</row>
        <row r="332">
          <cell r="A332" t="str">
            <v>02-STAZ100</v>
          </cell>
          <cell r="B332" t="str">
            <v>สติ๊กเกอร์สายคาดวุ้นฝอยทองใบเตย (ป.ต.ท.)</v>
          </cell>
          <cell r="C332" t="str">
            <v>ดวง</v>
          </cell>
          <cell r="D332">
            <v>0</v>
          </cell>
          <cell r="E332" t="str">
            <v>RJ</v>
          </cell>
          <cell r="F332" t="str">
            <v>-</v>
          </cell>
          <cell r="G332" t="str">
            <v>15-20 วัน</v>
          </cell>
          <cell r="H332">
            <v>2075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</row>
        <row r="333">
          <cell r="A333" t="str">
            <v>02-STL-029</v>
          </cell>
          <cell r="B333" t="str">
            <v>สติกเกอร์ซอฟท์เค้กช็อคโกแลตมูธ</v>
          </cell>
          <cell r="C333" t="str">
            <v>ดวง</v>
          </cell>
          <cell r="D333">
            <v>0</v>
          </cell>
          <cell r="G333" t="str">
            <v>15-20 วัน</v>
          </cell>
          <cell r="H333">
            <v>3000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</row>
        <row r="334">
          <cell r="A334" t="str">
            <v>02-STL-03</v>
          </cell>
          <cell r="B334" t="str">
            <v>สติ๊กเกอร์สายคาดชิฟฟ่อนเค้กสอดไส้มะพร้าวนมสด ไม่แบน</v>
          </cell>
          <cell r="C334" t="str">
            <v>ดวง</v>
          </cell>
          <cell r="D334">
            <v>0</v>
          </cell>
          <cell r="E334" t="str">
            <v>RJ</v>
          </cell>
          <cell r="F334" t="str">
            <v>JD2023-02178-4</v>
          </cell>
          <cell r="G334" t="str">
            <v>15-20 วัน</v>
          </cell>
          <cell r="H334">
            <v>37000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1000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1000</v>
          </cell>
        </row>
        <row r="335">
          <cell r="A335" t="str">
            <v>02-STL-04</v>
          </cell>
          <cell r="B335" t="str">
            <v>สติ๊กเกอร์สายคาดยาว ครีมฮอร์นช็อกโกแลต 6 ชิ้น</v>
          </cell>
          <cell r="C335" t="str">
            <v>ดวง</v>
          </cell>
          <cell r="D335">
            <v>0</v>
          </cell>
          <cell r="G335" t="str">
            <v>15-20 วัน</v>
          </cell>
          <cell r="H335">
            <v>5000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</row>
        <row r="336">
          <cell r="A336" t="str">
            <v>02-STL-05</v>
          </cell>
          <cell r="B336" t="str">
            <v>สติ๊กเกอร์สายคาดยาว ครีมฮอร์นใบเตย 6 ชิ้น</v>
          </cell>
          <cell r="C336" t="str">
            <v>ดวง</v>
          </cell>
          <cell r="D336">
            <v>0</v>
          </cell>
          <cell r="G336" t="str">
            <v>15-20 วัน</v>
          </cell>
          <cell r="H336">
            <v>44000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2000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1000</v>
          </cell>
          <cell r="BR336">
            <v>0</v>
          </cell>
          <cell r="BS336">
            <v>0</v>
          </cell>
          <cell r="BT336">
            <v>3000</v>
          </cell>
        </row>
        <row r="337">
          <cell r="A337" t="str">
            <v>02-STL-06</v>
          </cell>
          <cell r="B337" t="str">
            <v>สติ๊กเกอร์สายคาดยาว ครีมฮอร์นวานิลลา 6 ชิ้น</v>
          </cell>
          <cell r="C337" t="str">
            <v>ดวง</v>
          </cell>
          <cell r="D337">
            <v>0</v>
          </cell>
          <cell r="G337" t="str">
            <v>15-20 วัน</v>
          </cell>
          <cell r="H337">
            <v>28403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1000</v>
          </cell>
          <cell r="BR337">
            <v>0</v>
          </cell>
          <cell r="BS337">
            <v>0</v>
          </cell>
          <cell r="BT337">
            <v>1000</v>
          </cell>
        </row>
        <row r="338">
          <cell r="A338" t="str">
            <v>02-STL-08</v>
          </cell>
          <cell r="B338" t="str">
            <v>สติ๊กเกอร์สายคาดเอแคลร์นมสดPP25*4.5 (ไม่แบน)</v>
          </cell>
          <cell r="C338" t="str">
            <v>ดวง</v>
          </cell>
          <cell r="D338">
            <v>0</v>
          </cell>
          <cell r="F338" t="str">
            <v>JD2022-02353</v>
          </cell>
          <cell r="G338" t="str">
            <v>15-20 วัน</v>
          </cell>
          <cell r="H338">
            <v>16000</v>
          </cell>
          <cell r="AN338">
            <v>0</v>
          </cell>
          <cell r="AO338">
            <v>1000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2000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3000</v>
          </cell>
        </row>
        <row r="339">
          <cell r="A339" t="str">
            <v>02-STL-09</v>
          </cell>
          <cell r="B339" t="str">
            <v>สติ๊กเกอร์สายคาดปังสังขยาใบเตยนมสดไม่มีfacebook(BC)</v>
          </cell>
          <cell r="C339" t="str">
            <v>ดวง</v>
          </cell>
          <cell r="D339">
            <v>0</v>
          </cell>
          <cell r="F339" t="str">
            <v>JD2023-02145-3</v>
          </cell>
          <cell r="G339" t="str">
            <v>15-20 วัน</v>
          </cell>
          <cell r="H339">
            <v>27508</v>
          </cell>
          <cell r="AN339">
            <v>0</v>
          </cell>
          <cell r="AO339">
            <v>1400</v>
          </cell>
          <cell r="AP339">
            <v>1000</v>
          </cell>
          <cell r="AQ339">
            <v>0</v>
          </cell>
          <cell r="AR339">
            <v>500</v>
          </cell>
          <cell r="AS339">
            <v>1000</v>
          </cell>
          <cell r="AT339">
            <v>1100</v>
          </cell>
          <cell r="AU339">
            <v>0</v>
          </cell>
          <cell r="AV339">
            <v>1000</v>
          </cell>
          <cell r="AW339">
            <v>1000</v>
          </cell>
          <cell r="AX339">
            <v>1000</v>
          </cell>
          <cell r="AY339">
            <v>400</v>
          </cell>
          <cell r="AZ339">
            <v>1000</v>
          </cell>
          <cell r="BA339">
            <v>1500</v>
          </cell>
          <cell r="BB339">
            <v>0</v>
          </cell>
          <cell r="BC339">
            <v>1000</v>
          </cell>
          <cell r="BD339">
            <v>1000</v>
          </cell>
          <cell r="BE339">
            <v>944</v>
          </cell>
          <cell r="BF339">
            <v>0</v>
          </cell>
          <cell r="BG339">
            <v>1212</v>
          </cell>
          <cell r="BH339">
            <v>1000</v>
          </cell>
          <cell r="BI339">
            <v>0</v>
          </cell>
          <cell r="BJ339">
            <v>1100</v>
          </cell>
          <cell r="BK339">
            <v>0</v>
          </cell>
          <cell r="BL339">
            <v>1000</v>
          </cell>
          <cell r="BM339">
            <v>1000</v>
          </cell>
          <cell r="BN339">
            <v>1000</v>
          </cell>
          <cell r="BO339">
            <v>1000</v>
          </cell>
          <cell r="BP339">
            <v>0</v>
          </cell>
          <cell r="BQ339">
            <v>800</v>
          </cell>
          <cell r="BR339">
            <v>1000</v>
          </cell>
          <cell r="BS339">
            <v>1000</v>
          </cell>
          <cell r="BT339">
            <v>23956</v>
          </cell>
        </row>
        <row r="340">
          <cell r="A340">
            <v>1023101033</v>
          </cell>
          <cell r="B340" t="str">
            <v>สติ๊กเกอร์สายคาดปังสังขยาใบเตยนมสดBC รหัสไหม่</v>
          </cell>
          <cell r="C340" t="str">
            <v>ดวง</v>
          </cell>
          <cell r="H340">
            <v>0</v>
          </cell>
          <cell r="AE340">
            <v>30000</v>
          </cell>
          <cell r="AN340">
            <v>30000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</row>
        <row r="341">
          <cell r="A341" t="str">
            <v>02-STL-24</v>
          </cell>
          <cell r="B341" t="str">
            <v>S.ครีมฮอร์นวานิลลา 3 ชิ้น BC</v>
          </cell>
          <cell r="C341" t="str">
            <v>ดวง</v>
          </cell>
          <cell r="D341">
            <v>0</v>
          </cell>
          <cell r="G341" t="str">
            <v>1 เดือน</v>
          </cell>
          <cell r="H341">
            <v>16000</v>
          </cell>
          <cell r="AN341">
            <v>0</v>
          </cell>
          <cell r="AO341">
            <v>1000</v>
          </cell>
          <cell r="AP341">
            <v>1200</v>
          </cell>
          <cell r="AQ341">
            <v>0</v>
          </cell>
          <cell r="AR341">
            <v>400</v>
          </cell>
          <cell r="AS341">
            <v>1000</v>
          </cell>
          <cell r="AT341">
            <v>1100</v>
          </cell>
          <cell r="AU341">
            <v>0</v>
          </cell>
          <cell r="AV341">
            <v>1000</v>
          </cell>
          <cell r="AW341">
            <v>1000</v>
          </cell>
          <cell r="AX341">
            <v>1000</v>
          </cell>
          <cell r="AY341">
            <v>0</v>
          </cell>
          <cell r="AZ341">
            <v>1200</v>
          </cell>
          <cell r="BA341">
            <v>2000</v>
          </cell>
          <cell r="BB341">
            <v>0</v>
          </cell>
          <cell r="BC341">
            <v>1000</v>
          </cell>
          <cell r="BD341">
            <v>600</v>
          </cell>
          <cell r="BE341">
            <v>392</v>
          </cell>
          <cell r="BF341">
            <v>1000</v>
          </cell>
          <cell r="BG341">
            <v>1000</v>
          </cell>
          <cell r="BH341">
            <v>1108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16000</v>
          </cell>
        </row>
        <row r="342">
          <cell r="A342">
            <v>1023101034</v>
          </cell>
          <cell r="B342" t="str">
            <v>S.ครีมฮอร์นวานิลลา 3 ชิ้น BC รหัสไหม่</v>
          </cell>
          <cell r="C342" t="str">
            <v>ดวง</v>
          </cell>
          <cell r="H342">
            <v>0</v>
          </cell>
          <cell r="Y342">
            <v>30000</v>
          </cell>
          <cell r="AN342">
            <v>30000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200</v>
          </cell>
          <cell r="BI342">
            <v>0</v>
          </cell>
          <cell r="BJ342">
            <v>2000</v>
          </cell>
          <cell r="BK342">
            <v>1000</v>
          </cell>
          <cell r="BL342">
            <v>0</v>
          </cell>
          <cell r="BM342">
            <v>1000</v>
          </cell>
          <cell r="BN342">
            <v>2000</v>
          </cell>
          <cell r="BO342">
            <v>1000</v>
          </cell>
          <cell r="BP342">
            <v>0</v>
          </cell>
          <cell r="BQ342">
            <v>1200</v>
          </cell>
          <cell r="BR342">
            <v>1000</v>
          </cell>
          <cell r="BS342">
            <v>1000</v>
          </cell>
          <cell r="BT342">
            <v>10400</v>
          </cell>
        </row>
        <row r="343">
          <cell r="A343" t="str">
            <v>02-STL-28</v>
          </cell>
          <cell r="B343" t="str">
            <v>S.เอแคลร์นมสด 567 PP BC</v>
          </cell>
          <cell r="C343" t="str">
            <v>ดวง</v>
          </cell>
          <cell r="D343">
            <v>0</v>
          </cell>
          <cell r="F343" t="str">
            <v>JD2023-01710-4</v>
          </cell>
          <cell r="G343" t="str">
            <v>1 เดือน</v>
          </cell>
          <cell r="H343">
            <v>43756</v>
          </cell>
          <cell r="AN343">
            <v>0</v>
          </cell>
          <cell r="AO343">
            <v>1420</v>
          </cell>
          <cell r="AP343">
            <v>1372</v>
          </cell>
          <cell r="AQ343">
            <v>0</v>
          </cell>
          <cell r="AR343">
            <v>1000</v>
          </cell>
          <cell r="AS343">
            <v>2000</v>
          </cell>
          <cell r="AT343">
            <v>1000</v>
          </cell>
          <cell r="AU343">
            <v>0</v>
          </cell>
          <cell r="AV343">
            <v>1000</v>
          </cell>
          <cell r="AW343">
            <v>0</v>
          </cell>
          <cell r="AX343">
            <v>504</v>
          </cell>
          <cell r="AY343">
            <v>504</v>
          </cell>
          <cell r="AZ343">
            <v>1000</v>
          </cell>
          <cell r="BA343">
            <v>1200</v>
          </cell>
          <cell r="BB343">
            <v>0</v>
          </cell>
          <cell r="BC343">
            <v>1200</v>
          </cell>
          <cell r="BD343">
            <v>684</v>
          </cell>
          <cell r="BE343">
            <v>1480</v>
          </cell>
          <cell r="BF343">
            <v>1200</v>
          </cell>
          <cell r="BG343">
            <v>2000</v>
          </cell>
          <cell r="BH343">
            <v>0</v>
          </cell>
          <cell r="BI343">
            <v>0</v>
          </cell>
          <cell r="BJ343">
            <v>0</v>
          </cell>
          <cell r="BK343">
            <v>500</v>
          </cell>
          <cell r="BL343">
            <v>1228</v>
          </cell>
          <cell r="BM343">
            <v>540</v>
          </cell>
          <cell r="BN343">
            <v>2000</v>
          </cell>
          <cell r="BO343">
            <v>1000</v>
          </cell>
          <cell r="BP343">
            <v>0</v>
          </cell>
          <cell r="BQ343">
            <v>1212</v>
          </cell>
          <cell r="BR343">
            <v>1000</v>
          </cell>
          <cell r="BS343">
            <v>1000</v>
          </cell>
          <cell r="BT343">
            <v>26044</v>
          </cell>
        </row>
        <row r="344">
          <cell r="A344">
            <v>1023301007</v>
          </cell>
          <cell r="B344" t="str">
            <v>S.เอแคลร์นมสด 567 PP BC รหัสไหม่</v>
          </cell>
          <cell r="C344" t="str">
            <v>ดวง</v>
          </cell>
          <cell r="H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</row>
        <row r="345">
          <cell r="A345" t="str">
            <v>02-STL-31</v>
          </cell>
          <cell r="B345" t="str">
            <v>สายคาดปังเนยนิ่ม 3 ชิ้น BC</v>
          </cell>
          <cell r="C345" t="str">
            <v>ดวง</v>
          </cell>
          <cell r="D345">
            <v>0</v>
          </cell>
          <cell r="F345" t="str">
            <v>JD2023-01741,2023-01714</v>
          </cell>
          <cell r="G345" t="str">
            <v>15-20 วัน</v>
          </cell>
          <cell r="H345">
            <v>3496</v>
          </cell>
          <cell r="AN345">
            <v>0</v>
          </cell>
          <cell r="AO345">
            <v>200</v>
          </cell>
          <cell r="AP345">
            <v>200</v>
          </cell>
          <cell r="AQ345">
            <v>0</v>
          </cell>
          <cell r="AR345">
            <v>500</v>
          </cell>
          <cell r="AS345">
            <v>168</v>
          </cell>
          <cell r="AT345">
            <v>121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148</v>
          </cell>
          <cell r="AZ345">
            <v>0</v>
          </cell>
          <cell r="BA345">
            <v>26</v>
          </cell>
          <cell r="BB345">
            <v>0</v>
          </cell>
          <cell r="BC345">
            <v>120</v>
          </cell>
          <cell r="BD345">
            <v>108</v>
          </cell>
          <cell r="BE345">
            <v>0</v>
          </cell>
          <cell r="BF345">
            <v>348</v>
          </cell>
          <cell r="BG345">
            <v>134</v>
          </cell>
          <cell r="BH345">
            <v>0</v>
          </cell>
          <cell r="BI345">
            <v>0</v>
          </cell>
          <cell r="BJ345">
            <v>152</v>
          </cell>
          <cell r="BK345">
            <v>68</v>
          </cell>
          <cell r="BL345">
            <v>0</v>
          </cell>
          <cell r="BM345">
            <v>148</v>
          </cell>
          <cell r="BN345">
            <v>299</v>
          </cell>
          <cell r="BO345">
            <v>36</v>
          </cell>
          <cell r="BP345">
            <v>0</v>
          </cell>
          <cell r="BQ345">
            <v>128</v>
          </cell>
          <cell r="BR345">
            <v>101</v>
          </cell>
          <cell r="BS345">
            <v>125</v>
          </cell>
          <cell r="BT345">
            <v>3130</v>
          </cell>
        </row>
        <row r="346">
          <cell r="A346">
            <v>1023301008</v>
          </cell>
          <cell r="B346" t="str">
            <v>สายคาดปังเนยนิ่ม 3 ชิ้น BC รหัสไหม่</v>
          </cell>
          <cell r="C346" t="str">
            <v>ดวง</v>
          </cell>
          <cell r="H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</row>
        <row r="347">
          <cell r="A347" t="str">
            <v>02-STL-32</v>
          </cell>
          <cell r="B347" t="str">
            <v>สายคาดมินิลาวาฝอยทอง อีอ้อน</v>
          </cell>
          <cell r="C347" t="str">
            <v>ดวง</v>
          </cell>
          <cell r="H347">
            <v>5000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</row>
        <row r="348">
          <cell r="A348" t="str">
            <v>02-STL-33</v>
          </cell>
          <cell r="B348" t="str">
            <v>สายคาดชิฟฟ่อนหม้อแกงBC</v>
          </cell>
          <cell r="C348" t="str">
            <v>ดวง</v>
          </cell>
          <cell r="D348">
            <v>0</v>
          </cell>
          <cell r="G348" t="str">
            <v>15-20 วัน</v>
          </cell>
          <cell r="H348">
            <v>3812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</row>
        <row r="349">
          <cell r="A349" t="str">
            <v>02-STL-34</v>
          </cell>
          <cell r="B349" t="str">
            <v>สายคาดขนมปังสังขยา 4 ลูกBC อีอ้อน</v>
          </cell>
          <cell r="C349" t="str">
            <v>ดวง</v>
          </cell>
          <cell r="D349">
            <v>0</v>
          </cell>
          <cell r="F349" t="str">
            <v>JD2023-02253</v>
          </cell>
          <cell r="G349" t="str">
            <v>15-20 วัน</v>
          </cell>
          <cell r="H349">
            <v>6800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400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400</v>
          </cell>
        </row>
        <row r="350">
          <cell r="A350" t="str">
            <v>02-STL-35</v>
          </cell>
          <cell r="B350" t="str">
            <v>สายคาดปังเนยนิ่ม 2 ชิ้น CJ</v>
          </cell>
          <cell r="C350" t="str">
            <v>ดวง</v>
          </cell>
          <cell r="D350">
            <v>0</v>
          </cell>
          <cell r="E350" t="str">
            <v>RJ</v>
          </cell>
          <cell r="F350" t="str">
            <v>JD2023-01574</v>
          </cell>
          <cell r="G350" t="str">
            <v>15-20 วัน</v>
          </cell>
          <cell r="H350">
            <v>34400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</row>
        <row r="351">
          <cell r="A351" t="str">
            <v>02-STL-37</v>
          </cell>
          <cell r="B351" t="str">
            <v>สติ๊กเกอร์สายคาดเครปโรลฝอยทอง BC</v>
          </cell>
          <cell r="C351" t="str">
            <v>ดวง</v>
          </cell>
          <cell r="D351">
            <v>0</v>
          </cell>
          <cell r="G351" t="str">
            <v>1 เดือน</v>
          </cell>
          <cell r="H351">
            <v>59444</v>
          </cell>
          <cell r="AN351">
            <v>0</v>
          </cell>
          <cell r="AO351">
            <v>360</v>
          </cell>
          <cell r="AP351">
            <v>1350</v>
          </cell>
          <cell r="AQ351">
            <v>0</v>
          </cell>
          <cell r="AR351">
            <v>1000</v>
          </cell>
          <cell r="AS351">
            <v>1620</v>
          </cell>
          <cell r="AT351">
            <v>1080</v>
          </cell>
          <cell r="AU351">
            <v>0</v>
          </cell>
          <cell r="AV351">
            <v>1000</v>
          </cell>
          <cell r="AW351">
            <v>0</v>
          </cell>
          <cell r="AX351">
            <v>1000</v>
          </cell>
          <cell r="AY351">
            <v>1000</v>
          </cell>
          <cell r="AZ351">
            <v>1000</v>
          </cell>
          <cell r="BA351">
            <v>1000</v>
          </cell>
          <cell r="BB351">
            <v>0</v>
          </cell>
          <cell r="BC351">
            <v>1084</v>
          </cell>
          <cell r="BD351">
            <v>1000</v>
          </cell>
          <cell r="BE351">
            <v>2202</v>
          </cell>
          <cell r="BF351">
            <v>400</v>
          </cell>
          <cell r="BG351">
            <v>2000</v>
          </cell>
          <cell r="BH351">
            <v>1000</v>
          </cell>
          <cell r="BI351">
            <v>0</v>
          </cell>
          <cell r="BJ351">
            <v>1000</v>
          </cell>
          <cell r="BK351">
            <v>0</v>
          </cell>
          <cell r="BL351">
            <v>200</v>
          </cell>
          <cell r="BM351">
            <v>1000</v>
          </cell>
          <cell r="BN351">
            <v>1000</v>
          </cell>
          <cell r="BO351">
            <v>1564</v>
          </cell>
          <cell r="BP351">
            <v>0</v>
          </cell>
          <cell r="BQ351">
            <v>1000</v>
          </cell>
          <cell r="BR351">
            <v>1270</v>
          </cell>
          <cell r="BS351">
            <v>0</v>
          </cell>
          <cell r="BT351">
            <v>25130</v>
          </cell>
        </row>
        <row r="352">
          <cell r="A352" t="str">
            <v>02-STL-41</v>
          </cell>
          <cell r="B352" t="str">
            <v>S.วุ้นเป็ดกะทิมะพร้าวน้ำหอม CJ</v>
          </cell>
          <cell r="C352" t="str">
            <v>ดวง</v>
          </cell>
          <cell r="D352">
            <v>0</v>
          </cell>
          <cell r="E352" t="str">
            <v>RJ</v>
          </cell>
          <cell r="G352" t="str">
            <v>1 เดือน</v>
          </cell>
          <cell r="H352">
            <v>5456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</row>
        <row r="353">
          <cell r="A353" t="str">
            <v>02-STL-42</v>
          </cell>
          <cell r="B353" t="str">
            <v>สายคาดปังนิ่ม 5 ชิ้น(เก่า)</v>
          </cell>
          <cell r="C353" t="str">
            <v>ดวง</v>
          </cell>
          <cell r="D353">
            <v>0</v>
          </cell>
          <cell r="G353" t="str">
            <v>1 เดือน</v>
          </cell>
          <cell r="H353">
            <v>7000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</row>
        <row r="354">
          <cell r="A354" t="str">
            <v>02-STL-55</v>
          </cell>
          <cell r="B354" t="str">
            <v>สติกเกอร์สายคาดซอฟท์เค็กมะพร้าวนมสด</v>
          </cell>
          <cell r="C354" t="str">
            <v>ดวง</v>
          </cell>
          <cell r="D354">
            <v>0</v>
          </cell>
          <cell r="G354" t="str">
            <v>15-20 วัน</v>
          </cell>
          <cell r="H354">
            <v>7000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1000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1000</v>
          </cell>
        </row>
        <row r="355">
          <cell r="A355" t="str">
            <v>02-STL-56</v>
          </cell>
          <cell r="B355" t="str">
            <v>สติกเกอร์รักแม่ ขนาด 40*40 mm.</v>
          </cell>
          <cell r="C355" t="str">
            <v>ดวง</v>
          </cell>
          <cell r="D355">
            <v>0</v>
          </cell>
          <cell r="E355" t="str">
            <v>RJ</v>
          </cell>
          <cell r="F355" t="str">
            <v>-</v>
          </cell>
          <cell r="G355" t="str">
            <v>1 เดือน</v>
          </cell>
          <cell r="H355">
            <v>1771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</row>
        <row r="356">
          <cell r="A356" t="str">
            <v>02-JAY-0001</v>
          </cell>
          <cell r="B356" t="str">
            <v>สติ๊กเกอร์ขนมปังแครนเบอร์รี่(เจ)</v>
          </cell>
          <cell r="C356" t="str">
            <v>ดวง</v>
          </cell>
          <cell r="D356">
            <v>0</v>
          </cell>
          <cell r="E356" t="str">
            <v>RJ</v>
          </cell>
          <cell r="F356" t="str">
            <v>-</v>
          </cell>
          <cell r="G356" t="str">
            <v>30-45 วัน</v>
          </cell>
          <cell r="H356">
            <v>75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</row>
        <row r="357">
          <cell r="A357" t="str">
            <v>02-JAY-0003</v>
          </cell>
          <cell r="B357" t="str">
            <v>สติ๊กเกอร์ขนมปังหมูแดง(เจ)</v>
          </cell>
          <cell r="C357" t="str">
            <v>ดวง</v>
          </cell>
          <cell r="D357">
            <v>0</v>
          </cell>
          <cell r="E357" t="str">
            <v>RJ</v>
          </cell>
          <cell r="F357" t="str">
            <v>-</v>
          </cell>
          <cell r="G357" t="str">
            <v>30-45 วัน</v>
          </cell>
          <cell r="H357">
            <v>150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</row>
        <row r="358">
          <cell r="A358" t="str">
            <v>02-JAY-0004</v>
          </cell>
          <cell r="B358" t="str">
            <v>สติ๊กเกอร์พายแอปเปิ้ล(เจ)</v>
          </cell>
          <cell r="C358" t="str">
            <v>ดวง</v>
          </cell>
          <cell r="D358">
            <v>0</v>
          </cell>
          <cell r="E358" t="str">
            <v>RJ</v>
          </cell>
          <cell r="F358" t="str">
            <v>-</v>
          </cell>
          <cell r="G358" t="str">
            <v>30-45 วัน</v>
          </cell>
          <cell r="H358">
            <v>205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</row>
        <row r="359">
          <cell r="A359" t="str">
            <v>02-JAY-0005</v>
          </cell>
          <cell r="B359" t="str">
            <v>สติ๊กเกอร์ขนมปังครีมมะพร้าวอ่อน(เจ)</v>
          </cell>
          <cell r="C359" t="str">
            <v>ดวง</v>
          </cell>
          <cell r="D359">
            <v>0</v>
          </cell>
          <cell r="E359" t="str">
            <v>RJ</v>
          </cell>
          <cell r="F359" t="str">
            <v>-</v>
          </cell>
          <cell r="G359" t="str">
            <v>30-45 วัน</v>
          </cell>
          <cell r="H359">
            <v>1150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</row>
        <row r="360">
          <cell r="A360" t="str">
            <v>02-SZ01</v>
          </cell>
          <cell r="B360" t="str">
            <v>สารซีน 30cc (ลัง*9000)</v>
          </cell>
          <cell r="C360" t="str">
            <v>ชิ้น</v>
          </cell>
          <cell r="D360">
            <v>0</v>
          </cell>
          <cell r="F360" t="str">
            <v>Q30PW(T)</v>
          </cell>
          <cell r="G360" t="str">
            <v>30-45 วัน</v>
          </cell>
          <cell r="H360">
            <v>387000</v>
          </cell>
          <cell r="AB360">
            <v>540000</v>
          </cell>
          <cell r="AN360">
            <v>540000</v>
          </cell>
          <cell r="AO360">
            <v>18000</v>
          </cell>
          <cell r="AP360">
            <v>18000</v>
          </cell>
          <cell r="AQ360">
            <v>0</v>
          </cell>
          <cell r="AR360">
            <v>0</v>
          </cell>
          <cell r="AS360">
            <v>9000</v>
          </cell>
          <cell r="AT360">
            <v>18000</v>
          </cell>
          <cell r="AU360">
            <v>0</v>
          </cell>
          <cell r="AV360">
            <v>9000</v>
          </cell>
          <cell r="AW360">
            <v>18000</v>
          </cell>
          <cell r="AX360">
            <v>9000</v>
          </cell>
          <cell r="AY360">
            <v>18000</v>
          </cell>
          <cell r="AZ360">
            <v>9000</v>
          </cell>
          <cell r="BA360">
            <v>18000</v>
          </cell>
          <cell r="BB360">
            <v>0</v>
          </cell>
          <cell r="BC360">
            <v>9000</v>
          </cell>
          <cell r="BD360">
            <v>18000</v>
          </cell>
          <cell r="BE360">
            <v>0</v>
          </cell>
          <cell r="BF360">
            <v>18000</v>
          </cell>
          <cell r="BG360">
            <v>9000</v>
          </cell>
          <cell r="BH360">
            <v>18000</v>
          </cell>
          <cell r="BI360">
            <v>0</v>
          </cell>
          <cell r="BJ360">
            <v>9000</v>
          </cell>
          <cell r="BK360">
            <v>18000</v>
          </cell>
          <cell r="BL360">
            <v>9000</v>
          </cell>
          <cell r="BM360">
            <v>18000</v>
          </cell>
          <cell r="BN360">
            <v>9000</v>
          </cell>
          <cell r="BO360">
            <v>18000</v>
          </cell>
          <cell r="BP360">
            <v>0</v>
          </cell>
          <cell r="BQ360">
            <v>9000</v>
          </cell>
          <cell r="BR360">
            <v>9000</v>
          </cell>
          <cell r="BS360">
            <v>36000</v>
          </cell>
          <cell r="BT360">
            <v>351000</v>
          </cell>
        </row>
        <row r="361">
          <cell r="A361">
            <v>1023701002</v>
          </cell>
          <cell r="B361" t="str">
            <v>สารซีน 30cc (ลัง*9000) รหัสไหม่</v>
          </cell>
          <cell r="C361" t="str">
            <v>ชิ้น</v>
          </cell>
          <cell r="H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</row>
        <row r="362">
          <cell r="A362" t="str">
            <v>02-SZ03</v>
          </cell>
          <cell r="B362" t="str">
            <v>สารซีน 100cc   ลัง*2500ชิ้น ห่อละ 100</v>
          </cell>
          <cell r="C362" t="str">
            <v>ชิ้น</v>
          </cell>
          <cell r="D362">
            <v>0</v>
          </cell>
          <cell r="G362" t="str">
            <v>30-45 วัน</v>
          </cell>
          <cell r="H362">
            <v>16800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200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100</v>
          </cell>
          <cell r="AZ362">
            <v>0</v>
          </cell>
          <cell r="BA362">
            <v>0</v>
          </cell>
          <cell r="BB362">
            <v>0</v>
          </cell>
          <cell r="BC362">
            <v>200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1100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1600</v>
          </cell>
        </row>
        <row r="363">
          <cell r="A363" t="str">
            <v>02-SZ04</v>
          </cell>
          <cell r="B363" t="str">
            <v>สารซีน 200cc (ซีนเบาหวิว)ลัง*1500ชิ้น</v>
          </cell>
          <cell r="C363" t="str">
            <v>ชิ้น</v>
          </cell>
          <cell r="D363">
            <v>0</v>
          </cell>
          <cell r="F363" t="str">
            <v>Q200PW(T)</v>
          </cell>
          <cell r="G363" t="str">
            <v>30-45 วัน</v>
          </cell>
          <cell r="H363">
            <v>45000</v>
          </cell>
          <cell r="AN363">
            <v>0</v>
          </cell>
          <cell r="AO363">
            <v>1500</v>
          </cell>
          <cell r="AP363">
            <v>0</v>
          </cell>
          <cell r="AQ363">
            <v>0</v>
          </cell>
          <cell r="AR363">
            <v>0</v>
          </cell>
          <cell r="AS363">
            <v>1500</v>
          </cell>
          <cell r="AT363">
            <v>0</v>
          </cell>
          <cell r="AU363">
            <v>0</v>
          </cell>
          <cell r="AV363">
            <v>0</v>
          </cell>
          <cell r="AW363">
            <v>1500</v>
          </cell>
          <cell r="AX363">
            <v>1500</v>
          </cell>
          <cell r="AY363">
            <v>0</v>
          </cell>
          <cell r="AZ363">
            <v>0</v>
          </cell>
          <cell r="BA363">
            <v>1500</v>
          </cell>
          <cell r="BB363">
            <v>0</v>
          </cell>
          <cell r="BC363">
            <v>0</v>
          </cell>
          <cell r="BD363">
            <v>1500</v>
          </cell>
          <cell r="BE363">
            <v>0</v>
          </cell>
          <cell r="BF363">
            <v>1500</v>
          </cell>
          <cell r="BG363">
            <v>1500</v>
          </cell>
          <cell r="BH363">
            <v>0</v>
          </cell>
          <cell r="BI363">
            <v>0</v>
          </cell>
          <cell r="BJ363">
            <v>0</v>
          </cell>
          <cell r="BK363">
            <v>1500</v>
          </cell>
          <cell r="BL363">
            <v>0</v>
          </cell>
          <cell r="BM363">
            <v>1500</v>
          </cell>
          <cell r="BN363">
            <v>1000</v>
          </cell>
          <cell r="BO363">
            <v>0</v>
          </cell>
          <cell r="BP363">
            <v>0</v>
          </cell>
          <cell r="BQ363">
            <v>1500</v>
          </cell>
          <cell r="BR363">
            <v>0</v>
          </cell>
          <cell r="BS363">
            <v>0</v>
          </cell>
          <cell r="BT363">
            <v>17500</v>
          </cell>
        </row>
        <row r="364">
          <cell r="A364">
            <v>1023701003</v>
          </cell>
          <cell r="B364" t="str">
            <v>สารซีน 200cc (ซีนเบาหวิว)ลัง*1500ชิ้น รหัสไหม่</v>
          </cell>
          <cell r="C364" t="str">
            <v>ชิ้น</v>
          </cell>
          <cell r="H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</row>
        <row r="365">
          <cell r="A365" t="str">
            <v>02-SZ06</v>
          </cell>
          <cell r="B365" t="str">
            <v>สารซีน 1G*20,000 เลิกใช้</v>
          </cell>
          <cell r="C365" t="str">
            <v>ชิ้น</v>
          </cell>
          <cell r="D365">
            <v>0</v>
          </cell>
          <cell r="F365" t="str">
            <v>-</v>
          </cell>
          <cell r="G365" t="str">
            <v>30-45 วัน</v>
          </cell>
          <cell r="H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</row>
        <row r="366">
          <cell r="A366" t="str">
            <v>1023701007-1</v>
          </cell>
          <cell r="B366" t="str">
            <v xml:space="preserve">ซิลิกาเจลขนาด 1 กรัม(ใส่คอนเฟล็ค) ถุง*1000 </v>
          </cell>
          <cell r="C366" t="str">
            <v>ชิ้น</v>
          </cell>
          <cell r="H366">
            <v>15000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</row>
        <row r="367">
          <cell r="A367" t="str">
            <v>02-SZ07</v>
          </cell>
          <cell r="B367" t="str">
            <v>สารซีน 60cc.(ลัง*9600ชิ้น)ห่อละ320</v>
          </cell>
          <cell r="C367" t="str">
            <v>ชิ้น</v>
          </cell>
          <cell r="D367">
            <v>0</v>
          </cell>
          <cell r="F367" t="str">
            <v>-</v>
          </cell>
          <cell r="G367" t="str">
            <v>30-45 วัน</v>
          </cell>
          <cell r="H367">
            <v>575200</v>
          </cell>
          <cell r="X367">
            <v>1440000</v>
          </cell>
          <cell r="AN367">
            <v>1440000</v>
          </cell>
          <cell r="AO367">
            <v>0</v>
          </cell>
          <cell r="AP367">
            <v>19200</v>
          </cell>
          <cell r="AQ367">
            <v>0</v>
          </cell>
          <cell r="AR367">
            <v>19200</v>
          </cell>
          <cell r="AS367">
            <v>57600</v>
          </cell>
          <cell r="AT367">
            <v>67200</v>
          </cell>
          <cell r="AU367">
            <v>0</v>
          </cell>
          <cell r="AV367">
            <v>0</v>
          </cell>
          <cell r="AW367">
            <v>48000</v>
          </cell>
          <cell r="AX367">
            <v>38400</v>
          </cell>
          <cell r="AY367">
            <v>0</v>
          </cell>
          <cell r="AZ367">
            <v>47200</v>
          </cell>
          <cell r="BA367">
            <v>48000</v>
          </cell>
          <cell r="BB367">
            <v>0</v>
          </cell>
          <cell r="BC367">
            <v>38400</v>
          </cell>
          <cell r="BD367">
            <v>38400</v>
          </cell>
          <cell r="BE367">
            <v>28800</v>
          </cell>
          <cell r="BF367">
            <v>19200</v>
          </cell>
          <cell r="BG367">
            <v>28800</v>
          </cell>
          <cell r="BH367">
            <v>57600</v>
          </cell>
          <cell r="BI367">
            <v>0</v>
          </cell>
          <cell r="BJ367">
            <v>38400</v>
          </cell>
          <cell r="BK367">
            <v>19200</v>
          </cell>
          <cell r="BL367">
            <v>28800</v>
          </cell>
          <cell r="BM367">
            <v>28800</v>
          </cell>
          <cell r="BN367">
            <v>28800</v>
          </cell>
          <cell r="BO367">
            <v>67200</v>
          </cell>
          <cell r="BP367">
            <v>0</v>
          </cell>
          <cell r="BQ367">
            <v>19200</v>
          </cell>
          <cell r="BR367">
            <v>28800</v>
          </cell>
          <cell r="BS367">
            <v>48000</v>
          </cell>
          <cell r="BT367">
            <v>863200</v>
          </cell>
        </row>
        <row r="368">
          <cell r="A368" t="str">
            <v>02-SZ08</v>
          </cell>
          <cell r="B368" t="str">
            <v xml:space="preserve">สารซีน 300cc (กันน้ำมันใช้กับเปี๊ยะ) 1ลัง*1000ชิ้น </v>
          </cell>
          <cell r="C368" t="str">
            <v>ชิ้น</v>
          </cell>
          <cell r="D368">
            <v>0</v>
          </cell>
          <cell r="F368" t="str">
            <v>Q300PW(T)</v>
          </cell>
          <cell r="G368" t="str">
            <v>30-45 วัน</v>
          </cell>
          <cell r="H368">
            <v>17000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1500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1000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500</v>
          </cell>
          <cell r="BM368">
            <v>500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500</v>
          </cell>
          <cell r="BS368">
            <v>1000</v>
          </cell>
          <cell r="BT368">
            <v>5000</v>
          </cell>
        </row>
        <row r="369">
          <cell r="A369" t="str">
            <v>02-SZ10</v>
          </cell>
          <cell r="B369" t="str">
            <v>สารซีน Maxx Live SF-30 (ห่อละ100ชิ้น)</v>
          </cell>
          <cell r="C369" t="str">
            <v>ชิ้น</v>
          </cell>
          <cell r="D369">
            <v>0</v>
          </cell>
          <cell r="G369" t="str">
            <v>30-45 วัน</v>
          </cell>
          <cell r="H369">
            <v>21600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</row>
        <row r="370">
          <cell r="A370" t="str">
            <v>02-TAPE 1/2</v>
          </cell>
          <cell r="B370" t="str">
            <v>เทปใสเล็ก 1/2 นิ้ว (แถว*8ม้วน/ลัง*144ม้วน)</v>
          </cell>
          <cell r="C370" t="str">
            <v>ม้วน</v>
          </cell>
          <cell r="D370">
            <v>8.3000000000000007</v>
          </cell>
          <cell r="F370" t="str">
            <v>-</v>
          </cell>
          <cell r="G370" t="str">
            <v>7 วัน</v>
          </cell>
          <cell r="H370">
            <v>834</v>
          </cell>
          <cell r="AN370">
            <v>0</v>
          </cell>
          <cell r="AO370">
            <v>16</v>
          </cell>
          <cell r="AP370">
            <v>16</v>
          </cell>
          <cell r="AQ370">
            <v>0</v>
          </cell>
          <cell r="AR370">
            <v>16</v>
          </cell>
          <cell r="AS370">
            <v>16</v>
          </cell>
          <cell r="AT370">
            <v>0</v>
          </cell>
          <cell r="AU370">
            <v>0</v>
          </cell>
          <cell r="AV370">
            <v>16</v>
          </cell>
          <cell r="AW370">
            <v>0</v>
          </cell>
          <cell r="AX370">
            <v>24</v>
          </cell>
          <cell r="AY370">
            <v>0</v>
          </cell>
          <cell r="AZ370">
            <v>16</v>
          </cell>
          <cell r="BA370">
            <v>56</v>
          </cell>
          <cell r="BB370">
            <v>0</v>
          </cell>
          <cell r="BC370">
            <v>24</v>
          </cell>
          <cell r="BD370">
            <v>8</v>
          </cell>
          <cell r="BE370">
            <v>0</v>
          </cell>
          <cell r="BF370">
            <v>32</v>
          </cell>
          <cell r="BG370">
            <v>16</v>
          </cell>
          <cell r="BH370">
            <v>0</v>
          </cell>
          <cell r="BI370">
            <v>0</v>
          </cell>
          <cell r="BJ370">
            <v>0</v>
          </cell>
          <cell r="BK370">
            <v>16</v>
          </cell>
          <cell r="BL370">
            <v>48</v>
          </cell>
          <cell r="BM370">
            <v>0</v>
          </cell>
          <cell r="BN370">
            <v>0</v>
          </cell>
          <cell r="BO370">
            <v>40</v>
          </cell>
          <cell r="BP370">
            <v>0</v>
          </cell>
          <cell r="BQ370">
            <v>16</v>
          </cell>
          <cell r="BR370">
            <v>0</v>
          </cell>
          <cell r="BS370">
            <v>0</v>
          </cell>
          <cell r="BT370">
            <v>376</v>
          </cell>
        </row>
        <row r="371">
          <cell r="A371">
            <v>1060201001</v>
          </cell>
          <cell r="B371" t="str">
            <v>เทปใสเล็ก 1/2 นิ้ว (แถว*8ม้วน/ลัง*144ม้วน) รหัสไหม่</v>
          </cell>
          <cell r="C371" t="str">
            <v>ม้วน</v>
          </cell>
          <cell r="D371">
            <v>34</v>
          </cell>
          <cell r="F371" t="str">
            <v>-</v>
          </cell>
          <cell r="G371" t="str">
            <v>7 วัน</v>
          </cell>
          <cell r="H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</row>
        <row r="372">
          <cell r="A372" t="str">
            <v>02-TAPE2</v>
          </cell>
          <cell r="B372" t="str">
            <v>เทปใส 2 นิ้ว Nuvo(แถว*6ม้วน/ลัง*72ม้วน)</v>
          </cell>
          <cell r="C372" t="str">
            <v>ม้วน</v>
          </cell>
          <cell r="D372">
            <v>17.5</v>
          </cell>
          <cell r="F372" t="str">
            <v>CODE9089</v>
          </cell>
          <cell r="G372" t="str">
            <v>7 วัน</v>
          </cell>
          <cell r="H372">
            <v>457</v>
          </cell>
          <cell r="AN372">
            <v>0</v>
          </cell>
          <cell r="AO372">
            <v>72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72</v>
          </cell>
          <cell r="BA372">
            <v>6</v>
          </cell>
          <cell r="BB372">
            <v>0</v>
          </cell>
          <cell r="BC372">
            <v>4</v>
          </cell>
          <cell r="BD372">
            <v>1</v>
          </cell>
          <cell r="BE372">
            <v>0</v>
          </cell>
          <cell r="BF372">
            <v>0</v>
          </cell>
          <cell r="BG372">
            <v>72</v>
          </cell>
          <cell r="BH372">
            <v>0</v>
          </cell>
          <cell r="BI372">
            <v>0</v>
          </cell>
          <cell r="BJ372">
            <v>1</v>
          </cell>
          <cell r="BK372">
            <v>72</v>
          </cell>
          <cell r="BL372">
            <v>14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314</v>
          </cell>
        </row>
        <row r="373">
          <cell r="A373">
            <v>1060201002</v>
          </cell>
          <cell r="B373" t="str">
            <v>เทปใส 2 นิ้ว Nuvo(แถว*6ม้วน/ลัง*72ม้วน) รหัสไหม่</v>
          </cell>
          <cell r="C373" t="str">
            <v>ม้วน</v>
          </cell>
          <cell r="H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</row>
        <row r="374">
          <cell r="A374" t="str">
            <v>02-TAPE2-A</v>
          </cell>
          <cell r="B374" t="str">
            <v>เทปใสเล็ก 1/2 นิ้ว (หลุย) กล่องละ12 ม้วน</v>
          </cell>
          <cell r="C374" t="str">
            <v>ม้วน</v>
          </cell>
          <cell r="D374">
            <v>0</v>
          </cell>
          <cell r="F374" t="str">
            <v>-</v>
          </cell>
          <cell r="G374" t="str">
            <v>30-45 วัน</v>
          </cell>
          <cell r="H374">
            <v>132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</row>
        <row r="375">
          <cell r="A375" t="str">
            <v>02-TAPE2-C</v>
          </cell>
          <cell r="B375" t="str">
            <v>เทปใส OPP 2"x1000 หลา ลังละ6ม้วน</v>
          </cell>
          <cell r="C375" t="str">
            <v>ม้วน</v>
          </cell>
          <cell r="D375">
            <v>0</v>
          </cell>
          <cell r="F375" t="str">
            <v>-</v>
          </cell>
          <cell r="G375" t="str">
            <v>7 วัน</v>
          </cell>
          <cell r="H375">
            <v>24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</row>
        <row r="376">
          <cell r="A376" t="str">
            <v>5-c-005</v>
          </cell>
          <cell r="B376" t="str">
            <v>ถุงมือพลาสติกห่อขนม</v>
          </cell>
          <cell r="C376" t="str">
            <v>แพ็ค</v>
          </cell>
          <cell r="D376">
            <v>0</v>
          </cell>
          <cell r="H376">
            <v>79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2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10</v>
          </cell>
          <cell r="BS376">
            <v>5</v>
          </cell>
          <cell r="BT376">
            <v>17</v>
          </cell>
        </row>
        <row r="377">
          <cell r="A377" t="str">
            <v>5-C-009</v>
          </cell>
          <cell r="B377" t="str">
            <v>แผ่นเทปล่อนรองอบ</v>
          </cell>
          <cell r="C377" t="str">
            <v>แผ่น</v>
          </cell>
          <cell r="D377">
            <v>0</v>
          </cell>
          <cell r="G377" t="str">
            <v>-</v>
          </cell>
          <cell r="H377">
            <v>29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</row>
        <row r="378">
          <cell r="A378" t="str">
            <v>5-S-016</v>
          </cell>
          <cell r="B378" t="str">
            <v>กระดาษบางแดง (ปุยฝ้าย)</v>
          </cell>
          <cell r="C378" t="str">
            <v>แผ่น</v>
          </cell>
          <cell r="D378">
            <v>0</v>
          </cell>
          <cell r="F378" t="str">
            <v>-</v>
          </cell>
          <cell r="G378" t="str">
            <v>7 วัน</v>
          </cell>
          <cell r="H378">
            <v>2000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</row>
        <row r="379">
          <cell r="A379" t="str">
            <v>1020301004-1</v>
          </cell>
          <cell r="B379" t="str">
            <v>กระทรงกระดาษทรงกลม 3219A(กระทงจีบแดง)</v>
          </cell>
          <cell r="C379" t="str">
            <v>แถว</v>
          </cell>
          <cell r="H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</row>
        <row r="380">
          <cell r="A380" t="str">
            <v>5-SC-029</v>
          </cell>
          <cell r="B380" t="str">
            <v>สติ๊กเกอร์วันที่ผลิต แถวละ 10 ม้วน(กระสุนปืน)</v>
          </cell>
          <cell r="C380" t="str">
            <v>ม้วน</v>
          </cell>
          <cell r="D380">
            <v>15</v>
          </cell>
          <cell r="F380" t="str">
            <v>-</v>
          </cell>
          <cell r="G380" t="str">
            <v>-</v>
          </cell>
          <cell r="H380">
            <v>280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20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20</v>
          </cell>
          <cell r="BS380">
            <v>0</v>
          </cell>
          <cell r="BT380">
            <v>40</v>
          </cell>
        </row>
        <row r="381">
          <cell r="A381" t="str">
            <v>5-C-450</v>
          </cell>
          <cell r="B381" t="str">
            <v>ถุงขยะสีดำ 30*40( 1กระสอบ*25กิโลกรัม)</v>
          </cell>
          <cell r="C381" t="str">
            <v>กิโลกรัม</v>
          </cell>
          <cell r="D381">
            <v>34</v>
          </cell>
          <cell r="F381" t="str">
            <v>-</v>
          </cell>
          <cell r="G381" t="str">
            <v>7 วัน</v>
          </cell>
          <cell r="H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</row>
        <row r="382">
          <cell r="A382" t="str">
            <v>5-C-906</v>
          </cell>
          <cell r="B382" t="str">
            <v>ถุงขยะสีดำ 30*40( 1กระสอบ*25กิโลกรัม)ใช้อันนี้</v>
          </cell>
          <cell r="C382" t="str">
            <v>กิโลกรัม</v>
          </cell>
          <cell r="H382">
            <v>112</v>
          </cell>
          <cell r="AN382">
            <v>0</v>
          </cell>
          <cell r="AO382">
            <v>10</v>
          </cell>
          <cell r="AP382">
            <v>5</v>
          </cell>
          <cell r="AQ382">
            <v>0</v>
          </cell>
          <cell r="AR382">
            <v>0</v>
          </cell>
          <cell r="AS382">
            <v>10</v>
          </cell>
          <cell r="AT382">
            <v>0</v>
          </cell>
          <cell r="AU382">
            <v>0</v>
          </cell>
          <cell r="AV382">
            <v>44</v>
          </cell>
          <cell r="AW382">
            <v>0</v>
          </cell>
          <cell r="AX382">
            <v>0</v>
          </cell>
          <cell r="AY382">
            <v>0</v>
          </cell>
          <cell r="AZ382">
            <v>10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12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10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10</v>
          </cell>
          <cell r="BT382">
            <v>111</v>
          </cell>
        </row>
        <row r="383">
          <cell r="A383" t="str">
            <v>5-S-007</v>
          </cell>
          <cell r="B383" t="str">
            <v>ถุงขยะสีชา 30*40( 1กระสอบ*25กิโลกรัม)</v>
          </cell>
          <cell r="C383" t="str">
            <v>กิโลกรัม</v>
          </cell>
          <cell r="D383">
            <v>45</v>
          </cell>
          <cell r="G383" t="str">
            <v>7 วัน</v>
          </cell>
          <cell r="H383">
            <v>606</v>
          </cell>
          <cell r="AH383">
            <v>500</v>
          </cell>
          <cell r="AN383">
            <v>500</v>
          </cell>
          <cell r="AO383">
            <v>35</v>
          </cell>
          <cell r="AP383">
            <v>12</v>
          </cell>
          <cell r="AQ383">
            <v>0</v>
          </cell>
          <cell r="AR383">
            <v>15</v>
          </cell>
          <cell r="AS383">
            <v>5</v>
          </cell>
          <cell r="AT383">
            <v>7</v>
          </cell>
          <cell r="AU383">
            <v>0</v>
          </cell>
          <cell r="AV383">
            <v>38</v>
          </cell>
          <cell r="AW383">
            <v>56</v>
          </cell>
          <cell r="AX383">
            <v>5</v>
          </cell>
          <cell r="AY383">
            <v>40</v>
          </cell>
          <cell r="AZ383">
            <v>32</v>
          </cell>
          <cell r="BA383">
            <v>9</v>
          </cell>
          <cell r="BB383">
            <v>0</v>
          </cell>
          <cell r="BC383">
            <v>30</v>
          </cell>
          <cell r="BD383">
            <v>10</v>
          </cell>
          <cell r="BE383">
            <v>25</v>
          </cell>
          <cell r="BF383">
            <v>48</v>
          </cell>
          <cell r="BG383">
            <v>5</v>
          </cell>
          <cell r="BH383">
            <v>42</v>
          </cell>
          <cell r="BI383">
            <v>0</v>
          </cell>
          <cell r="BJ383">
            <v>8</v>
          </cell>
          <cell r="BK383">
            <v>3</v>
          </cell>
          <cell r="BL383">
            <v>25</v>
          </cell>
          <cell r="BM383">
            <v>14</v>
          </cell>
          <cell r="BN383">
            <v>38</v>
          </cell>
          <cell r="BO383">
            <v>13</v>
          </cell>
          <cell r="BP383">
            <v>0</v>
          </cell>
          <cell r="BQ383">
            <v>5</v>
          </cell>
          <cell r="BR383">
            <v>31</v>
          </cell>
          <cell r="BS383">
            <v>35</v>
          </cell>
          <cell r="BT383">
            <v>586</v>
          </cell>
        </row>
        <row r="384">
          <cell r="A384" t="str">
            <v>5-MC-006</v>
          </cell>
          <cell r="B384" t="str">
            <v>ลวดเมอร์แลงสีทอง</v>
          </cell>
          <cell r="C384" t="str">
            <v>ม้วน</v>
          </cell>
          <cell r="D384">
            <v>0</v>
          </cell>
          <cell r="F384" t="str">
            <v>-</v>
          </cell>
          <cell r="G384" t="str">
            <v>-</v>
          </cell>
          <cell r="H384">
            <v>17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2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2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3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7</v>
          </cell>
        </row>
        <row r="385">
          <cell r="A385" t="str">
            <v>5-C-027-1</v>
          </cell>
          <cell r="B385" t="str">
            <v>พลาสติกกันกระแทก Air Bubber</v>
          </cell>
          <cell r="C385" t="str">
            <v>ม้วน</v>
          </cell>
          <cell r="H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</row>
        <row r="386">
          <cell r="A386" t="str">
            <v>5-C-907-1</v>
          </cell>
          <cell r="B386" t="str">
            <v>พลาสติกกันกระแทกขนาด 32.5 CM (ตัดเอง)</v>
          </cell>
          <cell r="C386" t="str">
            <v>ม้วน</v>
          </cell>
          <cell r="D386">
            <v>0</v>
          </cell>
          <cell r="F386" t="str">
            <v>-</v>
          </cell>
          <cell r="G386" t="str">
            <v>-</v>
          </cell>
          <cell r="H386">
            <v>84</v>
          </cell>
          <cell r="U386">
            <v>50</v>
          </cell>
          <cell r="AN386">
            <v>50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</row>
        <row r="387">
          <cell r="A387" t="str">
            <v>5-C-817</v>
          </cell>
          <cell r="B387" t="str">
            <v>สติ๊กเกอร์ลาเบล 100*100*500 mm.</v>
          </cell>
          <cell r="C387" t="str">
            <v>ม้วน</v>
          </cell>
          <cell r="D387">
            <v>70</v>
          </cell>
          <cell r="F387" t="str">
            <v>-</v>
          </cell>
          <cell r="G387" t="str">
            <v>7 วัน</v>
          </cell>
          <cell r="H387">
            <v>99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1</v>
          </cell>
          <cell r="AU387">
            <v>0</v>
          </cell>
          <cell r="AV387">
            <v>1</v>
          </cell>
          <cell r="AW387">
            <v>2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4</v>
          </cell>
        </row>
        <row r="388">
          <cell r="A388" t="str">
            <v>5-C-541</v>
          </cell>
          <cell r="B388" t="str">
            <v>สติ๊กเกอร์ลาเบล 100*150*500 mm.</v>
          </cell>
          <cell r="C388" t="str">
            <v>ม้วน</v>
          </cell>
          <cell r="D388">
            <v>75</v>
          </cell>
          <cell r="F388" t="str">
            <v>-</v>
          </cell>
          <cell r="G388" t="str">
            <v>7 วัน</v>
          </cell>
          <cell r="H388">
            <v>220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5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5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5</v>
          </cell>
          <cell r="BS388">
            <v>0</v>
          </cell>
          <cell r="BT388">
            <v>15</v>
          </cell>
        </row>
        <row r="389">
          <cell r="A389" t="str">
            <v>5-S-015</v>
          </cell>
          <cell r="B389" t="str">
            <v>สติ๊กเกอร์ลาเบล 90*50*500 mm.</v>
          </cell>
          <cell r="C389" t="str">
            <v>ม้วน</v>
          </cell>
          <cell r="D389">
            <v>0</v>
          </cell>
          <cell r="F389" t="str">
            <v>-</v>
          </cell>
          <cell r="G389" t="str">
            <v>-</v>
          </cell>
          <cell r="H389">
            <v>167</v>
          </cell>
          <cell r="AN389">
            <v>0</v>
          </cell>
          <cell r="AO389">
            <v>0</v>
          </cell>
          <cell r="AP389">
            <v>26</v>
          </cell>
          <cell r="AQ389">
            <v>0</v>
          </cell>
          <cell r="AR389">
            <v>0</v>
          </cell>
          <cell r="AS389">
            <v>0</v>
          </cell>
          <cell r="AT389">
            <v>6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10</v>
          </cell>
          <cell r="BB389">
            <v>0</v>
          </cell>
          <cell r="BC389">
            <v>0</v>
          </cell>
          <cell r="BD389">
            <v>6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20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68</v>
          </cell>
        </row>
        <row r="390">
          <cell r="A390">
            <v>1023101038</v>
          </cell>
          <cell r="B390" t="str">
            <v>สติ๊กเกอร์ลาเบล 90*50*500 mm.  รหัสไหม่</v>
          </cell>
          <cell r="C390" t="str">
            <v>ม้วน</v>
          </cell>
          <cell r="H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</row>
        <row r="391">
          <cell r="A391">
            <v>1023101040</v>
          </cell>
          <cell r="B391" t="str">
            <v>สติ๊กเกอร์ลาเบล 40*60*700 ดวง แบบกระดาษ(เครื่องชั้ง)</v>
          </cell>
          <cell r="C391" t="str">
            <v>ม้วน</v>
          </cell>
          <cell r="H391">
            <v>138</v>
          </cell>
          <cell r="AN391">
            <v>0</v>
          </cell>
          <cell r="AO391">
            <v>3</v>
          </cell>
          <cell r="AP391">
            <v>0</v>
          </cell>
          <cell r="AQ391">
            <v>0</v>
          </cell>
          <cell r="AR391">
            <v>0</v>
          </cell>
          <cell r="AS391">
            <v>2</v>
          </cell>
          <cell r="AT391">
            <v>0</v>
          </cell>
          <cell r="AU391">
            <v>0</v>
          </cell>
          <cell r="AV391">
            <v>2</v>
          </cell>
          <cell r="AW391">
            <v>0</v>
          </cell>
          <cell r="AX391">
            <v>2</v>
          </cell>
          <cell r="AY391">
            <v>0</v>
          </cell>
          <cell r="AZ391">
            <v>0</v>
          </cell>
          <cell r="BA391">
            <v>3</v>
          </cell>
          <cell r="BB391">
            <v>0</v>
          </cell>
          <cell r="BC391">
            <v>0</v>
          </cell>
          <cell r="BD391">
            <v>3</v>
          </cell>
          <cell r="BE391">
            <v>0</v>
          </cell>
          <cell r="BF391">
            <v>0</v>
          </cell>
          <cell r="BG391">
            <v>0</v>
          </cell>
          <cell r="BH391">
            <v>3</v>
          </cell>
          <cell r="BI391">
            <v>0</v>
          </cell>
          <cell r="BJ391">
            <v>0</v>
          </cell>
          <cell r="BK391">
            <v>2</v>
          </cell>
          <cell r="BL391">
            <v>0</v>
          </cell>
          <cell r="BM391">
            <v>0</v>
          </cell>
          <cell r="BN391">
            <v>0</v>
          </cell>
          <cell r="BO391">
            <v>2</v>
          </cell>
          <cell r="BP391">
            <v>0</v>
          </cell>
          <cell r="BQ391">
            <v>0</v>
          </cell>
          <cell r="BR391">
            <v>3</v>
          </cell>
          <cell r="BS391">
            <v>0</v>
          </cell>
          <cell r="BT391">
            <v>25</v>
          </cell>
        </row>
        <row r="392">
          <cell r="A392">
            <v>1023101046</v>
          </cell>
          <cell r="B392" t="str">
            <v>สติ๊กเกอร์ลาเบล 40*60*700 ดวง(แบบกันน้ำ)ลังละ50 ม้วน</v>
          </cell>
          <cell r="C392" t="str">
            <v>ม้วน</v>
          </cell>
          <cell r="H392">
            <v>71</v>
          </cell>
          <cell r="R392">
            <v>200</v>
          </cell>
          <cell r="AN392">
            <v>200</v>
          </cell>
          <cell r="AO392">
            <v>5</v>
          </cell>
          <cell r="AP392">
            <v>0</v>
          </cell>
          <cell r="AQ392">
            <v>0</v>
          </cell>
          <cell r="AR392">
            <v>0</v>
          </cell>
          <cell r="AS392">
            <v>6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4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3</v>
          </cell>
          <cell r="BO392">
            <v>0</v>
          </cell>
          <cell r="BP392">
            <v>0</v>
          </cell>
          <cell r="BQ392">
            <v>0</v>
          </cell>
          <cell r="BR392">
            <v>1</v>
          </cell>
          <cell r="BS392">
            <v>0</v>
          </cell>
          <cell r="BT392">
            <v>19</v>
          </cell>
        </row>
        <row r="393">
          <cell r="A393" t="str">
            <v>5-C-195</v>
          </cell>
          <cell r="B393" t="str">
            <v>ถุงมือกันความร้อน</v>
          </cell>
          <cell r="C393" t="str">
            <v>อัน</v>
          </cell>
          <cell r="D393">
            <v>0</v>
          </cell>
          <cell r="G393" t="str">
            <v>7 วัน</v>
          </cell>
          <cell r="H393">
            <v>224</v>
          </cell>
          <cell r="AN393">
            <v>0</v>
          </cell>
          <cell r="AO393">
            <v>0</v>
          </cell>
          <cell r="AP393">
            <v>8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4</v>
          </cell>
          <cell r="AY393">
            <v>0</v>
          </cell>
          <cell r="AZ393">
            <v>0</v>
          </cell>
          <cell r="BA393">
            <v>4</v>
          </cell>
          <cell r="BB393">
            <v>0</v>
          </cell>
          <cell r="BC393">
            <v>0</v>
          </cell>
          <cell r="BD393">
            <v>0</v>
          </cell>
          <cell r="BE393">
            <v>6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24</v>
          </cell>
          <cell r="BL393">
            <v>0</v>
          </cell>
          <cell r="BM393">
            <v>0</v>
          </cell>
          <cell r="BN393">
            <v>0</v>
          </cell>
          <cell r="BO393">
            <v>24</v>
          </cell>
          <cell r="BP393">
            <v>0</v>
          </cell>
          <cell r="BQ393">
            <v>0</v>
          </cell>
          <cell r="BR393">
            <v>6</v>
          </cell>
          <cell r="BS393">
            <v>0</v>
          </cell>
          <cell r="BT393">
            <v>76</v>
          </cell>
        </row>
        <row r="394">
          <cell r="A394" t="str">
            <v>5-C-814</v>
          </cell>
          <cell r="B394" t="str">
            <v>ถุงมือผ้า(ถุงมือตัดอ้อย)</v>
          </cell>
          <cell r="C394" t="str">
            <v>คู่</v>
          </cell>
          <cell r="D394">
            <v>0</v>
          </cell>
          <cell r="F394" t="str">
            <v>-</v>
          </cell>
          <cell r="G394" t="str">
            <v>1 เดือน</v>
          </cell>
          <cell r="H394">
            <v>612</v>
          </cell>
          <cell r="AN394">
            <v>0</v>
          </cell>
          <cell r="AO394">
            <v>36</v>
          </cell>
          <cell r="AP394">
            <v>24</v>
          </cell>
          <cell r="AQ394">
            <v>0</v>
          </cell>
          <cell r="AR394">
            <v>0</v>
          </cell>
          <cell r="AS394">
            <v>0</v>
          </cell>
          <cell r="AT394">
            <v>12</v>
          </cell>
          <cell r="AU394">
            <v>0</v>
          </cell>
          <cell r="AV394">
            <v>0</v>
          </cell>
          <cell r="AW394">
            <v>12</v>
          </cell>
          <cell r="AX394">
            <v>24</v>
          </cell>
          <cell r="AY394">
            <v>0</v>
          </cell>
          <cell r="AZ394">
            <v>16</v>
          </cell>
          <cell r="BA394">
            <v>36</v>
          </cell>
          <cell r="BB394">
            <v>0</v>
          </cell>
          <cell r="BC394">
            <v>0</v>
          </cell>
          <cell r="BD394">
            <v>24</v>
          </cell>
          <cell r="BE394">
            <v>24</v>
          </cell>
          <cell r="BF394">
            <v>0</v>
          </cell>
          <cell r="BG394">
            <v>24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40</v>
          </cell>
          <cell r="BM394">
            <v>24</v>
          </cell>
          <cell r="BN394">
            <v>0</v>
          </cell>
          <cell r="BO394">
            <v>14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310</v>
          </cell>
        </row>
        <row r="395">
          <cell r="A395" t="str">
            <v>5-S-008</v>
          </cell>
          <cell r="B395" t="str">
            <v xml:space="preserve">ถุงมือยางสีฟ้า  S </v>
          </cell>
          <cell r="C395" t="str">
            <v>กล่อง</v>
          </cell>
          <cell r="D395">
            <v>70</v>
          </cell>
          <cell r="F395" t="str">
            <v>ZV66082</v>
          </cell>
          <cell r="G395" t="str">
            <v>7 วัน</v>
          </cell>
          <cell r="H395">
            <v>367</v>
          </cell>
          <cell r="AI395">
            <v>1000</v>
          </cell>
          <cell r="AN395">
            <v>1000</v>
          </cell>
          <cell r="AO395">
            <v>41</v>
          </cell>
          <cell r="AP395">
            <v>3</v>
          </cell>
          <cell r="AQ395">
            <v>0</v>
          </cell>
          <cell r="AR395">
            <v>2</v>
          </cell>
          <cell r="AS395">
            <v>21</v>
          </cell>
          <cell r="AT395">
            <v>21</v>
          </cell>
          <cell r="AU395">
            <v>0</v>
          </cell>
          <cell r="AV395">
            <v>4</v>
          </cell>
          <cell r="AW395">
            <v>29</v>
          </cell>
          <cell r="AX395">
            <v>0</v>
          </cell>
          <cell r="AY395">
            <v>11</v>
          </cell>
          <cell r="AZ395">
            <v>10</v>
          </cell>
          <cell r="BA395">
            <v>24</v>
          </cell>
          <cell r="BB395">
            <v>0</v>
          </cell>
          <cell r="BC395">
            <v>10</v>
          </cell>
          <cell r="BD395">
            <v>0</v>
          </cell>
          <cell r="BE395">
            <v>10</v>
          </cell>
          <cell r="BF395">
            <v>12</v>
          </cell>
          <cell r="BG395">
            <v>20</v>
          </cell>
          <cell r="BH395">
            <v>2</v>
          </cell>
          <cell r="BI395">
            <v>0</v>
          </cell>
          <cell r="BJ395">
            <v>20</v>
          </cell>
          <cell r="BK395">
            <v>0</v>
          </cell>
          <cell r="BL395">
            <v>10</v>
          </cell>
          <cell r="BM395">
            <v>20</v>
          </cell>
          <cell r="BN395">
            <v>11</v>
          </cell>
          <cell r="BO395">
            <v>32</v>
          </cell>
          <cell r="BP395">
            <v>0</v>
          </cell>
          <cell r="BQ395">
            <v>1</v>
          </cell>
          <cell r="BR395">
            <v>21</v>
          </cell>
          <cell r="BS395">
            <v>0</v>
          </cell>
          <cell r="BT395">
            <v>335</v>
          </cell>
        </row>
        <row r="396">
          <cell r="A396" t="str">
            <v>5-S-009</v>
          </cell>
          <cell r="B396" t="str">
            <v xml:space="preserve">ถุงมือยางสีฟ้า  M </v>
          </cell>
          <cell r="C396" t="str">
            <v>กล่อง</v>
          </cell>
          <cell r="D396">
            <v>70</v>
          </cell>
          <cell r="F396" t="str">
            <v>FN2131</v>
          </cell>
          <cell r="G396" t="str">
            <v>7 วัน</v>
          </cell>
          <cell r="H396">
            <v>771</v>
          </cell>
          <cell r="AI396">
            <v>500</v>
          </cell>
          <cell r="AN396">
            <v>500</v>
          </cell>
          <cell r="AO396">
            <v>43</v>
          </cell>
          <cell r="AP396">
            <v>2</v>
          </cell>
          <cell r="AQ396">
            <v>0</v>
          </cell>
          <cell r="AR396">
            <v>3</v>
          </cell>
          <cell r="AS396">
            <v>11</v>
          </cell>
          <cell r="AT396">
            <v>62</v>
          </cell>
          <cell r="AU396">
            <v>0</v>
          </cell>
          <cell r="AV396">
            <v>7</v>
          </cell>
          <cell r="AW396">
            <v>23</v>
          </cell>
          <cell r="AX396">
            <v>3</v>
          </cell>
          <cell r="AY396">
            <v>23</v>
          </cell>
          <cell r="AZ396">
            <v>23</v>
          </cell>
          <cell r="BA396">
            <v>16</v>
          </cell>
          <cell r="BB396">
            <v>0</v>
          </cell>
          <cell r="BC396">
            <v>24</v>
          </cell>
          <cell r="BD396">
            <v>1</v>
          </cell>
          <cell r="BE396">
            <v>15</v>
          </cell>
          <cell r="BF396">
            <v>12</v>
          </cell>
          <cell r="BG396">
            <v>23</v>
          </cell>
          <cell r="BH396">
            <v>6</v>
          </cell>
          <cell r="BI396">
            <v>0</v>
          </cell>
          <cell r="BJ396">
            <v>24</v>
          </cell>
          <cell r="BK396">
            <v>5</v>
          </cell>
          <cell r="BL396">
            <v>22</v>
          </cell>
          <cell r="BM396">
            <v>12</v>
          </cell>
          <cell r="BN396">
            <v>25</v>
          </cell>
          <cell r="BO396">
            <v>34</v>
          </cell>
          <cell r="BP396">
            <v>0</v>
          </cell>
          <cell r="BQ396">
            <v>12</v>
          </cell>
          <cell r="BR396">
            <v>24</v>
          </cell>
          <cell r="BS396">
            <v>2</v>
          </cell>
          <cell r="BT396">
            <v>457</v>
          </cell>
        </row>
        <row r="397">
          <cell r="A397" t="str">
            <v>5-S-010</v>
          </cell>
          <cell r="B397" t="str">
            <v>ถุงมือยางสีฟ้า  L</v>
          </cell>
          <cell r="C397" t="str">
            <v>กล่อง</v>
          </cell>
          <cell r="D397">
            <v>70</v>
          </cell>
          <cell r="F397" t="str">
            <v>FN2132</v>
          </cell>
          <cell r="G397" t="str">
            <v>7 วัน</v>
          </cell>
          <cell r="H397">
            <v>294</v>
          </cell>
          <cell r="AN397">
            <v>0</v>
          </cell>
          <cell r="AO397">
            <v>3</v>
          </cell>
          <cell r="AP397">
            <v>1</v>
          </cell>
          <cell r="AQ397">
            <v>0</v>
          </cell>
          <cell r="AR397">
            <v>4</v>
          </cell>
          <cell r="AS397">
            <v>0</v>
          </cell>
          <cell r="AT397">
            <v>23</v>
          </cell>
          <cell r="AU397">
            <v>0</v>
          </cell>
          <cell r="AV397">
            <v>3</v>
          </cell>
          <cell r="AW397">
            <v>24</v>
          </cell>
          <cell r="AX397">
            <v>22</v>
          </cell>
          <cell r="AY397">
            <v>10</v>
          </cell>
          <cell r="AZ397">
            <v>20</v>
          </cell>
          <cell r="BA397">
            <v>4</v>
          </cell>
          <cell r="BB397">
            <v>0</v>
          </cell>
          <cell r="BC397">
            <v>13</v>
          </cell>
          <cell r="BD397">
            <v>0</v>
          </cell>
          <cell r="BE397">
            <v>13</v>
          </cell>
          <cell r="BF397">
            <v>14</v>
          </cell>
          <cell r="BG397">
            <v>14</v>
          </cell>
          <cell r="BH397">
            <v>5</v>
          </cell>
          <cell r="BI397">
            <v>0</v>
          </cell>
          <cell r="BJ397">
            <v>12</v>
          </cell>
          <cell r="BK397">
            <v>22</v>
          </cell>
          <cell r="BL397">
            <v>2</v>
          </cell>
          <cell r="BM397">
            <v>0</v>
          </cell>
          <cell r="BN397">
            <v>7</v>
          </cell>
          <cell r="BO397">
            <v>4</v>
          </cell>
          <cell r="BP397">
            <v>0</v>
          </cell>
          <cell r="BQ397">
            <v>12</v>
          </cell>
          <cell r="BR397">
            <v>11</v>
          </cell>
          <cell r="BS397">
            <v>3</v>
          </cell>
          <cell r="BT397">
            <v>246</v>
          </cell>
        </row>
        <row r="398">
          <cell r="A398" t="str">
            <v>5-S-014</v>
          </cell>
          <cell r="B398" t="str">
            <v>ถุงบีบเกาหลี  ผ้า 16 นิ้ว 1ลัง*6ม้วน(ม้วนละ500เมตร)</v>
          </cell>
          <cell r="C398" t="str">
            <v>ชิ้น</v>
          </cell>
          <cell r="D398">
            <v>125</v>
          </cell>
          <cell r="G398" t="str">
            <v>7 วัน</v>
          </cell>
          <cell r="H398">
            <v>261</v>
          </cell>
          <cell r="AN398">
            <v>0</v>
          </cell>
          <cell r="AO398">
            <v>3</v>
          </cell>
          <cell r="AP398">
            <v>8</v>
          </cell>
          <cell r="AQ398">
            <v>0</v>
          </cell>
          <cell r="AR398">
            <v>0</v>
          </cell>
          <cell r="AS398">
            <v>0</v>
          </cell>
          <cell r="AT398">
            <v>3</v>
          </cell>
          <cell r="AU398">
            <v>0</v>
          </cell>
          <cell r="AV398">
            <v>8</v>
          </cell>
          <cell r="AW398">
            <v>5</v>
          </cell>
          <cell r="AX398">
            <v>4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7</v>
          </cell>
          <cell r="BK398">
            <v>2</v>
          </cell>
          <cell r="BL398">
            <v>11</v>
          </cell>
          <cell r="BM398">
            <v>2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5</v>
          </cell>
          <cell r="BS398">
            <v>2</v>
          </cell>
          <cell r="BT398">
            <v>60</v>
          </cell>
        </row>
        <row r="399">
          <cell r="A399" t="str">
            <v>5-S-054</v>
          </cell>
          <cell r="B399" t="str">
            <v>ปลอกแขน PE สีฟ้า (ยางรัตหัวท้าย)แพ็คละ 50คู่</v>
          </cell>
          <cell r="C399" t="str">
            <v>แพ็ค</v>
          </cell>
          <cell r="D399">
            <v>0</v>
          </cell>
          <cell r="G399" t="str">
            <v>1 เดือน</v>
          </cell>
          <cell r="H399">
            <v>206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2</v>
          </cell>
          <cell r="AU399">
            <v>0</v>
          </cell>
          <cell r="AV399">
            <v>4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2</v>
          </cell>
          <cell r="BH399">
            <v>3</v>
          </cell>
          <cell r="BI399">
            <v>0</v>
          </cell>
          <cell r="BJ399">
            <v>2</v>
          </cell>
          <cell r="BK399">
            <v>0</v>
          </cell>
          <cell r="BL399">
            <v>2</v>
          </cell>
          <cell r="BM399">
            <v>0</v>
          </cell>
          <cell r="BN399">
            <v>0</v>
          </cell>
          <cell r="BO399">
            <v>2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17</v>
          </cell>
        </row>
        <row r="400">
          <cell r="A400" t="str">
            <v>5-C-467</v>
          </cell>
          <cell r="B400" t="str">
            <v>ช้อนรีน่าขาว  กระสอบละ 4หิ้ว</v>
          </cell>
          <cell r="C400" t="str">
            <v>หิ้ว</v>
          </cell>
          <cell r="D400">
            <v>0</v>
          </cell>
          <cell r="G400" t="str">
            <v>15-20 วัน</v>
          </cell>
          <cell r="H400">
            <v>20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1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1</v>
          </cell>
        </row>
        <row r="401">
          <cell r="A401" t="str">
            <v>5-C-115-1</v>
          </cell>
          <cell r="B401" t="str">
            <v>ฟิมล์ยืด14นิ้ว</v>
          </cell>
          <cell r="C401" t="str">
            <v>ม้วน</v>
          </cell>
          <cell r="D401">
            <v>309</v>
          </cell>
          <cell r="G401" t="str">
            <v>7 วัน</v>
          </cell>
          <cell r="H401">
            <v>402</v>
          </cell>
          <cell r="AN401">
            <v>0</v>
          </cell>
          <cell r="AO401">
            <v>1</v>
          </cell>
          <cell r="AP401">
            <v>10</v>
          </cell>
          <cell r="AQ401">
            <v>0</v>
          </cell>
          <cell r="AR401">
            <v>0</v>
          </cell>
          <cell r="AS401">
            <v>6</v>
          </cell>
          <cell r="AT401">
            <v>6</v>
          </cell>
          <cell r="AU401">
            <v>0</v>
          </cell>
          <cell r="AV401">
            <v>6</v>
          </cell>
          <cell r="AW401">
            <v>0</v>
          </cell>
          <cell r="AX401">
            <v>6</v>
          </cell>
          <cell r="AY401">
            <v>6</v>
          </cell>
          <cell r="AZ401">
            <v>0</v>
          </cell>
          <cell r="BA401">
            <v>6</v>
          </cell>
          <cell r="BB401">
            <v>0</v>
          </cell>
          <cell r="BC401">
            <v>11</v>
          </cell>
          <cell r="BD401">
            <v>8</v>
          </cell>
          <cell r="BE401">
            <v>0</v>
          </cell>
          <cell r="BF401">
            <v>7</v>
          </cell>
          <cell r="BG401">
            <v>0</v>
          </cell>
          <cell r="BH401">
            <v>4</v>
          </cell>
          <cell r="BI401">
            <v>0</v>
          </cell>
          <cell r="BJ401">
            <v>4</v>
          </cell>
          <cell r="BK401">
            <v>6</v>
          </cell>
          <cell r="BL401">
            <v>0</v>
          </cell>
          <cell r="BM401">
            <v>1</v>
          </cell>
          <cell r="BN401">
            <v>0</v>
          </cell>
          <cell r="BO401">
            <v>2</v>
          </cell>
          <cell r="BP401">
            <v>0</v>
          </cell>
          <cell r="BQ401">
            <v>6</v>
          </cell>
          <cell r="BR401">
            <v>0</v>
          </cell>
          <cell r="BS401">
            <v>6</v>
          </cell>
          <cell r="BT401">
            <v>102</v>
          </cell>
        </row>
        <row r="402">
          <cell r="A402" t="str">
            <v>5-C-465</v>
          </cell>
          <cell r="B402" t="str">
            <v>ทิชชู่  ลังละ50 ห่อ</v>
          </cell>
          <cell r="C402" t="str">
            <v>ชิ้น</v>
          </cell>
          <cell r="D402">
            <v>25</v>
          </cell>
          <cell r="G402" t="str">
            <v>3-4 วัน</v>
          </cell>
          <cell r="H402">
            <v>1840</v>
          </cell>
          <cell r="AN402">
            <v>0</v>
          </cell>
          <cell r="AO402">
            <v>3</v>
          </cell>
          <cell r="AP402">
            <v>5</v>
          </cell>
          <cell r="AQ402">
            <v>0</v>
          </cell>
          <cell r="AR402">
            <v>0</v>
          </cell>
          <cell r="AS402">
            <v>12</v>
          </cell>
          <cell r="AT402">
            <v>5</v>
          </cell>
          <cell r="AU402">
            <v>0</v>
          </cell>
          <cell r="AV402">
            <v>22</v>
          </cell>
          <cell r="AW402">
            <v>3</v>
          </cell>
          <cell r="AX402">
            <v>15</v>
          </cell>
          <cell r="AY402">
            <v>0</v>
          </cell>
          <cell r="AZ402">
            <v>2</v>
          </cell>
          <cell r="BA402">
            <v>10</v>
          </cell>
          <cell r="BB402">
            <v>0</v>
          </cell>
          <cell r="BC402">
            <v>12</v>
          </cell>
          <cell r="BD402">
            <v>5</v>
          </cell>
          <cell r="BE402">
            <v>0</v>
          </cell>
          <cell r="BF402">
            <v>15</v>
          </cell>
          <cell r="BG402">
            <v>5</v>
          </cell>
          <cell r="BH402">
            <v>2</v>
          </cell>
          <cell r="BI402">
            <v>0</v>
          </cell>
          <cell r="BJ402">
            <v>0</v>
          </cell>
          <cell r="BK402">
            <v>4</v>
          </cell>
          <cell r="BL402">
            <v>0</v>
          </cell>
          <cell r="BM402">
            <v>5</v>
          </cell>
          <cell r="BN402">
            <v>0</v>
          </cell>
          <cell r="BO402">
            <v>3</v>
          </cell>
          <cell r="BP402">
            <v>0</v>
          </cell>
          <cell r="BQ402">
            <v>3</v>
          </cell>
          <cell r="BR402">
            <v>0</v>
          </cell>
          <cell r="BS402">
            <v>5</v>
          </cell>
          <cell r="BT402">
            <v>136</v>
          </cell>
        </row>
        <row r="403">
          <cell r="A403" t="str">
            <v>5-c-223</v>
          </cell>
          <cell r="B403" t="str">
            <v>หมึกดำ  ฝาแดง</v>
          </cell>
          <cell r="C403" t="str">
            <v>ขวด</v>
          </cell>
          <cell r="D403">
            <v>0</v>
          </cell>
          <cell r="H403">
            <v>1</v>
          </cell>
          <cell r="U403">
            <v>1</v>
          </cell>
          <cell r="AN403">
            <v>1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</row>
        <row r="404">
          <cell r="A404" t="str">
            <v>5-C-213</v>
          </cell>
          <cell r="B404" t="str">
            <v>น้ำยายิงวันที่ ฝาแดง ขวดสีขาว</v>
          </cell>
          <cell r="C404" t="str">
            <v>ขวด</v>
          </cell>
          <cell r="D404">
            <v>1550</v>
          </cell>
          <cell r="G404" t="str">
            <v>1 เดือน</v>
          </cell>
          <cell r="H404">
            <v>16</v>
          </cell>
          <cell r="AE404">
            <v>24</v>
          </cell>
          <cell r="AN404">
            <v>24</v>
          </cell>
          <cell r="AO404">
            <v>3</v>
          </cell>
          <cell r="AP404">
            <v>0</v>
          </cell>
          <cell r="AQ404">
            <v>0</v>
          </cell>
          <cell r="AR404">
            <v>2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3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2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2</v>
          </cell>
          <cell r="BR404">
            <v>0</v>
          </cell>
          <cell r="BS404">
            <v>0</v>
          </cell>
          <cell r="BT404">
            <v>14</v>
          </cell>
        </row>
        <row r="405">
          <cell r="A405" t="str">
            <v>5-C-487</v>
          </cell>
          <cell r="B405" t="str">
            <v>น้ำยายิงวันที่ ฝาเหลือง</v>
          </cell>
          <cell r="C405" t="str">
            <v>ขวด</v>
          </cell>
          <cell r="D405">
            <v>1400</v>
          </cell>
          <cell r="F405" t="str">
            <v>-</v>
          </cell>
          <cell r="G405" t="str">
            <v>1 เดือน</v>
          </cell>
          <cell r="H405">
            <v>29</v>
          </cell>
          <cell r="AN405">
            <v>0</v>
          </cell>
          <cell r="AO405">
            <v>0</v>
          </cell>
          <cell r="AP405">
            <v>2</v>
          </cell>
          <cell r="AQ405">
            <v>0</v>
          </cell>
          <cell r="AR405">
            <v>0</v>
          </cell>
          <cell r="AS405">
            <v>0</v>
          </cell>
          <cell r="AT405">
            <v>2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2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2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1</v>
          </cell>
          <cell r="BS405">
            <v>0</v>
          </cell>
          <cell r="BT405">
            <v>9</v>
          </cell>
        </row>
        <row r="406">
          <cell r="A406" t="str">
            <v>5-C-488</v>
          </cell>
          <cell r="B406" t="str">
            <v>น้ำยาลบวันที่ (ขวดขาว 3.5ลิตร)</v>
          </cell>
          <cell r="C406" t="str">
            <v>แกลลอน</v>
          </cell>
          <cell r="D406">
            <v>1400</v>
          </cell>
          <cell r="F406" t="str">
            <v>-</v>
          </cell>
          <cell r="G406" t="str">
            <v>1 เดือน</v>
          </cell>
          <cell r="H406">
            <v>8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1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1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2</v>
          </cell>
        </row>
        <row r="407">
          <cell r="A407" t="str">
            <v>5-S-002</v>
          </cell>
          <cell r="B407" t="str">
            <v xml:space="preserve">น้ำยาผสม 750 ml. (เครื่องตัวใหม่)     </v>
          </cell>
          <cell r="C407" t="str">
            <v>ขวด</v>
          </cell>
          <cell r="D407">
            <v>900</v>
          </cell>
          <cell r="F407" t="str">
            <v>-</v>
          </cell>
          <cell r="G407" t="str">
            <v>1 เดือน</v>
          </cell>
          <cell r="H407">
            <v>34</v>
          </cell>
          <cell r="AN407">
            <v>0</v>
          </cell>
          <cell r="AO407">
            <v>2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2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2</v>
          </cell>
          <cell r="BA407">
            <v>0</v>
          </cell>
          <cell r="BB407">
            <v>0</v>
          </cell>
          <cell r="BC407">
            <v>0</v>
          </cell>
          <cell r="BD407">
            <v>2</v>
          </cell>
          <cell r="BE407">
            <v>0</v>
          </cell>
          <cell r="BF407">
            <v>2</v>
          </cell>
          <cell r="BG407">
            <v>0</v>
          </cell>
          <cell r="BH407">
            <v>3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2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2</v>
          </cell>
          <cell r="BS407">
            <v>0</v>
          </cell>
          <cell r="BT407">
            <v>17</v>
          </cell>
        </row>
        <row r="408">
          <cell r="A408" t="str">
            <v>5-S-005</v>
          </cell>
          <cell r="B408" t="str">
            <v>น้ำหมึก 750 ml. (เครื่องตัวใหม่)(ไม่ใช้แล้ว)</v>
          </cell>
          <cell r="C408" t="str">
            <v>ขวด</v>
          </cell>
          <cell r="D408">
            <v>0</v>
          </cell>
          <cell r="E408" t="str">
            <v>RJ</v>
          </cell>
          <cell r="F408" t="str">
            <v>-</v>
          </cell>
          <cell r="G408" t="str">
            <v>1 เดือน</v>
          </cell>
          <cell r="H408">
            <v>5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</row>
        <row r="409">
          <cell r="A409" t="str">
            <v>5-C-512</v>
          </cell>
          <cell r="B409" t="str">
            <v>หมึกดำ  ฝาดำ</v>
          </cell>
          <cell r="C409" t="str">
            <v>ขวด</v>
          </cell>
          <cell r="D409">
            <v>0</v>
          </cell>
          <cell r="F409" t="str">
            <v>-</v>
          </cell>
          <cell r="G409" t="str">
            <v>1 เดือน</v>
          </cell>
          <cell r="H409">
            <v>1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</row>
        <row r="410">
          <cell r="A410">
            <v>1060301001</v>
          </cell>
          <cell r="B410" t="str">
            <v>BACK INK-FJ 2550(AA) 750ML น้ำหมึก</v>
          </cell>
          <cell r="C410" t="str">
            <v>ตลับ</v>
          </cell>
          <cell r="H410">
            <v>31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</row>
        <row r="411">
          <cell r="A411">
            <v>1021601019</v>
          </cell>
          <cell r="B411" t="str">
            <v>กล่องบราวนี่ 6 ชิ้น สีขาว</v>
          </cell>
          <cell r="C411" t="str">
            <v>ใบ</v>
          </cell>
          <cell r="D411">
            <v>0</v>
          </cell>
          <cell r="H411">
            <v>880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40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40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80</v>
          </cell>
        </row>
        <row r="412">
          <cell r="A412" t="str">
            <v>PK-BC-67-001</v>
          </cell>
          <cell r="B412" t="str">
            <v>กล่องเค้กหน้านิ่ม 12 ชิ้น ธรรมดา</v>
          </cell>
          <cell r="C412" t="str">
            <v>ใบ</v>
          </cell>
          <cell r="D412">
            <v>0</v>
          </cell>
          <cell r="E412" t="str">
            <v>RJ</v>
          </cell>
          <cell r="F412" t="str">
            <v>-</v>
          </cell>
          <cell r="G412" t="str">
            <v>1 เดือน</v>
          </cell>
          <cell r="H412">
            <v>1500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</row>
        <row r="413">
          <cell r="A413">
            <v>1021401001</v>
          </cell>
          <cell r="B413" t="str">
            <v>กล่องเค้กหน้านิ่ม 12 ชิ้น ขอบสีทอง</v>
          </cell>
          <cell r="C413" t="str">
            <v>ใบ</v>
          </cell>
          <cell r="D413">
            <v>0</v>
          </cell>
          <cell r="E413" t="str">
            <v>RJ</v>
          </cell>
          <cell r="F413" t="str">
            <v>-</v>
          </cell>
          <cell r="G413" t="str">
            <v>1 เดือน</v>
          </cell>
          <cell r="H413">
            <v>2100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</row>
        <row r="414">
          <cell r="A414">
            <v>1020701004</v>
          </cell>
          <cell r="B414" t="str">
            <v>กล่อง E159 ฐานสีทอง แถวละ50 ลังละ600</v>
          </cell>
          <cell r="C414" t="str">
            <v>ใบ</v>
          </cell>
          <cell r="D414">
            <v>0</v>
          </cell>
          <cell r="F414" t="str">
            <v>-</v>
          </cell>
          <cell r="G414" t="str">
            <v>1 เดือน</v>
          </cell>
          <cell r="H414">
            <v>40400</v>
          </cell>
          <cell r="AN414">
            <v>0</v>
          </cell>
          <cell r="AO414">
            <v>100</v>
          </cell>
          <cell r="AP414">
            <v>150</v>
          </cell>
          <cell r="AQ414">
            <v>0</v>
          </cell>
          <cell r="AR414">
            <v>0</v>
          </cell>
          <cell r="AS414">
            <v>50</v>
          </cell>
          <cell r="AT414">
            <v>50</v>
          </cell>
          <cell r="AU414">
            <v>0</v>
          </cell>
          <cell r="AV414">
            <v>100</v>
          </cell>
          <cell r="AW414">
            <v>50</v>
          </cell>
          <cell r="AX414">
            <v>100</v>
          </cell>
          <cell r="AY414">
            <v>50</v>
          </cell>
          <cell r="AZ414">
            <v>50</v>
          </cell>
          <cell r="BA414">
            <v>50</v>
          </cell>
          <cell r="BB414">
            <v>0</v>
          </cell>
          <cell r="BC414">
            <v>100</v>
          </cell>
          <cell r="BD414">
            <v>100</v>
          </cell>
          <cell r="BE414">
            <v>0</v>
          </cell>
          <cell r="BF414">
            <v>50</v>
          </cell>
          <cell r="BG414">
            <v>100</v>
          </cell>
          <cell r="BH414">
            <v>50</v>
          </cell>
          <cell r="BI414">
            <v>0</v>
          </cell>
          <cell r="BJ414">
            <v>100</v>
          </cell>
          <cell r="BK414">
            <v>100</v>
          </cell>
          <cell r="BL414">
            <v>50</v>
          </cell>
          <cell r="BM414">
            <v>50</v>
          </cell>
          <cell r="BN414">
            <v>0</v>
          </cell>
          <cell r="BO414">
            <v>0</v>
          </cell>
          <cell r="BP414">
            <v>0</v>
          </cell>
          <cell r="BQ414">
            <v>100</v>
          </cell>
          <cell r="BR414">
            <v>50</v>
          </cell>
          <cell r="BS414">
            <v>50</v>
          </cell>
          <cell r="BT414">
            <v>1650</v>
          </cell>
        </row>
        <row r="415">
          <cell r="A415" t="str">
            <v>1020401001-1</v>
          </cell>
          <cell r="B415" t="str">
            <v>กล่องเค้ก 3 ปอนด์</v>
          </cell>
          <cell r="C415" t="str">
            <v>ใบ</v>
          </cell>
          <cell r="H415">
            <v>45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</row>
        <row r="416">
          <cell r="A416" t="str">
            <v>1020101007-1</v>
          </cell>
          <cell r="B416" t="str">
            <v>ฐานรองเค้ก 3 ปอนด์</v>
          </cell>
          <cell r="C416" t="str">
            <v>ใบ</v>
          </cell>
          <cell r="H416">
            <v>45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</row>
        <row r="417">
          <cell r="A417" t="str">
            <v>1022301002-1</v>
          </cell>
          <cell r="B417" t="str">
            <v>ถุงหูหิ้ว 15*22</v>
          </cell>
          <cell r="C417" t="str">
            <v>แพ็ค*500กรัม</v>
          </cell>
          <cell r="H417">
            <v>2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</row>
        <row r="418">
          <cell r="A418">
            <v>1020201001</v>
          </cell>
          <cell r="B418" t="str">
            <v>สติ๊กเกอร์สายคาดมาม่อนเค้ก</v>
          </cell>
          <cell r="C418" t="str">
            <v>ดวง</v>
          </cell>
          <cell r="D418">
            <v>0</v>
          </cell>
          <cell r="E418" t="str">
            <v>RJ</v>
          </cell>
          <cell r="F418" t="str">
            <v>-</v>
          </cell>
          <cell r="G418" t="str">
            <v>1 เดือน</v>
          </cell>
          <cell r="H418">
            <v>34327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</row>
        <row r="419">
          <cell r="A419">
            <v>1020201002</v>
          </cell>
          <cell r="B419" t="str">
            <v>สติ๊กเกอร์สายคาดมูสชาไทย เลิกใช้</v>
          </cell>
          <cell r="C419" t="str">
            <v>ดวง</v>
          </cell>
          <cell r="D419">
            <v>0</v>
          </cell>
          <cell r="E419" t="str">
            <v>RJ</v>
          </cell>
          <cell r="F419" t="str">
            <v>-</v>
          </cell>
          <cell r="G419" t="str">
            <v>1 เดือน</v>
          </cell>
          <cell r="H419">
            <v>6919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</row>
        <row r="420">
          <cell r="A420">
            <v>1020201008</v>
          </cell>
          <cell r="B420" t="str">
            <v>สติ๊กเกอร์บาร์โค๊ดขนมปังพิซซ่าโบน่า</v>
          </cell>
          <cell r="C420" t="str">
            <v>ดวง</v>
          </cell>
          <cell r="D420">
            <v>0</v>
          </cell>
          <cell r="E420" t="str">
            <v>RJ</v>
          </cell>
          <cell r="F420" t="str">
            <v>-</v>
          </cell>
          <cell r="G420" t="str">
            <v>1 เดือน</v>
          </cell>
          <cell r="H420">
            <v>10010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</row>
        <row r="421">
          <cell r="A421">
            <v>1020201006</v>
          </cell>
          <cell r="B421" t="str">
            <v>สติ๊กเกอร์สายคาด 12 ชิ้น หน้าแยม</v>
          </cell>
          <cell r="C421" t="str">
            <v>ดวง</v>
          </cell>
          <cell r="D421">
            <v>0</v>
          </cell>
          <cell r="E421" t="str">
            <v>RJ</v>
          </cell>
          <cell r="F421" t="str">
            <v>-</v>
          </cell>
          <cell r="G421" t="str">
            <v>1 เดือน</v>
          </cell>
          <cell r="H421">
            <v>1870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</row>
        <row r="422">
          <cell r="A422">
            <v>1020201007</v>
          </cell>
          <cell r="B422" t="str">
            <v>สติ๊กเกอร์สายคาด 12 ชิ้น หน้าขนมไทย</v>
          </cell>
          <cell r="C422" t="str">
            <v>ดวง</v>
          </cell>
          <cell r="D422">
            <v>0</v>
          </cell>
          <cell r="E422" t="str">
            <v>RJ</v>
          </cell>
          <cell r="F422" t="str">
            <v>-</v>
          </cell>
          <cell r="G422" t="str">
            <v>1 เดือน</v>
          </cell>
          <cell r="H422">
            <v>2450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</row>
        <row r="423">
          <cell r="A423">
            <v>1020201009</v>
          </cell>
          <cell r="B423" t="str">
            <v>สติ๊กเกอร์สายคาดเค้กโบราณคริสต์มาส</v>
          </cell>
          <cell r="C423" t="str">
            <v>ดวง</v>
          </cell>
          <cell r="D423">
            <v>0</v>
          </cell>
          <cell r="E423" t="str">
            <v>RJ</v>
          </cell>
          <cell r="F423" t="str">
            <v>-</v>
          </cell>
          <cell r="G423" t="str">
            <v>1 เดือน</v>
          </cell>
          <cell r="H423">
            <v>2686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</row>
        <row r="424">
          <cell r="A424">
            <v>1020201010</v>
          </cell>
          <cell r="B424" t="str">
            <v>สติ๊กเกอร์สายคาดช็อคโกแลตดูไบ เลิกใช้</v>
          </cell>
          <cell r="C424" t="str">
            <v>ดวง</v>
          </cell>
          <cell r="D424">
            <v>0</v>
          </cell>
          <cell r="E424" t="str">
            <v>RJ</v>
          </cell>
          <cell r="F424" t="str">
            <v>-</v>
          </cell>
          <cell r="G424" t="str">
            <v>1 เดือน</v>
          </cell>
          <cell r="H424">
            <v>2636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</row>
        <row r="425">
          <cell r="A425">
            <v>1020201012</v>
          </cell>
          <cell r="B425" t="str">
            <v>สติ๊กเกอร์สายคาดเอแคร์โกโก้ดัทช์แบบใส BC  เลิกใช้</v>
          </cell>
          <cell r="C425" t="str">
            <v>ดวง</v>
          </cell>
          <cell r="D425">
            <v>0</v>
          </cell>
          <cell r="E425" t="str">
            <v>RJ</v>
          </cell>
          <cell r="F425" t="str">
            <v>-</v>
          </cell>
          <cell r="G425" t="str">
            <v>1 เดือน</v>
          </cell>
          <cell r="H425">
            <v>356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</row>
        <row r="426">
          <cell r="A426">
            <v>1020201011</v>
          </cell>
          <cell r="B426" t="str">
            <v>สติ๊กเกอร์สายคาดมิดไนท์โกโก้ดัทช์แบบใส BC เลิกใช้</v>
          </cell>
          <cell r="C426" t="str">
            <v>ดวง</v>
          </cell>
          <cell r="D426">
            <v>0</v>
          </cell>
          <cell r="E426" t="str">
            <v>RJ</v>
          </cell>
          <cell r="F426" t="str">
            <v>-</v>
          </cell>
          <cell r="G426" t="str">
            <v>1 เดือน</v>
          </cell>
          <cell r="H426">
            <v>37552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</row>
        <row r="427">
          <cell r="A427">
            <v>1020201013</v>
          </cell>
          <cell r="B427" t="str">
            <v>สติ๊กเกอร์สายคาดมะม่วงครีมชีสครัมเบิ้ล BC</v>
          </cell>
          <cell r="C427" t="str">
            <v>ดวง</v>
          </cell>
          <cell r="D427">
            <v>0</v>
          </cell>
          <cell r="F427" t="str">
            <v>-</v>
          </cell>
          <cell r="G427" t="str">
            <v>1 เดือน</v>
          </cell>
          <cell r="H427">
            <v>5396</v>
          </cell>
          <cell r="AN427">
            <v>0</v>
          </cell>
          <cell r="AO427">
            <v>0</v>
          </cell>
          <cell r="AP427">
            <v>600</v>
          </cell>
          <cell r="AQ427">
            <v>0</v>
          </cell>
          <cell r="AR427">
            <v>650</v>
          </cell>
          <cell r="AS427">
            <v>894</v>
          </cell>
          <cell r="AT427">
            <v>1500</v>
          </cell>
          <cell r="AU427">
            <v>0</v>
          </cell>
          <cell r="AV427">
            <v>600</v>
          </cell>
          <cell r="AW427">
            <v>0</v>
          </cell>
          <cell r="AX427">
            <v>600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4844</v>
          </cell>
        </row>
        <row r="428">
          <cell r="A428">
            <v>1020201014</v>
          </cell>
          <cell r="B428" t="str">
            <v>สติ๊กเกอร์สายคาดทิรามิสุ BC</v>
          </cell>
          <cell r="C428" t="str">
            <v>ดวง</v>
          </cell>
          <cell r="D428">
            <v>0</v>
          </cell>
          <cell r="F428" t="str">
            <v>-</v>
          </cell>
          <cell r="G428" t="str">
            <v>1 เดือน</v>
          </cell>
          <cell r="H428">
            <v>12214</v>
          </cell>
          <cell r="V428">
            <v>25000</v>
          </cell>
          <cell r="Z428">
            <v>5000</v>
          </cell>
          <cell r="AN428">
            <v>30000</v>
          </cell>
          <cell r="AO428">
            <v>1000</v>
          </cell>
          <cell r="AP428">
            <v>1000</v>
          </cell>
          <cell r="AQ428">
            <v>0</v>
          </cell>
          <cell r="AR428">
            <v>539</v>
          </cell>
          <cell r="AS428">
            <v>1000</v>
          </cell>
          <cell r="AT428">
            <v>1000</v>
          </cell>
          <cell r="AU428">
            <v>0</v>
          </cell>
          <cell r="AV428">
            <v>1000</v>
          </cell>
          <cell r="AW428">
            <v>0</v>
          </cell>
          <cell r="AX428">
            <v>1000</v>
          </cell>
          <cell r="AY428">
            <v>1000</v>
          </cell>
          <cell r="AZ428">
            <v>1000</v>
          </cell>
          <cell r="BA428">
            <v>1000</v>
          </cell>
          <cell r="BB428">
            <v>0</v>
          </cell>
          <cell r="BC428">
            <v>1000</v>
          </cell>
          <cell r="BD428">
            <v>420</v>
          </cell>
          <cell r="BE428">
            <v>880</v>
          </cell>
          <cell r="BF428">
            <v>0</v>
          </cell>
          <cell r="BG428">
            <v>0</v>
          </cell>
          <cell r="BH428">
            <v>1000</v>
          </cell>
          <cell r="BI428">
            <v>0</v>
          </cell>
          <cell r="BJ428">
            <v>375</v>
          </cell>
          <cell r="BK428">
            <v>256</v>
          </cell>
          <cell r="BL428">
            <v>1000</v>
          </cell>
          <cell r="BM428">
            <v>1000</v>
          </cell>
          <cell r="BN428">
            <v>416</v>
          </cell>
          <cell r="BO428">
            <v>1000</v>
          </cell>
          <cell r="BP428">
            <v>0</v>
          </cell>
          <cell r="BQ428">
            <v>1000</v>
          </cell>
          <cell r="BR428">
            <v>484</v>
          </cell>
          <cell r="BS428">
            <v>1000</v>
          </cell>
          <cell r="BT428">
            <v>19370</v>
          </cell>
        </row>
        <row r="429">
          <cell r="A429">
            <v>1020201015</v>
          </cell>
          <cell r="B429" t="str">
            <v>สติ๊กเกอร์สายคาดเอแคลร์นมสด 6ชิ้น CJ  V.4-20241114(ตัวใหม่)  (ไม่ใช้)</v>
          </cell>
          <cell r="C429" t="str">
            <v>ดวง</v>
          </cell>
          <cell r="D429">
            <v>0</v>
          </cell>
          <cell r="E429" t="str">
            <v>RJ</v>
          </cell>
          <cell r="F429" t="str">
            <v>-</v>
          </cell>
          <cell r="G429" t="str">
            <v>1 เดือน</v>
          </cell>
          <cell r="H429">
            <v>2732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</row>
        <row r="430">
          <cell r="A430">
            <v>1023401088</v>
          </cell>
          <cell r="B430" t="str">
            <v xml:space="preserve">สติ๊กเกอร์สายคาดเอแคลร์นมสดใส V6-20251111 (CJ) </v>
          </cell>
          <cell r="C430" t="str">
            <v>ดวง</v>
          </cell>
          <cell r="H430">
            <v>8902</v>
          </cell>
          <cell r="M430">
            <v>5000</v>
          </cell>
          <cell r="N430">
            <v>35000</v>
          </cell>
          <cell r="AI430">
            <v>30000</v>
          </cell>
          <cell r="AN430">
            <v>70000</v>
          </cell>
          <cell r="AO430">
            <v>4000</v>
          </cell>
          <cell r="AP430">
            <v>336</v>
          </cell>
          <cell r="AQ430">
            <v>0</v>
          </cell>
          <cell r="AR430">
            <v>4566</v>
          </cell>
          <cell r="AS430">
            <v>0</v>
          </cell>
          <cell r="AT430">
            <v>5000</v>
          </cell>
          <cell r="AU430">
            <v>0</v>
          </cell>
          <cell r="AV430">
            <v>4201</v>
          </cell>
          <cell r="AW430">
            <v>1201</v>
          </cell>
          <cell r="AX430">
            <v>3260</v>
          </cell>
          <cell r="AY430">
            <v>1000</v>
          </cell>
          <cell r="AZ430">
            <v>1261</v>
          </cell>
          <cell r="BA430">
            <v>2579</v>
          </cell>
          <cell r="BB430">
            <v>0</v>
          </cell>
          <cell r="BC430">
            <v>2534</v>
          </cell>
          <cell r="BD430">
            <v>2000</v>
          </cell>
          <cell r="BE430">
            <v>2010</v>
          </cell>
          <cell r="BF430">
            <v>1102</v>
          </cell>
          <cell r="BG430">
            <v>2000</v>
          </cell>
          <cell r="BH430">
            <v>2000</v>
          </cell>
          <cell r="BI430">
            <v>0</v>
          </cell>
          <cell r="BJ430">
            <v>2000</v>
          </cell>
          <cell r="BK430">
            <v>2000</v>
          </cell>
          <cell r="BL430">
            <v>2228</v>
          </cell>
          <cell r="BM430">
            <v>1988</v>
          </cell>
          <cell r="BN430">
            <v>1636</v>
          </cell>
          <cell r="BO430">
            <v>3000</v>
          </cell>
          <cell r="BP430">
            <v>0</v>
          </cell>
          <cell r="BQ430">
            <v>2000</v>
          </cell>
          <cell r="BR430">
            <v>2000</v>
          </cell>
          <cell r="BS430">
            <v>2000</v>
          </cell>
          <cell r="BT430">
            <v>57902</v>
          </cell>
        </row>
        <row r="431">
          <cell r="A431">
            <v>1020201016</v>
          </cell>
          <cell r="B431" t="str">
            <v>สติ๊กเกอร์สายคาดปังสังขยา 6ชิ้น CJ  (ไม่ใช้)</v>
          </cell>
          <cell r="C431" t="str">
            <v>ดวง</v>
          </cell>
          <cell r="D431">
            <v>0</v>
          </cell>
          <cell r="E431" t="str">
            <v>RJ</v>
          </cell>
          <cell r="H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</row>
        <row r="432">
          <cell r="A432">
            <v>1023401072</v>
          </cell>
          <cell r="B432" t="str">
            <v>สติ๊กเกอร์สายคาดปังสังขยา 6ชิ้น CJ V6-20250912(แบบใหม่)</v>
          </cell>
          <cell r="C432" t="str">
            <v>ดวง</v>
          </cell>
          <cell r="H432">
            <v>52060</v>
          </cell>
          <cell r="AI432">
            <v>30000</v>
          </cell>
          <cell r="AN432">
            <v>30000</v>
          </cell>
          <cell r="AO432">
            <v>3000</v>
          </cell>
          <cell r="AP432">
            <v>1200</v>
          </cell>
          <cell r="AQ432">
            <v>0</v>
          </cell>
          <cell r="AR432">
            <v>2300</v>
          </cell>
          <cell r="AS432">
            <v>3000</v>
          </cell>
          <cell r="AT432">
            <v>2500</v>
          </cell>
          <cell r="AU432">
            <v>0</v>
          </cell>
          <cell r="AV432">
            <v>2000</v>
          </cell>
          <cell r="AW432">
            <v>2000</v>
          </cell>
          <cell r="AX432">
            <v>4000</v>
          </cell>
          <cell r="AY432">
            <v>1400</v>
          </cell>
          <cell r="AZ432">
            <v>1000</v>
          </cell>
          <cell r="BA432">
            <v>1300</v>
          </cell>
          <cell r="BB432">
            <v>0</v>
          </cell>
          <cell r="BC432">
            <v>3000</v>
          </cell>
          <cell r="BD432">
            <v>2000</v>
          </cell>
          <cell r="BE432">
            <v>1998</v>
          </cell>
          <cell r="BF432">
            <v>3000</v>
          </cell>
          <cell r="BG432">
            <v>400</v>
          </cell>
          <cell r="BH432">
            <v>2000</v>
          </cell>
          <cell r="BI432">
            <v>0</v>
          </cell>
          <cell r="BJ432">
            <v>2000</v>
          </cell>
          <cell r="BK432">
            <v>2200</v>
          </cell>
          <cell r="BL432">
            <v>2000</v>
          </cell>
          <cell r="BM432">
            <v>2800</v>
          </cell>
          <cell r="BN432">
            <v>2000</v>
          </cell>
          <cell r="BO432">
            <v>3068</v>
          </cell>
          <cell r="BP432">
            <v>0</v>
          </cell>
          <cell r="BQ432">
            <v>1500</v>
          </cell>
          <cell r="BR432">
            <v>2000</v>
          </cell>
          <cell r="BS432">
            <v>0</v>
          </cell>
          <cell r="BT432">
            <v>53666</v>
          </cell>
        </row>
        <row r="433">
          <cell r="A433">
            <v>1020201017</v>
          </cell>
          <cell r="B433" t="str">
            <v>สติ๊กเกอร์สายคาดครีมฮอร์วนิลา 3ชิ้น CJ  (ตัวใหม่) ยกเลิกใช้</v>
          </cell>
          <cell r="C433" t="str">
            <v>ดวง</v>
          </cell>
          <cell r="D433">
            <v>0</v>
          </cell>
          <cell r="E433" t="str">
            <v>RJ</v>
          </cell>
          <cell r="F433" t="str">
            <v>-</v>
          </cell>
          <cell r="G433" t="str">
            <v>1 เดือน</v>
          </cell>
          <cell r="H433">
            <v>4973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</row>
        <row r="434">
          <cell r="A434">
            <v>1023401025</v>
          </cell>
          <cell r="B434" t="str">
            <v>สติ๊กเกอร์สายคาดครีมฮอนวนิลา CJ(สีเข้ม) V5-20250626  ไม่ใช้</v>
          </cell>
          <cell r="C434" t="str">
            <v>ดวง</v>
          </cell>
          <cell r="E434" t="str">
            <v>RJ</v>
          </cell>
          <cell r="H434">
            <v>3576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</row>
        <row r="435">
          <cell r="A435">
            <v>1023401070</v>
          </cell>
          <cell r="B435" t="str">
            <v>สติ๊กเกอร์สายคาดครีมฮอนวนิลา V6-2025113 (CJ) แบบใหม่   เลิกใช้</v>
          </cell>
          <cell r="C435" t="str">
            <v>ดวง</v>
          </cell>
          <cell r="E435" t="str">
            <v>RJ</v>
          </cell>
          <cell r="H435">
            <v>2852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</row>
        <row r="436">
          <cell r="A436">
            <v>1023401101</v>
          </cell>
          <cell r="B436" t="str">
            <v>สติ๊กเกอร์สายคาดครีมฮอนวนิลากลิ่นคาราเมล V7-20251211 (CJ) แบบใหม่</v>
          </cell>
          <cell r="C436" t="str">
            <v>ดวง</v>
          </cell>
          <cell r="H436">
            <v>5344</v>
          </cell>
          <cell r="N436">
            <v>14000</v>
          </cell>
          <cell r="AN436">
            <v>14000</v>
          </cell>
          <cell r="AO436">
            <v>1300</v>
          </cell>
          <cell r="AP436">
            <v>600</v>
          </cell>
          <cell r="AQ436">
            <v>0</v>
          </cell>
          <cell r="AR436">
            <v>1000</v>
          </cell>
          <cell r="AS436">
            <v>1164</v>
          </cell>
          <cell r="AT436">
            <v>1280</v>
          </cell>
          <cell r="AU436">
            <v>0</v>
          </cell>
          <cell r="AV436">
            <v>300</v>
          </cell>
          <cell r="AW436">
            <v>1000</v>
          </cell>
          <cell r="AX436">
            <v>200</v>
          </cell>
          <cell r="AY436">
            <v>1000</v>
          </cell>
          <cell r="AZ436">
            <v>1000</v>
          </cell>
          <cell r="BA436">
            <v>1000</v>
          </cell>
          <cell r="BB436">
            <v>0</v>
          </cell>
          <cell r="BC436">
            <v>1000</v>
          </cell>
          <cell r="BD436">
            <v>700</v>
          </cell>
          <cell r="BE436">
            <v>8</v>
          </cell>
          <cell r="BF436">
            <v>1000</v>
          </cell>
          <cell r="BG436">
            <v>792</v>
          </cell>
          <cell r="BH436">
            <v>1000</v>
          </cell>
          <cell r="BI436">
            <v>0</v>
          </cell>
          <cell r="BJ436">
            <v>0</v>
          </cell>
          <cell r="BK436">
            <v>612</v>
          </cell>
          <cell r="BL436">
            <v>1000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15956</v>
          </cell>
        </row>
        <row r="437">
          <cell r="A437">
            <v>1020201018</v>
          </cell>
          <cell r="B437" t="str">
            <v>สติ๊กเกอร์สายคาดมะม่วงชีสพาย (สาขาสีลม)</v>
          </cell>
          <cell r="C437" t="str">
            <v>ดวง</v>
          </cell>
          <cell r="D437">
            <v>0</v>
          </cell>
          <cell r="E437" t="str">
            <v>RJ</v>
          </cell>
          <cell r="F437" t="str">
            <v>-</v>
          </cell>
          <cell r="G437" t="str">
            <v>1 เดือน</v>
          </cell>
          <cell r="H437">
            <v>725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</row>
        <row r="438">
          <cell r="A438">
            <v>1020201019</v>
          </cell>
          <cell r="B438" t="str">
            <v>สติ๊กเกอร์สายคาดเค้กมะพร้าวหน้านิ่ม (สาขาสีลม)</v>
          </cell>
          <cell r="C438" t="str">
            <v>ดวง</v>
          </cell>
          <cell r="D438">
            <v>0</v>
          </cell>
          <cell r="E438" t="str">
            <v>RJ</v>
          </cell>
          <cell r="H438">
            <v>720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</row>
        <row r="439">
          <cell r="A439">
            <v>1020201020</v>
          </cell>
          <cell r="B439" t="str">
            <v>สติ๊กเกอร์สายคาดเค้กทุเรียน (สาขาสีลม)</v>
          </cell>
          <cell r="C439" t="str">
            <v>ดวง</v>
          </cell>
          <cell r="D439">
            <v>0</v>
          </cell>
          <cell r="E439" t="str">
            <v>RJ</v>
          </cell>
          <cell r="F439" t="str">
            <v>-</v>
          </cell>
          <cell r="G439" t="str">
            <v>1 เดือน</v>
          </cell>
          <cell r="H439">
            <v>705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</row>
        <row r="440">
          <cell r="A440">
            <v>1020201021</v>
          </cell>
          <cell r="B440" t="str">
            <v>สติ๊กเกอร์สายคาดเค้กลอดช่อง (สาขาสีลม)</v>
          </cell>
          <cell r="C440" t="str">
            <v>ดวง</v>
          </cell>
          <cell r="D440">
            <v>0</v>
          </cell>
          <cell r="E440" t="str">
            <v>RJ</v>
          </cell>
          <cell r="F440" t="str">
            <v>-</v>
          </cell>
          <cell r="G440" t="str">
            <v>1 เดือน</v>
          </cell>
          <cell r="H440">
            <v>1050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</row>
        <row r="441">
          <cell r="A441">
            <v>1023101001</v>
          </cell>
          <cell r="B441" t="str">
            <v>สติ๊กเกอร์ขนมปังแฮมเห็ดมายองเนส  เลิกใช้</v>
          </cell>
          <cell r="C441" t="str">
            <v>ดวง</v>
          </cell>
          <cell r="D441">
            <v>0</v>
          </cell>
          <cell r="E441" t="str">
            <v>RJ</v>
          </cell>
          <cell r="F441" t="str">
            <v>-</v>
          </cell>
          <cell r="G441" t="str">
            <v>1 เดือน</v>
          </cell>
          <cell r="H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</row>
        <row r="442">
          <cell r="A442">
            <v>1020201034</v>
          </cell>
          <cell r="B442" t="str">
            <v>สติ๊กเกอร์ขนมปังแฮมเห็ดมายองเนส ไม่มีคำว่าใหม่  เลิกใช้</v>
          </cell>
          <cell r="C442" t="str">
            <v>ดวง</v>
          </cell>
          <cell r="D442">
            <v>0</v>
          </cell>
          <cell r="E442" t="str">
            <v>RJ</v>
          </cell>
          <cell r="F442" t="str">
            <v>-</v>
          </cell>
          <cell r="G442" t="str">
            <v>1 เดือน</v>
          </cell>
          <cell r="H442">
            <v>1752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</row>
        <row r="443">
          <cell r="A443">
            <v>1020201022</v>
          </cell>
          <cell r="B443" t="str">
            <v>สติ๊กเกอร์สายคาดโดนัทเคลือบไวท์ช็อคโกแลตสตรอเบอรี่ เลิกใช้</v>
          </cell>
          <cell r="C443" t="str">
            <v>ดวง</v>
          </cell>
          <cell r="D443">
            <v>0</v>
          </cell>
          <cell r="E443" t="str">
            <v>RJ</v>
          </cell>
          <cell r="F443" t="str">
            <v>-</v>
          </cell>
          <cell r="G443" t="str">
            <v>1 เดือน</v>
          </cell>
          <cell r="H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</row>
        <row r="444">
          <cell r="A444">
            <v>1020201023</v>
          </cell>
          <cell r="B444" t="str">
            <v>สติ๊กเกอร์สายคาดมูสนมชมพูพุดดิ้ง เลิกใช้</v>
          </cell>
          <cell r="C444" t="str">
            <v>ดวง</v>
          </cell>
          <cell r="D444">
            <v>0</v>
          </cell>
          <cell r="E444" t="str">
            <v>RJ</v>
          </cell>
          <cell r="F444" t="str">
            <v>-</v>
          </cell>
          <cell r="G444" t="str">
            <v>1 เดือน</v>
          </cell>
          <cell r="H444">
            <v>7220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</row>
        <row r="445">
          <cell r="A445">
            <v>1020201024</v>
          </cell>
          <cell r="B445" t="str">
            <v>สติ๊กเกอร์สายคาดช็อกโกแลตเลิฟเวอร์  เลิกใช้</v>
          </cell>
          <cell r="C445" t="str">
            <v>ดวง</v>
          </cell>
          <cell r="D445">
            <v>0</v>
          </cell>
          <cell r="E445" t="str">
            <v>RJ</v>
          </cell>
          <cell r="F445" t="str">
            <v>-</v>
          </cell>
          <cell r="G445" t="str">
            <v>1 เดือน</v>
          </cell>
          <cell r="H445">
            <v>373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</row>
        <row r="446">
          <cell r="A446">
            <v>1020201025</v>
          </cell>
          <cell r="B446" t="str">
            <v>สติ๊กเกอร์สายคาดเครปโรลฝอยทอง</v>
          </cell>
          <cell r="C446" t="str">
            <v>ดวง</v>
          </cell>
          <cell r="D446">
            <v>0</v>
          </cell>
          <cell r="E446" t="str">
            <v>RJ</v>
          </cell>
          <cell r="F446" t="str">
            <v>-</v>
          </cell>
          <cell r="G446" t="str">
            <v>1 เดือน</v>
          </cell>
          <cell r="H446">
            <v>4400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</row>
        <row r="447">
          <cell r="A447" t="str">
            <v>1023001001-1</v>
          </cell>
          <cell r="B447" t="str">
            <v>ฟิมล์หด PVC ตัดรีดโค้งหักมุม  เลิกใช้</v>
          </cell>
          <cell r="C447" t="str">
            <v>กิโลกรัม</v>
          </cell>
          <cell r="D447">
            <v>0</v>
          </cell>
          <cell r="E447" t="str">
            <v>RJ</v>
          </cell>
          <cell r="F447" t="str">
            <v>-</v>
          </cell>
          <cell r="G447" t="str">
            <v>1 เดือน</v>
          </cell>
          <cell r="H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</row>
        <row r="448">
          <cell r="A448" t="str">
            <v>1023001002-1</v>
          </cell>
          <cell r="B448" t="str">
            <v>ฟิมล์หด PVC 148 มม.*220 มม.*0.06 มม.</v>
          </cell>
          <cell r="C448" t="str">
            <v>กิโลกรัม</v>
          </cell>
          <cell r="D448">
            <v>0</v>
          </cell>
          <cell r="E448" t="str">
            <v>RJ</v>
          </cell>
          <cell r="F448" t="str">
            <v>-</v>
          </cell>
          <cell r="G448" t="str">
            <v>1 เดือน</v>
          </cell>
          <cell r="H448">
            <v>404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</row>
        <row r="449">
          <cell r="A449">
            <v>1022501001</v>
          </cell>
          <cell r="B449" t="str">
            <v>ถาดฟอย 3207-P ตัว+ฝา เลิกใช้</v>
          </cell>
          <cell r="C449" t="str">
            <v>ใบ</v>
          </cell>
          <cell r="D449">
            <v>0</v>
          </cell>
          <cell r="E449" t="str">
            <v>RJ</v>
          </cell>
          <cell r="F449" t="str">
            <v>-</v>
          </cell>
          <cell r="G449" t="str">
            <v>1 เดือน</v>
          </cell>
          <cell r="H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</row>
        <row r="450">
          <cell r="A450">
            <v>1022501003</v>
          </cell>
          <cell r="B450" t="str">
            <v>ถาดฟอย 3207-A ตัว (1ห่อ*1400 ชิ้น)(ทาร์ตมะพร้าว) เลิกใช้</v>
          </cell>
          <cell r="C450" t="str">
            <v>ใบ</v>
          </cell>
          <cell r="D450">
            <v>0</v>
          </cell>
          <cell r="E450" t="str">
            <v>RJ</v>
          </cell>
          <cell r="F450" t="str">
            <v>-</v>
          </cell>
          <cell r="G450" t="str">
            <v>1 เดือน</v>
          </cell>
          <cell r="H450">
            <v>15400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</row>
        <row r="451">
          <cell r="A451">
            <v>1022501002</v>
          </cell>
          <cell r="B451" t="str">
            <v>ฝาพลาสติก 3207 (1ห่อ*1400 ชิ้น)(ทาร์ตมะพร้าว) เลิกใช้</v>
          </cell>
          <cell r="C451" t="str">
            <v>ใบ</v>
          </cell>
          <cell r="D451">
            <v>0</v>
          </cell>
          <cell r="E451" t="str">
            <v>RJ</v>
          </cell>
          <cell r="F451" t="str">
            <v>-</v>
          </cell>
          <cell r="G451" t="str">
            <v>1 เดือน</v>
          </cell>
          <cell r="H451">
            <v>15400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</row>
        <row r="452">
          <cell r="A452">
            <v>1020301001</v>
          </cell>
          <cell r="B452" t="str">
            <v>กระทงกระดาษ3220 ขาวล้วน   เลิกใช้</v>
          </cell>
          <cell r="C452" t="str">
            <v>แถว</v>
          </cell>
          <cell r="D452">
            <v>0</v>
          </cell>
          <cell r="E452" t="str">
            <v>RJ</v>
          </cell>
          <cell r="F452" t="str">
            <v>-</v>
          </cell>
          <cell r="G452" t="str">
            <v>1 เดือน</v>
          </cell>
          <cell r="H452">
            <v>21600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</row>
        <row r="453">
          <cell r="A453">
            <v>1021601001</v>
          </cell>
          <cell r="B453" t="str">
            <v>ถ้วย Food Gpps 70z ICE ใส่ช๊อคโกแลตดูใบ  (เลิฟเวอร์)   เลิกใช้</v>
          </cell>
          <cell r="C453" t="str">
            <v>ใบ</v>
          </cell>
          <cell r="D453">
            <v>0</v>
          </cell>
          <cell r="E453" t="str">
            <v>RJ</v>
          </cell>
          <cell r="F453" t="str">
            <v>-</v>
          </cell>
          <cell r="G453" t="str">
            <v>1 เดือน</v>
          </cell>
          <cell r="H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</row>
        <row r="454">
          <cell r="A454">
            <v>1021601002</v>
          </cell>
          <cell r="B454" t="str">
            <v>ฝาเรียบยกขอบ PETไม่เจาะ ใส่ช๊อคโกแลตดูใบ   เลิกใช้</v>
          </cell>
          <cell r="C454" t="str">
            <v>ใบ</v>
          </cell>
          <cell r="D454">
            <v>0</v>
          </cell>
          <cell r="E454" t="str">
            <v>RJ</v>
          </cell>
          <cell r="F454" t="str">
            <v>-</v>
          </cell>
          <cell r="G454" t="str">
            <v>1 เดือน</v>
          </cell>
          <cell r="H454">
            <v>5650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</row>
        <row r="455">
          <cell r="A455">
            <v>1022501004</v>
          </cell>
          <cell r="B455" t="str">
            <v>ถาดฟอยล์สตาร์โปรดักส์ (A330-A)</v>
          </cell>
          <cell r="C455" t="str">
            <v>ใบ</v>
          </cell>
          <cell r="D455">
            <v>0</v>
          </cell>
          <cell r="E455" t="str">
            <v>RJ</v>
          </cell>
          <cell r="F455" t="str">
            <v>-</v>
          </cell>
          <cell r="G455" t="str">
            <v>1 เดือน</v>
          </cell>
          <cell r="H455">
            <v>2900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</row>
        <row r="456">
          <cell r="A456">
            <v>1022501005</v>
          </cell>
          <cell r="B456" t="str">
            <v>ฝาพลาสติค A330</v>
          </cell>
          <cell r="C456" t="str">
            <v>ใบ</v>
          </cell>
          <cell r="D456">
            <v>0</v>
          </cell>
          <cell r="E456" t="str">
            <v>RJ</v>
          </cell>
          <cell r="F456" t="str">
            <v>-</v>
          </cell>
          <cell r="G456" t="str">
            <v>1 เดือน</v>
          </cell>
          <cell r="H456">
            <v>2900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</row>
        <row r="457">
          <cell r="A457">
            <v>1021401003</v>
          </cell>
          <cell r="B457" t="str">
            <v>กล่องกระดาษกันความชื้น</v>
          </cell>
          <cell r="C457" t="str">
            <v>ใบ</v>
          </cell>
          <cell r="D457">
            <v>0</v>
          </cell>
          <cell r="E457" t="str">
            <v>RJ</v>
          </cell>
          <cell r="F457" t="str">
            <v>-</v>
          </cell>
          <cell r="G457" t="str">
            <v>1 เดือน</v>
          </cell>
          <cell r="H457">
            <v>15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</row>
        <row r="458">
          <cell r="A458">
            <v>1021101001</v>
          </cell>
          <cell r="B458" t="str">
            <v>กล่อง FF-40 ลังละ450 ใบ คริสต์มาส</v>
          </cell>
          <cell r="C458" t="str">
            <v>ใบ</v>
          </cell>
          <cell r="D458">
            <v>0</v>
          </cell>
          <cell r="E458" t="str">
            <v>RJ</v>
          </cell>
          <cell r="F458" t="str">
            <v>-</v>
          </cell>
          <cell r="G458" t="str">
            <v>1 เดือน</v>
          </cell>
          <cell r="H458">
            <v>7850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</row>
        <row r="459">
          <cell r="A459">
            <v>1021601003</v>
          </cell>
          <cell r="B459" t="str">
            <v>ถ้วยบลาวนี่ 6*6 CM (ปาร์ตี้)</v>
          </cell>
          <cell r="C459" t="str">
            <v>ใบ</v>
          </cell>
          <cell r="D459">
            <v>0</v>
          </cell>
          <cell r="E459" t="str">
            <v>RJ</v>
          </cell>
          <cell r="H459">
            <v>12000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</row>
        <row r="460">
          <cell r="A460">
            <v>1021401004</v>
          </cell>
          <cell r="B460" t="str">
            <v>ถ้วยฟอยล์เหลี่ยม NO.4031ตัว+ฝา  เลิกใช้</v>
          </cell>
          <cell r="C460" t="str">
            <v>ใบ</v>
          </cell>
          <cell r="D460">
            <v>0</v>
          </cell>
          <cell r="E460" t="str">
            <v>RJ</v>
          </cell>
          <cell r="F460" t="str">
            <v>-</v>
          </cell>
          <cell r="G460" t="str">
            <v>1 เดือน</v>
          </cell>
          <cell r="H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</row>
        <row r="461">
          <cell r="A461">
            <v>1021601004</v>
          </cell>
          <cell r="B461" t="str">
            <v>ถ้วย MC002C+ฝาเรียบ   ทิรามิสุ</v>
          </cell>
          <cell r="C461" t="str">
            <v>ใบ</v>
          </cell>
          <cell r="D461">
            <v>0</v>
          </cell>
          <cell r="F461" t="str">
            <v>-</v>
          </cell>
          <cell r="G461" t="str">
            <v>1 เดือน</v>
          </cell>
          <cell r="H461">
            <v>19600</v>
          </cell>
          <cell r="AB461">
            <v>25000</v>
          </cell>
          <cell r="AN461">
            <v>25000</v>
          </cell>
          <cell r="AO461">
            <v>1000</v>
          </cell>
          <cell r="AP461">
            <v>1300</v>
          </cell>
          <cell r="AQ461">
            <v>0</v>
          </cell>
          <cell r="AR461">
            <v>600</v>
          </cell>
          <cell r="AS461">
            <v>1000</v>
          </cell>
          <cell r="AT461">
            <v>1000</v>
          </cell>
          <cell r="AU461">
            <v>0</v>
          </cell>
          <cell r="AV461">
            <v>1000</v>
          </cell>
          <cell r="AW461">
            <v>500</v>
          </cell>
          <cell r="AX461">
            <v>0</v>
          </cell>
          <cell r="AY461">
            <v>1000</v>
          </cell>
          <cell r="AZ461">
            <v>0</v>
          </cell>
          <cell r="BA461">
            <v>1000</v>
          </cell>
          <cell r="BB461">
            <v>0</v>
          </cell>
          <cell r="BC461">
            <v>1000</v>
          </cell>
          <cell r="BD461">
            <v>450</v>
          </cell>
          <cell r="BE461">
            <v>400</v>
          </cell>
          <cell r="BF461">
            <v>300</v>
          </cell>
          <cell r="BG461">
            <v>600</v>
          </cell>
          <cell r="BH461">
            <v>1100</v>
          </cell>
          <cell r="BI461">
            <v>0</v>
          </cell>
          <cell r="BJ461">
            <v>500</v>
          </cell>
          <cell r="BK461">
            <v>800</v>
          </cell>
          <cell r="BL461">
            <v>1050</v>
          </cell>
          <cell r="BM461">
            <v>500</v>
          </cell>
          <cell r="BN461">
            <v>1000</v>
          </cell>
          <cell r="BO461">
            <v>1000</v>
          </cell>
          <cell r="BP461">
            <v>0</v>
          </cell>
          <cell r="BQ461">
            <v>1000</v>
          </cell>
          <cell r="BR461">
            <v>500</v>
          </cell>
          <cell r="BS461">
            <v>1000</v>
          </cell>
          <cell r="BT461">
            <v>19600</v>
          </cell>
        </row>
        <row r="462">
          <cell r="A462">
            <v>1021601036</v>
          </cell>
          <cell r="B462" t="str">
            <v>ฝาเรียบ MC002</v>
          </cell>
          <cell r="C462" t="str">
            <v>ใบ</v>
          </cell>
          <cell r="H462">
            <v>30000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</row>
        <row r="463">
          <cell r="A463" t="str">
            <v>1022601001-1</v>
          </cell>
          <cell r="B463" t="str">
            <v>แผ่นพลาสติก OPP40 7.5*11.5 แผ่นใส (ป้อม)</v>
          </cell>
          <cell r="C463" t="str">
            <v>กิโลกรัม</v>
          </cell>
          <cell r="D463">
            <v>0</v>
          </cell>
          <cell r="H463">
            <v>150</v>
          </cell>
          <cell r="AI463">
            <v>420</v>
          </cell>
          <cell r="AM463">
            <v>180</v>
          </cell>
          <cell r="AN463">
            <v>600</v>
          </cell>
          <cell r="AO463">
            <v>0</v>
          </cell>
          <cell r="AP463">
            <v>30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30</v>
          </cell>
          <cell r="AZ463">
            <v>30</v>
          </cell>
          <cell r="BA463">
            <v>0</v>
          </cell>
          <cell r="BB463">
            <v>0</v>
          </cell>
          <cell r="BC463">
            <v>0</v>
          </cell>
          <cell r="BD463">
            <v>30</v>
          </cell>
          <cell r="BE463">
            <v>0</v>
          </cell>
          <cell r="BF463">
            <v>0</v>
          </cell>
          <cell r="BG463">
            <v>0</v>
          </cell>
          <cell r="BH463">
            <v>30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30</v>
          </cell>
          <cell r="BP463">
            <v>0</v>
          </cell>
          <cell r="BQ463">
            <v>30</v>
          </cell>
          <cell r="BR463">
            <v>30</v>
          </cell>
          <cell r="BS463">
            <v>0</v>
          </cell>
          <cell r="BT463">
            <v>240</v>
          </cell>
        </row>
        <row r="464">
          <cell r="A464">
            <v>1021601005</v>
          </cell>
          <cell r="B464" t="str">
            <v>ฝาเรียบ PETไม่เจาะ DLA 85 MM (เลิฟเวอร์)   เลิกใช้</v>
          </cell>
          <cell r="C464" t="str">
            <v>ใบ</v>
          </cell>
          <cell r="D464">
            <v>0</v>
          </cell>
          <cell r="E464" t="str">
            <v>RJ</v>
          </cell>
          <cell r="F464" t="str">
            <v>-</v>
          </cell>
          <cell r="G464" t="str">
            <v>1 เดือน</v>
          </cell>
          <cell r="H464">
            <v>2150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</row>
        <row r="465">
          <cell r="A465">
            <v>1021601006</v>
          </cell>
          <cell r="B465" t="str">
            <v>ถ้วย MC001C+ฝายก (เก่า)ใช้กับบ้าบิ่น</v>
          </cell>
          <cell r="C465" t="str">
            <v>ใบ</v>
          </cell>
          <cell r="D465">
            <v>0</v>
          </cell>
          <cell r="E465" t="str">
            <v>RJ</v>
          </cell>
          <cell r="F465" t="str">
            <v>-</v>
          </cell>
          <cell r="G465" t="str">
            <v>1 เดือน</v>
          </cell>
          <cell r="H465">
            <v>48800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</row>
        <row r="466">
          <cell r="A466">
            <v>1021601022</v>
          </cell>
          <cell r="B466" t="str">
            <v>ถ้วย MC001C+ฝาเรียบ (ไดฟูกุ)</v>
          </cell>
          <cell r="C466" t="str">
            <v>ใบ</v>
          </cell>
          <cell r="D466">
            <v>0</v>
          </cell>
          <cell r="F466" t="str">
            <v>-</v>
          </cell>
          <cell r="G466" t="str">
            <v>1 เดือน</v>
          </cell>
          <cell r="H466">
            <v>31350</v>
          </cell>
          <cell r="AB466">
            <v>20000</v>
          </cell>
          <cell r="AI466">
            <v>8000</v>
          </cell>
          <cell r="AN466">
            <v>28000</v>
          </cell>
          <cell r="AO466">
            <v>1000</v>
          </cell>
          <cell r="AP466">
            <v>1650</v>
          </cell>
          <cell r="AQ466">
            <v>0</v>
          </cell>
          <cell r="AR466">
            <v>700</v>
          </cell>
          <cell r="AS466">
            <v>1200</v>
          </cell>
          <cell r="AT466">
            <v>1200</v>
          </cell>
          <cell r="AU466">
            <v>0</v>
          </cell>
          <cell r="AV466">
            <v>1100</v>
          </cell>
          <cell r="AW466">
            <v>700</v>
          </cell>
          <cell r="AX466">
            <v>1200</v>
          </cell>
          <cell r="AY466">
            <v>1000</v>
          </cell>
          <cell r="AZ466">
            <v>1100</v>
          </cell>
          <cell r="BA466">
            <v>2000</v>
          </cell>
          <cell r="BB466">
            <v>0</v>
          </cell>
          <cell r="BC466">
            <v>1000</v>
          </cell>
          <cell r="BD466">
            <v>1000</v>
          </cell>
          <cell r="BE466">
            <v>0</v>
          </cell>
          <cell r="BF466">
            <v>1300</v>
          </cell>
          <cell r="BG466">
            <v>1100</v>
          </cell>
          <cell r="BH466">
            <v>1300</v>
          </cell>
          <cell r="BI466">
            <v>0</v>
          </cell>
          <cell r="BJ466">
            <v>1100</v>
          </cell>
          <cell r="BK466">
            <v>1000</v>
          </cell>
          <cell r="BL466">
            <v>1200</v>
          </cell>
          <cell r="BM466">
            <v>1000</v>
          </cell>
          <cell r="BN466">
            <v>1100</v>
          </cell>
          <cell r="BO466">
            <v>1400</v>
          </cell>
          <cell r="BP466">
            <v>0</v>
          </cell>
          <cell r="BQ466">
            <v>1200</v>
          </cell>
          <cell r="BR466">
            <v>1000</v>
          </cell>
          <cell r="BS466">
            <v>1300</v>
          </cell>
          <cell r="BT466">
            <v>28850</v>
          </cell>
        </row>
        <row r="467">
          <cell r="A467">
            <v>1020201032</v>
          </cell>
          <cell r="B467" t="str">
            <v>สติ๊กเกอร์สายคาดแซนวิชทูน่าคอร์นสลัด (80*156MM) เลิกใช้</v>
          </cell>
          <cell r="C467" t="str">
            <v>ดวง</v>
          </cell>
          <cell r="E467" t="str">
            <v>RJ</v>
          </cell>
          <cell r="F467" t="str">
            <v>-</v>
          </cell>
          <cell r="G467" t="str">
            <v>1 เดือน</v>
          </cell>
          <cell r="H467">
            <v>4688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</row>
        <row r="468">
          <cell r="A468">
            <v>1020201031</v>
          </cell>
          <cell r="B468" t="str">
            <v>สติ๊กเกอร์สายคาดครีมฮอร์นเดนิชสตอไส้ครีม  (38*240MM) ไม่ใช้</v>
          </cell>
          <cell r="C468" t="str">
            <v>ดวง</v>
          </cell>
          <cell r="E468" t="str">
            <v>RJ</v>
          </cell>
          <cell r="H468">
            <v>11282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</row>
        <row r="469">
          <cell r="A469">
            <v>1020201029</v>
          </cell>
          <cell r="B469" t="str">
            <v>สติ๊กเกอร์สายคาดชูครีมโกโก้ดัทช์</v>
          </cell>
          <cell r="C469" t="str">
            <v>ดวง</v>
          </cell>
          <cell r="D469">
            <v>0</v>
          </cell>
          <cell r="F469" t="str">
            <v>-</v>
          </cell>
          <cell r="G469" t="str">
            <v>1 เดือน</v>
          </cell>
          <cell r="H469">
            <v>11409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</row>
        <row r="470">
          <cell r="A470">
            <v>1021601007</v>
          </cell>
          <cell r="B470" t="str">
            <v>ฝากล่อง V021 (ทาร์ตไข่ CJ) เหลี่ยมทอง ลังละ1000</v>
          </cell>
          <cell r="C470" t="str">
            <v>ใบ</v>
          </cell>
          <cell r="D470">
            <v>0</v>
          </cell>
          <cell r="F470" t="str">
            <v>-</v>
          </cell>
          <cell r="G470" t="str">
            <v>1 เดือน</v>
          </cell>
          <cell r="H470">
            <v>74200</v>
          </cell>
          <cell r="AN470">
            <v>0</v>
          </cell>
          <cell r="AO470">
            <v>1200</v>
          </cell>
          <cell r="AP470">
            <v>2200</v>
          </cell>
          <cell r="AQ470">
            <v>0</v>
          </cell>
          <cell r="AR470">
            <v>700</v>
          </cell>
          <cell r="AS470">
            <v>1200</v>
          </cell>
          <cell r="AT470">
            <v>400</v>
          </cell>
          <cell r="AU470">
            <v>0</v>
          </cell>
          <cell r="AV470">
            <v>500</v>
          </cell>
          <cell r="AW470">
            <v>0</v>
          </cell>
          <cell r="AX470">
            <v>0</v>
          </cell>
          <cell r="AY470">
            <v>400</v>
          </cell>
          <cell r="AZ470">
            <v>500</v>
          </cell>
          <cell r="BA470">
            <v>100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7200</v>
          </cell>
        </row>
        <row r="471">
          <cell r="A471">
            <v>1021601008</v>
          </cell>
          <cell r="B471" t="str">
            <v>กล่องเค้ก V021 ฐานทอง (ทาร์ตไข่ CJ) เหลี่ยมทอง ลังละ1200</v>
          </cell>
          <cell r="C471" t="str">
            <v>ใบ</v>
          </cell>
          <cell r="D471">
            <v>0</v>
          </cell>
          <cell r="F471" t="str">
            <v>-</v>
          </cell>
          <cell r="G471" t="str">
            <v>1 เดือน</v>
          </cell>
          <cell r="H471">
            <v>75300</v>
          </cell>
          <cell r="AN471">
            <v>0</v>
          </cell>
          <cell r="AO471">
            <v>1200</v>
          </cell>
          <cell r="AP471">
            <v>2200</v>
          </cell>
          <cell r="AQ471">
            <v>0</v>
          </cell>
          <cell r="AR471">
            <v>700</v>
          </cell>
          <cell r="AS471">
            <v>1200</v>
          </cell>
          <cell r="AT471">
            <v>400</v>
          </cell>
          <cell r="AU471">
            <v>0</v>
          </cell>
          <cell r="AV471">
            <v>500</v>
          </cell>
          <cell r="AW471">
            <v>0</v>
          </cell>
          <cell r="AX471">
            <v>0</v>
          </cell>
          <cell r="AY471">
            <v>400</v>
          </cell>
          <cell r="AZ471">
            <v>500</v>
          </cell>
          <cell r="BA471">
            <v>100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7200</v>
          </cell>
        </row>
        <row r="472">
          <cell r="A472" t="str">
            <v>1022601002-1</v>
          </cell>
          <cell r="B472" t="str">
            <v>แผ่นพลาสติค PE31.5*41.5 ผ่า2ข้าง หนา4มิล(รองบล๊อคขนม)กระสอบละ30กก.</v>
          </cell>
          <cell r="C472" t="str">
            <v>กิโลกรัม</v>
          </cell>
          <cell r="D472">
            <v>0</v>
          </cell>
          <cell r="F472" t="str">
            <v>-</v>
          </cell>
          <cell r="G472" t="str">
            <v>1 เดือน</v>
          </cell>
          <cell r="H472">
            <v>60</v>
          </cell>
          <cell r="U472">
            <v>600</v>
          </cell>
          <cell r="AF472">
            <v>614</v>
          </cell>
          <cell r="AN472">
            <v>1214</v>
          </cell>
          <cell r="AO472">
            <v>30</v>
          </cell>
          <cell r="AP472">
            <v>0</v>
          </cell>
          <cell r="AQ472">
            <v>0</v>
          </cell>
          <cell r="AR472">
            <v>30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60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60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44</v>
          </cell>
          <cell r="BN472">
            <v>60</v>
          </cell>
          <cell r="BO472">
            <v>0</v>
          </cell>
          <cell r="BP472">
            <v>0</v>
          </cell>
          <cell r="BQ472">
            <v>30</v>
          </cell>
          <cell r="BR472">
            <v>60</v>
          </cell>
          <cell r="BS472">
            <v>60</v>
          </cell>
          <cell r="BT472">
            <v>434</v>
          </cell>
        </row>
        <row r="473">
          <cell r="A473">
            <v>1020201026</v>
          </cell>
          <cell r="B473" t="str">
            <v>สติ๊กเกอร์สายคาดทาร์ตไข่คาราเมล  เลิกใช้</v>
          </cell>
          <cell r="C473" t="str">
            <v>ดวง</v>
          </cell>
          <cell r="E473" t="str">
            <v>RJ</v>
          </cell>
          <cell r="F473" t="str">
            <v>-</v>
          </cell>
          <cell r="G473" t="str">
            <v>1 เดือน</v>
          </cell>
          <cell r="H473">
            <v>5828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</row>
        <row r="474">
          <cell r="A474">
            <v>1020201026</v>
          </cell>
          <cell r="B474" t="str">
            <v>สติ๊กเกอร์สายคาดทาร์ตไข่คาราเมล  (แบบเก่าไม่ใช้)</v>
          </cell>
          <cell r="C474" t="str">
            <v>ดวง</v>
          </cell>
          <cell r="D474" t="e">
            <v>#N/A</v>
          </cell>
          <cell r="E474" t="str">
            <v>RJ</v>
          </cell>
          <cell r="H474">
            <v>4638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</row>
        <row r="475">
          <cell r="A475">
            <v>1022301001</v>
          </cell>
          <cell r="B475" t="str">
            <v>ถุงกระดาษหูหิ้วน้ำตาล XL (แปะสติ๊กเกอร์)</v>
          </cell>
          <cell r="C475" t="str">
            <v>ใบ</v>
          </cell>
          <cell r="D475" t="e">
            <v>#N/A</v>
          </cell>
          <cell r="E475" t="str">
            <v>RJ</v>
          </cell>
          <cell r="F475" t="str">
            <v>-</v>
          </cell>
          <cell r="G475" t="str">
            <v>1 เดือน</v>
          </cell>
          <cell r="H475">
            <v>1425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</row>
        <row r="476">
          <cell r="A476">
            <v>1020201035</v>
          </cell>
          <cell r="B476" t="str">
            <v>สติ๊กเกอร์สายคาดใสทาร์ตไข่ชาเขียวโมจิ เลิกใช้</v>
          </cell>
          <cell r="C476" t="str">
            <v>ดวง</v>
          </cell>
          <cell r="D476" t="e">
            <v>#N/A</v>
          </cell>
          <cell r="E476" t="str">
            <v>RJ</v>
          </cell>
          <cell r="F476" t="str">
            <v>-</v>
          </cell>
          <cell r="G476" t="str">
            <v>1 เดือน</v>
          </cell>
          <cell r="H476">
            <v>479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</row>
        <row r="477">
          <cell r="A477">
            <v>1020201036</v>
          </cell>
          <cell r="B477" t="str">
            <v>สติ๊กเกอร์สายคาดเค้กกล้วยหอมเชดด้าชีส เลิกใช้</v>
          </cell>
          <cell r="C477" t="str">
            <v>ดวง</v>
          </cell>
          <cell r="D477" t="e">
            <v>#N/A</v>
          </cell>
          <cell r="E477" t="str">
            <v>RJ</v>
          </cell>
          <cell r="F477" t="str">
            <v>-</v>
          </cell>
          <cell r="G477" t="str">
            <v>1 เดือน</v>
          </cell>
          <cell r="H477">
            <v>6822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</row>
        <row r="478">
          <cell r="A478">
            <v>1020201039</v>
          </cell>
          <cell r="B478" t="str">
            <v>สติ๊กเกอร์สายคาดชูครีมช็อกโกแลตดูใบ</v>
          </cell>
          <cell r="C478" t="str">
            <v>ดวง</v>
          </cell>
          <cell r="E478" t="str">
            <v>RJ</v>
          </cell>
          <cell r="H478">
            <v>422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</row>
        <row r="479">
          <cell r="A479">
            <v>1021601020</v>
          </cell>
          <cell r="B479" t="str">
            <v>ฟอยล์ทรงรี NO.6002 (เค้กกล้วยหอมเชดด้าชีส) ลังละ 1000</v>
          </cell>
          <cell r="C479" t="str">
            <v>ใบ</v>
          </cell>
          <cell r="E479" t="str">
            <v>RJ</v>
          </cell>
          <cell r="F479" t="str">
            <v>-</v>
          </cell>
          <cell r="G479" t="str">
            <v>1 เดือน</v>
          </cell>
          <cell r="H479">
            <v>26580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</row>
        <row r="480">
          <cell r="A480">
            <v>1021601021</v>
          </cell>
          <cell r="B480" t="str">
            <v>ฝา PET NO.6002 (เค้กกล้วยหอมเชดด้าชีส) ลังละ 1000</v>
          </cell>
          <cell r="C480" t="str">
            <v>ใบ</v>
          </cell>
          <cell r="E480" t="str">
            <v>RJ</v>
          </cell>
          <cell r="F480" t="str">
            <v>-</v>
          </cell>
          <cell r="G480" t="str">
            <v>1 เดือน</v>
          </cell>
          <cell r="H480">
            <v>25800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</row>
        <row r="481">
          <cell r="A481">
            <v>1020701006</v>
          </cell>
          <cell r="B481" t="str">
            <v>กล่องทอง 100 g+ฝา (บราวนี่ช็อคโกแลตดูไบ)</v>
          </cell>
          <cell r="C481" t="str">
            <v>ใบ</v>
          </cell>
          <cell r="E481" t="str">
            <v>RJ</v>
          </cell>
          <cell r="F481" t="str">
            <v>-</v>
          </cell>
          <cell r="G481" t="str">
            <v>1 เดือน</v>
          </cell>
          <cell r="H481">
            <v>193310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</row>
        <row r="482">
          <cell r="A482" t="str">
            <v>1020301002-1</v>
          </cell>
          <cell r="B482" t="str">
            <v>กระทงกระดาษ 3219 น้ำตาล แถวละ800ใบ</v>
          </cell>
          <cell r="C482" t="str">
            <v>แถว</v>
          </cell>
          <cell r="H482">
            <v>60</v>
          </cell>
          <cell r="AB482">
            <v>25</v>
          </cell>
          <cell r="AN482">
            <v>25</v>
          </cell>
          <cell r="AO482">
            <v>0</v>
          </cell>
          <cell r="AP482">
            <v>2</v>
          </cell>
          <cell r="AQ482">
            <v>0</v>
          </cell>
          <cell r="AR482">
            <v>0</v>
          </cell>
          <cell r="AS482">
            <v>0</v>
          </cell>
          <cell r="AT482">
            <v>6</v>
          </cell>
          <cell r="AU482">
            <v>0</v>
          </cell>
          <cell r="AV482">
            <v>10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2</v>
          </cell>
          <cell r="BH482">
            <v>0</v>
          </cell>
          <cell r="BI482">
            <v>0</v>
          </cell>
          <cell r="BJ482">
            <v>7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10</v>
          </cell>
          <cell r="BR482">
            <v>0</v>
          </cell>
          <cell r="BS482">
            <v>0</v>
          </cell>
          <cell r="BT482">
            <v>37</v>
          </cell>
        </row>
        <row r="483">
          <cell r="A483">
            <v>1020201040</v>
          </cell>
          <cell r="B483" t="str">
            <v>สติ๊กเกอร์สายคาดไดฟูกุช็อคดูใบ V1-20250303 ไม่มีคำว่าใหม่</v>
          </cell>
          <cell r="C483" t="str">
            <v>ดวง</v>
          </cell>
          <cell r="F483" t="str">
            <v>-</v>
          </cell>
          <cell r="G483" t="str">
            <v>1 เดือน</v>
          </cell>
          <cell r="H483">
            <v>28016</v>
          </cell>
          <cell r="Y483">
            <v>30000</v>
          </cell>
          <cell r="AN483">
            <v>30000</v>
          </cell>
          <cell r="AO483">
            <v>2400</v>
          </cell>
          <cell r="AP483">
            <v>1150</v>
          </cell>
          <cell r="AQ483">
            <v>0</v>
          </cell>
          <cell r="AR483">
            <v>1000</v>
          </cell>
          <cell r="AS483">
            <v>1158</v>
          </cell>
          <cell r="AT483">
            <v>1200</v>
          </cell>
          <cell r="AU483">
            <v>0</v>
          </cell>
          <cell r="AV483">
            <v>1000</v>
          </cell>
          <cell r="AW483">
            <v>700</v>
          </cell>
          <cell r="AX483">
            <v>1000</v>
          </cell>
          <cell r="AY483">
            <v>1000</v>
          </cell>
          <cell r="AZ483">
            <v>1200</v>
          </cell>
          <cell r="BA483">
            <v>1000</v>
          </cell>
          <cell r="BB483">
            <v>0</v>
          </cell>
          <cell r="BC483">
            <v>1000</v>
          </cell>
          <cell r="BD483">
            <v>1000</v>
          </cell>
          <cell r="BE483">
            <v>1104</v>
          </cell>
          <cell r="BF483">
            <v>1300</v>
          </cell>
          <cell r="BG483">
            <v>1000</v>
          </cell>
          <cell r="BH483">
            <v>1300</v>
          </cell>
          <cell r="BI483">
            <v>0</v>
          </cell>
          <cell r="BJ483">
            <v>1000</v>
          </cell>
          <cell r="BK483">
            <v>1000</v>
          </cell>
          <cell r="BL483">
            <v>1000</v>
          </cell>
          <cell r="BM483">
            <v>1000</v>
          </cell>
          <cell r="BN483">
            <v>1000</v>
          </cell>
          <cell r="BO483">
            <v>1432</v>
          </cell>
          <cell r="BP483">
            <v>0</v>
          </cell>
          <cell r="BQ483">
            <v>2000</v>
          </cell>
          <cell r="BR483">
            <v>1000</v>
          </cell>
          <cell r="BS483">
            <v>1000</v>
          </cell>
          <cell r="BT483">
            <v>29944</v>
          </cell>
        </row>
        <row r="484">
          <cell r="A484">
            <v>1020201041</v>
          </cell>
          <cell r="B484" t="str">
            <v>สติ๊กเกอร์สายคาดบราวนี่ช็อกโกแลตดูใบ V2-20250323 ไม่มีคำว่าใหม่ เลิกใช้</v>
          </cell>
          <cell r="C484" t="str">
            <v>ดวง</v>
          </cell>
          <cell r="E484" t="str">
            <v>RJ</v>
          </cell>
          <cell r="F484" t="str">
            <v>-</v>
          </cell>
          <cell r="G484" t="str">
            <v>1 เดือน</v>
          </cell>
          <cell r="H484">
            <v>25168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</row>
        <row r="485">
          <cell r="A485">
            <v>1020201042</v>
          </cell>
          <cell r="B485" t="str">
            <v>สติ๊กเกอร์สายคาดเค้กลอดช่องน้ำตาลโตนดCJ V2-202502323 ไม่มีคำว่าใหม่ เลิกใช้</v>
          </cell>
          <cell r="C485" t="str">
            <v>ดวง</v>
          </cell>
          <cell r="E485" t="str">
            <v>RJ</v>
          </cell>
          <cell r="F485" t="str">
            <v>-</v>
          </cell>
          <cell r="G485" t="str">
            <v>1 เดือน</v>
          </cell>
          <cell r="H485">
            <v>1292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</row>
        <row r="486">
          <cell r="A486">
            <v>1020201043</v>
          </cell>
          <cell r="B486" t="str">
            <v>สติ๊กเกอร์สายคาดเค้กกล้วยหอมเชดด้าชีส V2-20250323 ไม่มีคำว่าใหม่ เลิกใช้</v>
          </cell>
          <cell r="C486" t="str">
            <v>ดวง</v>
          </cell>
          <cell r="E486" t="str">
            <v>RJ</v>
          </cell>
          <cell r="H486">
            <v>10000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</row>
        <row r="487">
          <cell r="A487">
            <v>1020201044</v>
          </cell>
          <cell r="B487" t="str">
            <v>สติ๊กเกอร์ดวงกลมพิเศษ 35 บาทติดปังแถว เลิกใช้</v>
          </cell>
          <cell r="C487" t="str">
            <v>ดวง</v>
          </cell>
          <cell r="E487" t="str">
            <v>RJ</v>
          </cell>
          <cell r="F487" t="str">
            <v>-</v>
          </cell>
          <cell r="G487" t="str">
            <v>1 เดือน</v>
          </cell>
          <cell r="H487">
            <v>83964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</row>
        <row r="488">
          <cell r="A488">
            <v>1020201045</v>
          </cell>
          <cell r="B488" t="str">
            <v>สติ๊กเกอร์สายคาดใสทาร์ตไข่ชาเขียวโมจิ V2-20250323 ไม่มีคำว่าใหม่ ไม่ใช้</v>
          </cell>
          <cell r="C488" t="str">
            <v>ดวง</v>
          </cell>
          <cell r="E488" t="str">
            <v>RJ</v>
          </cell>
          <cell r="F488" t="str">
            <v>-</v>
          </cell>
          <cell r="G488" t="str">
            <v>1 เดือน</v>
          </cell>
          <cell r="H488">
            <v>10000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</row>
        <row r="489">
          <cell r="A489" t="str">
            <v>1022101001-1</v>
          </cell>
          <cell r="B489" t="str">
            <v>ถุง HD 12*20 ผ่า 2 ข้าง แผ่นละ 3 มิล (ใช้ปิดหน้าขนม) กระสอบละ30กก.</v>
          </cell>
          <cell r="C489" t="str">
            <v>กิโลกรัม</v>
          </cell>
          <cell r="F489" t="str">
            <v>-</v>
          </cell>
          <cell r="G489" t="str">
            <v>1 เดือน</v>
          </cell>
          <cell r="H489">
            <v>48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</row>
        <row r="490">
          <cell r="A490" t="str">
            <v>1022101003-1</v>
          </cell>
          <cell r="B490" t="str">
            <v>ถุง HD 20*30 ใส่ชูครีม กระสอบละ 30 กก.</v>
          </cell>
          <cell r="C490" t="str">
            <v>กิโลกรัม</v>
          </cell>
          <cell r="H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</row>
        <row r="491">
          <cell r="A491">
            <v>1020201046</v>
          </cell>
          <cell r="B491" t="str">
            <v>สติ๊กเกอร์สายคาดใหม่เค้กเผือกครีมนมสด V1-20250330(ยกเลิก)</v>
          </cell>
          <cell r="C491" t="str">
            <v>ดวง</v>
          </cell>
          <cell r="E491" t="str">
            <v>RJ</v>
          </cell>
          <cell r="F491" t="str">
            <v>-</v>
          </cell>
          <cell r="G491" t="str">
            <v>1 เดือน</v>
          </cell>
          <cell r="H491">
            <v>21372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</row>
        <row r="492">
          <cell r="A492">
            <v>1020201050</v>
          </cell>
          <cell r="B492" t="str">
            <v>สติ๊กเกอร์สายคาดแซนวิชแฮมชีส V7-20250409 เลิกใช้</v>
          </cell>
          <cell r="C492" t="str">
            <v>ดวง</v>
          </cell>
          <cell r="F492" t="str">
            <v>-</v>
          </cell>
          <cell r="G492" t="str">
            <v>1 เดือน</v>
          </cell>
          <cell r="H492">
            <v>25001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</row>
        <row r="493">
          <cell r="A493">
            <v>1023401115</v>
          </cell>
          <cell r="B493" t="str">
            <v>สติ๊กเกอร์สายคาดแซนวิชแฮมชีส V8-20260106  (แบบใหม่) เลิกใช้</v>
          </cell>
          <cell r="C493" t="str">
            <v>ดวง</v>
          </cell>
          <cell r="H493">
            <v>0</v>
          </cell>
          <cell r="J493">
            <v>4000</v>
          </cell>
          <cell r="L493">
            <v>10000</v>
          </cell>
          <cell r="N493">
            <v>51000</v>
          </cell>
          <cell r="AF493">
            <v>10000</v>
          </cell>
          <cell r="AH493">
            <v>20000</v>
          </cell>
          <cell r="AN493">
            <v>95000</v>
          </cell>
          <cell r="AO493">
            <v>0</v>
          </cell>
          <cell r="AP493">
            <v>4000</v>
          </cell>
          <cell r="AQ493">
            <v>0</v>
          </cell>
          <cell r="AR493">
            <v>6000</v>
          </cell>
          <cell r="AS493">
            <v>4000</v>
          </cell>
          <cell r="AT493">
            <v>0</v>
          </cell>
          <cell r="AU493">
            <v>0</v>
          </cell>
          <cell r="AV493">
            <v>16000</v>
          </cell>
          <cell r="AW493">
            <v>0</v>
          </cell>
          <cell r="AX493">
            <v>4000</v>
          </cell>
          <cell r="AY493">
            <v>4000</v>
          </cell>
          <cell r="AZ493">
            <v>4000</v>
          </cell>
          <cell r="BA493">
            <v>8000</v>
          </cell>
          <cell r="BB493">
            <v>0</v>
          </cell>
          <cell r="BC493">
            <v>4000</v>
          </cell>
          <cell r="BD493">
            <v>3000</v>
          </cell>
          <cell r="BE493">
            <v>0</v>
          </cell>
          <cell r="BF493">
            <v>4000</v>
          </cell>
          <cell r="BG493">
            <v>4000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4000</v>
          </cell>
          <cell r="BM493">
            <v>6000</v>
          </cell>
          <cell r="BN493">
            <v>8000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83000</v>
          </cell>
        </row>
        <row r="494">
          <cell r="A494">
            <v>1020201058</v>
          </cell>
          <cell r="B494" t="str">
            <v>สติ๊กเกอร์สายคาดเค้กทรอต้าเทเนรีน่าV1-20250405</v>
          </cell>
          <cell r="C494" t="str">
            <v>ดวง</v>
          </cell>
          <cell r="E494" t="str">
            <v>RJ</v>
          </cell>
          <cell r="F494" t="str">
            <v>-</v>
          </cell>
          <cell r="G494" t="str">
            <v>1 เดือน</v>
          </cell>
          <cell r="H494">
            <v>6396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</row>
        <row r="495">
          <cell r="A495">
            <v>1020201059</v>
          </cell>
          <cell r="B495" t="str">
            <v>สติ๊กเกอร์สายคาดเค้กโมลเทนช๊อกโกแลตV1-20250405</v>
          </cell>
          <cell r="C495" t="str">
            <v>ดวง</v>
          </cell>
          <cell r="E495" t="str">
            <v>RJ</v>
          </cell>
          <cell r="F495" t="str">
            <v>-</v>
          </cell>
          <cell r="G495" t="str">
            <v>1 เดือน</v>
          </cell>
          <cell r="H495">
            <v>8652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</row>
        <row r="496">
          <cell r="A496">
            <v>1020201060</v>
          </cell>
          <cell r="B496" t="str">
            <v>สติ๊กเกอร์สายคาดเค้กแอปเปิ้ล</v>
          </cell>
          <cell r="C496" t="str">
            <v>ดวง</v>
          </cell>
          <cell r="E496" t="str">
            <v>RJ</v>
          </cell>
          <cell r="F496" t="str">
            <v>-</v>
          </cell>
          <cell r="G496" t="str">
            <v>1 เดือน</v>
          </cell>
          <cell r="H496">
            <v>8788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</row>
        <row r="497">
          <cell r="A497">
            <v>1020201073</v>
          </cell>
          <cell r="B497" t="str">
            <v>สติ๊กเกอร์บาร์โค้ดปูอัดไข่กุ้ง</v>
          </cell>
          <cell r="C497" t="str">
            <v>ดวง</v>
          </cell>
          <cell r="F497" t="str">
            <v>-</v>
          </cell>
          <cell r="G497" t="str">
            <v>1 เดือน</v>
          </cell>
          <cell r="H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</row>
        <row r="498">
          <cell r="A498">
            <v>1020201061</v>
          </cell>
          <cell r="B498" t="str">
            <v>สติ๊กเกอร์สายคาดแซนวิสปูอัดไข่กุ้งใหม่ V2-20250521ไม่มีคำว่าใหม่ เลิกใช้</v>
          </cell>
          <cell r="C498" t="str">
            <v>ดวง</v>
          </cell>
          <cell r="H498">
            <v>13096</v>
          </cell>
          <cell r="J498">
            <v>20000</v>
          </cell>
          <cell r="L498">
            <v>35000</v>
          </cell>
          <cell r="AD498">
            <v>8000</v>
          </cell>
          <cell r="AN498">
            <v>63000</v>
          </cell>
          <cell r="AO498">
            <v>3200</v>
          </cell>
          <cell r="AP498">
            <v>1000</v>
          </cell>
          <cell r="AQ498">
            <v>0</v>
          </cell>
          <cell r="AR498">
            <v>3000</v>
          </cell>
          <cell r="AS498">
            <v>5000</v>
          </cell>
          <cell r="AT498">
            <v>5200</v>
          </cell>
          <cell r="AU498">
            <v>0</v>
          </cell>
          <cell r="AV498">
            <v>3200</v>
          </cell>
          <cell r="AW498">
            <v>2000</v>
          </cell>
          <cell r="AX498">
            <v>2500</v>
          </cell>
          <cell r="AY498">
            <v>4000</v>
          </cell>
          <cell r="AZ498">
            <v>3200</v>
          </cell>
          <cell r="BA498">
            <v>5400</v>
          </cell>
          <cell r="BB498">
            <v>0</v>
          </cell>
          <cell r="BC498">
            <v>2400</v>
          </cell>
          <cell r="BD498">
            <v>2800</v>
          </cell>
          <cell r="BE498">
            <v>1388</v>
          </cell>
          <cell r="BF498">
            <v>2400</v>
          </cell>
          <cell r="BG498">
            <v>2800</v>
          </cell>
          <cell r="BH498">
            <v>4000</v>
          </cell>
          <cell r="BI498">
            <v>0</v>
          </cell>
          <cell r="BJ498">
            <v>3200</v>
          </cell>
          <cell r="BK498">
            <v>2800</v>
          </cell>
          <cell r="BL498">
            <v>3556</v>
          </cell>
          <cell r="BM498">
            <v>400</v>
          </cell>
          <cell r="BN498">
            <v>3708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67152</v>
          </cell>
        </row>
        <row r="499">
          <cell r="A499">
            <v>1020201062</v>
          </cell>
          <cell r="B499" t="str">
            <v>สติ๊กเกอร์สายคาดใหม่เค้กฝอยทองลาวา V1-20250422ไม่มีคำว่าใหม่ เลิกใช้</v>
          </cell>
          <cell r="C499" t="str">
            <v>ดวง</v>
          </cell>
          <cell r="E499" t="str">
            <v>RJ</v>
          </cell>
          <cell r="F499" t="str">
            <v>-</v>
          </cell>
          <cell r="G499" t="str">
            <v>1 เดือน</v>
          </cell>
          <cell r="H499">
            <v>11324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</row>
        <row r="500">
          <cell r="A500">
            <v>1020201065</v>
          </cell>
          <cell r="B500" t="str">
            <v>สติ๊กเกอร์สายคาดแซนวิสโบราณจัมโบ้V2-20250511 ไม่มีคำว่าใหม่ ยกเลิกไม่ใช้</v>
          </cell>
          <cell r="C500" t="str">
            <v>ดวง</v>
          </cell>
          <cell r="E500" t="str">
            <v>RJ</v>
          </cell>
          <cell r="F500" t="str">
            <v>-</v>
          </cell>
          <cell r="G500" t="str">
            <v>1 เดือน</v>
          </cell>
          <cell r="H500">
            <v>3969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</row>
        <row r="501">
          <cell r="A501">
            <v>1023401026</v>
          </cell>
          <cell r="B501" t="str">
            <v>สติ๊กเกอร์สายคาดแซนวิสโบราณจัมโบ้ 120g V3-20250702 เลิกใช้</v>
          </cell>
          <cell r="C501" t="str">
            <v>ดวง</v>
          </cell>
          <cell r="H501">
            <v>40000</v>
          </cell>
          <cell r="P501">
            <v>24000</v>
          </cell>
          <cell r="V501">
            <v>36000</v>
          </cell>
          <cell r="AN501">
            <v>60000</v>
          </cell>
          <cell r="AO501">
            <v>4000</v>
          </cell>
          <cell r="AP501">
            <v>4000</v>
          </cell>
          <cell r="AQ501">
            <v>0</v>
          </cell>
          <cell r="AR501">
            <v>4000</v>
          </cell>
          <cell r="AS501">
            <v>4000</v>
          </cell>
          <cell r="AT501">
            <v>8000</v>
          </cell>
          <cell r="AU501">
            <v>0</v>
          </cell>
          <cell r="AV501">
            <v>4000</v>
          </cell>
          <cell r="AW501">
            <v>0</v>
          </cell>
          <cell r="AX501">
            <v>4000</v>
          </cell>
          <cell r="AY501">
            <v>4000</v>
          </cell>
          <cell r="AZ501">
            <v>4000</v>
          </cell>
          <cell r="BA501">
            <v>8000</v>
          </cell>
          <cell r="BB501">
            <v>0</v>
          </cell>
          <cell r="BC501">
            <v>4000</v>
          </cell>
          <cell r="BD501">
            <v>4000</v>
          </cell>
          <cell r="BE501">
            <v>0</v>
          </cell>
          <cell r="BF501">
            <v>4000</v>
          </cell>
          <cell r="BG501">
            <v>4000</v>
          </cell>
          <cell r="BH501">
            <v>4000</v>
          </cell>
          <cell r="BI501">
            <v>0</v>
          </cell>
          <cell r="BJ501">
            <v>4000</v>
          </cell>
          <cell r="BK501">
            <v>4000</v>
          </cell>
          <cell r="BL501">
            <v>4000</v>
          </cell>
          <cell r="BM501">
            <v>4000</v>
          </cell>
          <cell r="BN501">
            <v>4000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88000</v>
          </cell>
        </row>
        <row r="502">
          <cell r="A502">
            <v>1020201066</v>
          </cell>
          <cell r="B502" t="str">
            <v>สติ๊กเกอร์สายคาดแซนวิสไก่หยองพริกเผาV2-20250521ไม่มีคำว่าใหม่ ไม่ใช้</v>
          </cell>
          <cell r="C502" t="str">
            <v>ดวง</v>
          </cell>
          <cell r="E502" t="str">
            <v>RJ</v>
          </cell>
          <cell r="H502">
            <v>5300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</row>
        <row r="503">
          <cell r="A503">
            <v>1020201067</v>
          </cell>
          <cell r="B503" t="str">
            <v>สติ๊กเกอร์สายคาดเค้กทุเรียนV2-20250521ไม่มีคำว่าใหม่   ยกเลิกไม่ใช้</v>
          </cell>
          <cell r="C503" t="str">
            <v>ดวง</v>
          </cell>
          <cell r="E503" t="str">
            <v>RJ</v>
          </cell>
          <cell r="H503">
            <v>47720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</row>
        <row r="504">
          <cell r="A504">
            <v>1020201074</v>
          </cell>
          <cell r="B504" t="str">
            <v>สติ๊กเกอร์สายคาดใสเค้กบ้าบื่นมะพร้าว V1-20250520  เลิกใช้</v>
          </cell>
          <cell r="C504" t="str">
            <v>ดวง</v>
          </cell>
          <cell r="E504" t="str">
            <v>RJ</v>
          </cell>
          <cell r="H504">
            <v>15087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</row>
        <row r="505">
          <cell r="A505">
            <v>1020201068</v>
          </cell>
          <cell r="B505" t="str">
            <v>สติ๊กเกอร์สายคาดมินิโดนัท V2-20250521 ไม่มีคำว่าใหม่ ยกเลิก</v>
          </cell>
          <cell r="C505" t="str">
            <v>ดวง</v>
          </cell>
          <cell r="E505" t="str">
            <v>RJ</v>
          </cell>
          <cell r="H505">
            <v>14775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</row>
        <row r="506">
          <cell r="A506">
            <v>1020201069</v>
          </cell>
          <cell r="B506" t="str">
            <v>สติ๊กเกอร์สายคาดทารตไข่ชาไทย  V2-20250521 ไม่มีคำว่าใหม่ ไม่ใช้</v>
          </cell>
          <cell r="C506" t="str">
            <v>ดวง</v>
          </cell>
          <cell r="E506" t="str">
            <v>RJ</v>
          </cell>
          <cell r="H506">
            <v>20000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</row>
        <row r="507">
          <cell r="A507">
            <v>1023201039</v>
          </cell>
          <cell r="B507" t="str">
            <v>สติ๊กเกอร์วงกลมนกแก้วAmazon วรรณวนัช แผ่นละ  120</v>
          </cell>
          <cell r="C507" t="str">
            <v>ดวง</v>
          </cell>
          <cell r="H507">
            <v>24560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</row>
        <row r="508">
          <cell r="A508">
            <v>1021401013</v>
          </cell>
          <cell r="B508" t="str">
            <v>กล่อง 2 หลุมโมจิ S-2019</v>
          </cell>
          <cell r="C508" t="str">
            <v>ใบ</v>
          </cell>
          <cell r="E508" t="str">
            <v>RJ</v>
          </cell>
          <cell r="H508">
            <v>30000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</row>
        <row r="509">
          <cell r="A509">
            <v>1020501037</v>
          </cell>
          <cell r="B509" t="str">
            <v>กล่องชิฟฟ่อนเค้กขนุน ห่อละ100 ใบ</v>
          </cell>
          <cell r="C509" t="str">
            <v>ใบ</v>
          </cell>
          <cell r="H509">
            <v>2700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</row>
        <row r="510">
          <cell r="A510">
            <v>1021401012</v>
          </cell>
          <cell r="B510" t="str">
            <v>กล่อง 4 หลุม PS สีทอง+ฝาPET เปี๊ยะเล็กกุหลาบAZ</v>
          </cell>
          <cell r="C510" t="str">
            <v>ใบ</v>
          </cell>
          <cell r="E510" t="str">
            <v>RJ</v>
          </cell>
          <cell r="H510">
            <v>30000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</row>
        <row r="511">
          <cell r="A511">
            <v>1020301003</v>
          </cell>
          <cell r="B511" t="str">
            <v>กล่องขนมปังสังขยา4ลูกใหญ่ ห่อละ 200 ใบ</v>
          </cell>
          <cell r="C511" t="str">
            <v>ใบ</v>
          </cell>
          <cell r="H511">
            <v>4200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200</v>
          </cell>
          <cell r="AW511">
            <v>0</v>
          </cell>
          <cell r="AX511">
            <v>0</v>
          </cell>
          <cell r="AY511">
            <v>0</v>
          </cell>
          <cell r="AZ511">
            <v>200</v>
          </cell>
          <cell r="BA511">
            <v>0</v>
          </cell>
          <cell r="BB511">
            <v>0</v>
          </cell>
          <cell r="BC511">
            <v>200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200</v>
          </cell>
          <cell r="BS511">
            <v>0</v>
          </cell>
          <cell r="BT511">
            <v>800</v>
          </cell>
        </row>
        <row r="512">
          <cell r="A512">
            <v>1023401015</v>
          </cell>
          <cell r="B512" t="str">
            <v>สติ๊กเกอร์สายคาดทาร์ตทุเรียนครีมกะทิ  V1-20250520  ไม่ใช้</v>
          </cell>
          <cell r="C512" t="str">
            <v>ดวง</v>
          </cell>
          <cell r="E512" t="str">
            <v>RJ</v>
          </cell>
          <cell r="H512">
            <v>9927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</row>
        <row r="513">
          <cell r="A513" t="str">
            <v>1023401018-2</v>
          </cell>
          <cell r="B513" t="str">
            <v>ถุงขนมปังแถวแบบใหม่ V4-20250604 (1กิโล มี 138 ใบ)</v>
          </cell>
          <cell r="C513" t="str">
            <v>กิโลกรัม</v>
          </cell>
          <cell r="H513">
            <v>93.9</v>
          </cell>
          <cell r="S513">
            <v>123.4</v>
          </cell>
          <cell r="AN513">
            <v>123.4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68.900000000000006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25</v>
          </cell>
          <cell r="BA513">
            <v>25</v>
          </cell>
          <cell r="BB513">
            <v>0</v>
          </cell>
          <cell r="BC513">
            <v>25</v>
          </cell>
          <cell r="BD513">
            <v>0</v>
          </cell>
          <cell r="BE513">
            <v>0</v>
          </cell>
          <cell r="BF513">
            <v>0</v>
          </cell>
          <cell r="BG513">
            <v>23.4</v>
          </cell>
          <cell r="BH513">
            <v>0</v>
          </cell>
          <cell r="BI513">
            <v>0</v>
          </cell>
          <cell r="BJ513">
            <v>0</v>
          </cell>
          <cell r="BK513">
            <v>25</v>
          </cell>
          <cell r="BL513">
            <v>25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217.3</v>
          </cell>
        </row>
        <row r="514">
          <cell r="A514" t="str">
            <v>1022201001-2</v>
          </cell>
          <cell r="B514" t="str">
            <v>ถุงขนมปังแถวสูตรใหม่ V5-20260107 (1กิโล มี 138 ใบ) แบบไหม่</v>
          </cell>
          <cell r="C514" t="str">
            <v>กิโลกรัม</v>
          </cell>
          <cell r="H514">
            <v>0</v>
          </cell>
          <cell r="AB514">
            <v>625</v>
          </cell>
          <cell r="AH514">
            <v>100</v>
          </cell>
          <cell r="AN514">
            <v>725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25</v>
          </cell>
          <cell r="BR514">
            <v>0</v>
          </cell>
          <cell r="BS514">
            <v>50</v>
          </cell>
          <cell r="BT514">
            <v>75</v>
          </cell>
        </row>
        <row r="515">
          <cell r="A515">
            <v>1023401091</v>
          </cell>
          <cell r="B515" t="str">
            <v>สติ๊กเกอร์สายคาดมินิบันฝอยทองน้ำสลัด V4-20250912 แบบใหม่</v>
          </cell>
          <cell r="C515" t="str">
            <v>ดวง</v>
          </cell>
          <cell r="H515">
            <v>82720</v>
          </cell>
          <cell r="AN515">
            <v>0</v>
          </cell>
          <cell r="AO515">
            <v>3000</v>
          </cell>
          <cell r="AP515">
            <v>2318</v>
          </cell>
          <cell r="AQ515">
            <v>0</v>
          </cell>
          <cell r="AR515">
            <v>4600</v>
          </cell>
          <cell r="AS515">
            <v>3000</v>
          </cell>
          <cell r="AT515">
            <v>3468</v>
          </cell>
          <cell r="AU515">
            <v>0</v>
          </cell>
          <cell r="AV515">
            <v>1000</v>
          </cell>
          <cell r="AW515">
            <v>102</v>
          </cell>
          <cell r="AX515">
            <v>2312</v>
          </cell>
          <cell r="AY515">
            <v>1000</v>
          </cell>
          <cell r="AZ515">
            <v>1300</v>
          </cell>
          <cell r="BA515">
            <v>4000</v>
          </cell>
          <cell r="BB515">
            <v>0</v>
          </cell>
          <cell r="BC515">
            <v>1300</v>
          </cell>
          <cell r="BD515">
            <v>2000</v>
          </cell>
          <cell r="BE515">
            <v>0</v>
          </cell>
          <cell r="BF515">
            <v>1792</v>
          </cell>
          <cell r="BG515">
            <v>2000</v>
          </cell>
          <cell r="BH515">
            <v>3180</v>
          </cell>
          <cell r="BI515">
            <v>0</v>
          </cell>
          <cell r="BJ515">
            <v>3000</v>
          </cell>
          <cell r="BK515">
            <v>1000</v>
          </cell>
          <cell r="BL515">
            <v>3000</v>
          </cell>
          <cell r="BM515">
            <v>5000</v>
          </cell>
          <cell r="BN515">
            <v>1000</v>
          </cell>
          <cell r="BO515">
            <v>3000</v>
          </cell>
          <cell r="BP515">
            <v>0</v>
          </cell>
          <cell r="BQ515">
            <v>2168</v>
          </cell>
          <cell r="BR515">
            <v>2000</v>
          </cell>
          <cell r="BS515">
            <v>3000</v>
          </cell>
          <cell r="BT515">
            <v>59540</v>
          </cell>
        </row>
        <row r="516">
          <cell r="A516">
            <v>1024101001</v>
          </cell>
          <cell r="B516" t="str">
            <v>สติ๊กเกอร์สี่เหลี่ยมแพนเค้กฝอยทองครีมสด  แบ็คแคนย่อน</v>
          </cell>
          <cell r="C516" t="str">
            <v>ดวง</v>
          </cell>
          <cell r="H516">
            <v>6000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1950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1950</v>
          </cell>
        </row>
        <row r="517">
          <cell r="A517">
            <v>1023401116</v>
          </cell>
          <cell r="B517" t="str">
            <v>สติ๊กเกอร์แพนเค้กฝอยทองครีมสด(ใส)แบบใหม่  แบ็คแคนย่อน</v>
          </cell>
          <cell r="C517" t="str">
            <v>ดวง</v>
          </cell>
          <cell r="H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</row>
        <row r="518">
          <cell r="A518">
            <v>1024101002</v>
          </cell>
          <cell r="B518" t="str">
            <v>สติ๊กเกอร์สี่เหลี่ยมมูชชาไทยพุดดิ้ง  แบ็คแคนย่อน  ไม่ใช้</v>
          </cell>
          <cell r="C518" t="str">
            <v>ดวง</v>
          </cell>
          <cell r="E518" t="str">
            <v>RJ</v>
          </cell>
          <cell r="H518">
            <v>3600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</row>
        <row r="519">
          <cell r="A519">
            <v>1024101003</v>
          </cell>
          <cell r="B519" t="str">
            <v>สติ๊กเกอร์สี่เหลี่ยมมินิปังใส้กรอกชีส  แบ็คแคนย่อน</v>
          </cell>
          <cell r="C519" t="str">
            <v>ดวง</v>
          </cell>
          <cell r="H519">
            <v>6000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</row>
        <row r="520">
          <cell r="A520">
            <v>1024101004</v>
          </cell>
          <cell r="B520" t="str">
            <v>สติ๊กเกอร์สี่เหลี่ยมบานอฟฟี่  แบ็คแคนย่อน</v>
          </cell>
          <cell r="C520" t="str">
            <v>ดวง</v>
          </cell>
          <cell r="H520">
            <v>10200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4050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4050</v>
          </cell>
        </row>
        <row r="521">
          <cell r="A521">
            <v>1024101005</v>
          </cell>
          <cell r="B521" t="str">
            <v>สติ๊กเกอร์สี่เหลี่ยมแซนวิสปูอัด ไม่ใช้</v>
          </cell>
          <cell r="C521" t="str">
            <v>ดวง</v>
          </cell>
          <cell r="H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</row>
        <row r="522">
          <cell r="A522">
            <v>1024101006</v>
          </cell>
          <cell r="B522" t="str">
            <v>สติ๊กเกอร์สี่เหลี่ยมเค้กโบราณผลไม้  แบ็คแคนย่อน</v>
          </cell>
          <cell r="C522" t="str">
            <v>ดวง</v>
          </cell>
          <cell r="H522">
            <v>8100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</row>
        <row r="523">
          <cell r="A523">
            <v>1024101007</v>
          </cell>
          <cell r="B523" t="str">
            <v>สติ๊กเกอร์สี่เหลี่ยมเค้กช็อกโกแลตมูส  แบ็คแคนย่อน</v>
          </cell>
          <cell r="C523" t="str">
            <v>ดวง</v>
          </cell>
          <cell r="H523">
            <v>10200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</row>
        <row r="524">
          <cell r="A524">
            <v>1024101008</v>
          </cell>
          <cell r="B524" t="str">
            <v>สติ๊กเกอร์สี่เหลี่ยมแซนวิสแฮมชีส  แบ็คแคนย่อน</v>
          </cell>
          <cell r="C524" t="str">
            <v>ดวง</v>
          </cell>
          <cell r="H524">
            <v>8520</v>
          </cell>
          <cell r="AL524">
            <v>10020</v>
          </cell>
          <cell r="AN524">
            <v>10020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1200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1200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2400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3900</v>
          </cell>
          <cell r="BT524">
            <v>8700</v>
          </cell>
        </row>
        <row r="525">
          <cell r="A525">
            <v>1024101009</v>
          </cell>
          <cell r="B525" t="str">
            <v>สติ๊กเกอร์สี่เหลี่ยมชิฟฟ่อนเค้ก  แบ็คแคนย่อน</v>
          </cell>
          <cell r="C525" t="str">
            <v>ดวง</v>
          </cell>
          <cell r="H525">
            <v>6150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</row>
        <row r="526">
          <cell r="A526">
            <v>1024101010</v>
          </cell>
          <cell r="B526" t="str">
            <v>สติ๊กเกอร์วงกลมเค้กมะพร้าว  แบ็คแคนย่อน</v>
          </cell>
          <cell r="C526" t="str">
            <v>ดวง</v>
          </cell>
          <cell r="H526">
            <v>14166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1470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1470</v>
          </cell>
        </row>
        <row r="527">
          <cell r="A527">
            <v>1024101011</v>
          </cell>
          <cell r="B527" t="str">
            <v>สติ๊กเกอร์วงกลมเค้กฝอยทองทูโทน  แบ็คแคนย่อน</v>
          </cell>
          <cell r="C527" t="str">
            <v>ดวง</v>
          </cell>
          <cell r="H527">
            <v>5100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</row>
        <row r="528">
          <cell r="A528">
            <v>1024101012</v>
          </cell>
          <cell r="B528" t="str">
            <v>สติ๊กเกอร์วงกลมเค้กมัลเบอรี่ชีสพาย  แบ็คแคนย่อน</v>
          </cell>
          <cell r="C528" t="str">
            <v>ดวง</v>
          </cell>
          <cell r="H528">
            <v>4110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</row>
        <row r="529">
          <cell r="A529">
            <v>1024101013</v>
          </cell>
          <cell r="B529" t="str">
            <v>สติ๊กเกอร์วงกลมชูครีมนมฮอกไกโด  แบ็คแคนย่อน</v>
          </cell>
          <cell r="C529" t="str">
            <v>ดวง</v>
          </cell>
          <cell r="H529">
            <v>10020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</row>
        <row r="530">
          <cell r="A530">
            <v>1023401061</v>
          </cell>
          <cell r="B530" t="str">
            <v>สติ๊กเกอร์สี่เหลี่ยมแซนวิสปูอัดไข่กุ้ง แบ็คแคนย่อน</v>
          </cell>
          <cell r="C530" t="str">
            <v>ดวง</v>
          </cell>
          <cell r="H530">
            <v>7230</v>
          </cell>
          <cell r="AL530">
            <v>20070</v>
          </cell>
          <cell r="AN530">
            <v>20070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1200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2910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4110</v>
          </cell>
        </row>
        <row r="531">
          <cell r="A531">
            <v>1023301014</v>
          </cell>
          <cell r="B531" t="str">
            <v>สติ๊กเกอร์สี่เหลี่ยมช็อคโกแลตดูใบ แบ็คแคนย่อน</v>
          </cell>
          <cell r="C531" t="str">
            <v>ดวง</v>
          </cell>
          <cell r="H531">
            <v>0</v>
          </cell>
          <cell r="AL531">
            <v>5040</v>
          </cell>
          <cell r="AN531">
            <v>5040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</row>
        <row r="532">
          <cell r="A532">
            <v>1023301015</v>
          </cell>
          <cell r="B532" t="str">
            <v>สติ๊กเกอร์สี่เหลี่ยมไดฟูกุช๊อคโกแลตดูใบ แบ็คแคนย่อน</v>
          </cell>
          <cell r="C532" t="str">
            <v>ดวง</v>
          </cell>
          <cell r="H532">
            <v>0</v>
          </cell>
          <cell r="AL532">
            <v>5040</v>
          </cell>
          <cell r="AN532">
            <v>5040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</row>
        <row r="533">
          <cell r="A533">
            <v>1023301016</v>
          </cell>
          <cell r="B533" t="str">
            <v>สติ๊กเกอร์สี่เหลี่ยมบานอฟฟี่ แบ็คแคนย่อน ใหม่</v>
          </cell>
          <cell r="C533" t="str">
            <v>ดวง</v>
          </cell>
          <cell r="H533">
            <v>0</v>
          </cell>
          <cell r="AL533">
            <v>5010</v>
          </cell>
          <cell r="AN533">
            <v>5010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</row>
        <row r="534">
          <cell r="A534">
            <v>1023301017</v>
          </cell>
          <cell r="B534" t="str">
            <v>สติ๊กเกอร์สี่เหลี่ยมบานอฟฟี่มัทฉะ แบ็คแคนย่อน</v>
          </cell>
          <cell r="C534" t="str">
            <v>ดวง</v>
          </cell>
          <cell r="H534">
            <v>0</v>
          </cell>
          <cell r="AL534">
            <v>5040</v>
          </cell>
          <cell r="AN534">
            <v>5040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</row>
        <row r="535">
          <cell r="A535" t="str">
            <v>รอรหัส</v>
          </cell>
          <cell r="B535" t="str">
            <v>สติ๊กเกอร์วงกลมเค้กช็อคโกแลตดูใบ แบ็คแคนย่อน</v>
          </cell>
          <cell r="C535" t="str">
            <v>ดวง</v>
          </cell>
          <cell r="H535">
            <v>0</v>
          </cell>
          <cell r="AL535">
            <v>5616</v>
          </cell>
          <cell r="AN535">
            <v>5616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</row>
        <row r="536">
          <cell r="A536">
            <v>1021601025</v>
          </cell>
          <cell r="B536" t="str">
            <v>ถาด E106 ฐานน้ำตาลฝาใส ลังละ1200 ใบ ใส่ของชิม</v>
          </cell>
          <cell r="C536" t="str">
            <v>ใบ</v>
          </cell>
          <cell r="H536">
            <v>2600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300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200</v>
          </cell>
          <cell r="BE536">
            <v>100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600</v>
          </cell>
        </row>
        <row r="537">
          <cell r="A537">
            <v>1023401023</v>
          </cell>
          <cell r="B537" t="str">
            <v>สติ๊กเกอร์สายคาดแซนวิสไก่หยองพริกเผา 80g แบบใหม่ V3-20250702 เลิกใช้</v>
          </cell>
          <cell r="C537" t="str">
            <v>ดวง</v>
          </cell>
          <cell r="H537">
            <v>4535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</row>
        <row r="538">
          <cell r="A538">
            <v>1023401024</v>
          </cell>
          <cell r="B538" t="str">
            <v>สติ๊กเกอร์สายคาดแซนวิสโบราณเล็ก 70g แบบใหม่ V3-20250702 เลิกใช้</v>
          </cell>
          <cell r="C538" t="str">
            <v>ดวง</v>
          </cell>
          <cell r="H538">
            <v>2349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</row>
        <row r="539">
          <cell r="A539">
            <v>1023401118</v>
          </cell>
          <cell r="B539" t="str">
            <v xml:space="preserve">สติ๊กเกอร์สายคาดแซนวิสโบราณเล็ก 70g  V4-20260106  </v>
          </cell>
          <cell r="C539" t="str">
            <v>ดวง</v>
          </cell>
          <cell r="H539">
            <v>25000</v>
          </cell>
          <cell r="AN539">
            <v>0</v>
          </cell>
          <cell r="AO539">
            <v>0</v>
          </cell>
          <cell r="AP539">
            <v>2500</v>
          </cell>
          <cell r="AQ539">
            <v>0</v>
          </cell>
          <cell r="AR539">
            <v>5000</v>
          </cell>
          <cell r="AS539">
            <v>2400</v>
          </cell>
          <cell r="AT539">
            <v>7990</v>
          </cell>
          <cell r="AU539">
            <v>0</v>
          </cell>
          <cell r="AV539">
            <v>0</v>
          </cell>
          <cell r="AW539">
            <v>1000</v>
          </cell>
          <cell r="AX539">
            <v>3235</v>
          </cell>
          <cell r="AY539">
            <v>2875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25000</v>
          </cell>
        </row>
        <row r="540">
          <cell r="A540">
            <v>1023401134</v>
          </cell>
          <cell r="B540" t="str">
            <v>สติ๊กเกอร์สายคาดแซนวิสโบราณเล็ก 70g  V5-20260206 แบบไหม่</v>
          </cell>
          <cell r="C540" t="str">
            <v>ดวง</v>
          </cell>
          <cell r="H540">
            <v>0</v>
          </cell>
          <cell r="T540">
            <v>10000</v>
          </cell>
          <cell r="V540">
            <v>50000</v>
          </cell>
          <cell r="AK540">
            <v>7000</v>
          </cell>
          <cell r="AL540">
            <v>30000</v>
          </cell>
          <cell r="AN540">
            <v>97000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4000</v>
          </cell>
          <cell r="BA540">
            <v>6000</v>
          </cell>
          <cell r="BB540">
            <v>0</v>
          </cell>
          <cell r="BC540">
            <v>4200</v>
          </cell>
          <cell r="BD540">
            <v>4780</v>
          </cell>
          <cell r="BE540">
            <v>3020</v>
          </cell>
          <cell r="BF540">
            <v>3000</v>
          </cell>
          <cell r="BG540">
            <v>3215</v>
          </cell>
          <cell r="BH540">
            <v>3800</v>
          </cell>
          <cell r="BI540">
            <v>0</v>
          </cell>
          <cell r="BJ540">
            <v>3985</v>
          </cell>
          <cell r="BK540">
            <v>4000</v>
          </cell>
          <cell r="BL540">
            <v>3000</v>
          </cell>
          <cell r="BM540">
            <v>4000</v>
          </cell>
          <cell r="BN540">
            <v>2530</v>
          </cell>
          <cell r="BO540">
            <v>4000</v>
          </cell>
          <cell r="BP540">
            <v>0</v>
          </cell>
          <cell r="BQ540">
            <v>4000</v>
          </cell>
          <cell r="BR540">
            <v>4000</v>
          </cell>
          <cell r="BS540">
            <v>4000</v>
          </cell>
          <cell r="BT540">
            <v>65530</v>
          </cell>
        </row>
        <row r="541">
          <cell r="A541">
            <v>1023401098</v>
          </cell>
          <cell r="B541" t="str">
            <v>สติ๊กเกอร์สายคาดมินิบันแยมสตอเบอรี่และครีมคัสตาร์ด  V3-20250912</v>
          </cell>
          <cell r="C541" t="str">
            <v>ดวง</v>
          </cell>
          <cell r="H541">
            <v>4000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</row>
        <row r="542">
          <cell r="A542">
            <v>1023401038</v>
          </cell>
          <cell r="B542" t="str">
            <v>สติ๊กเกอร์สายคาดแซนวิสพิซซ่าโบโลน่าจัมโบ้ V2-20250721 ไม่มีคำว่าใหม่</v>
          </cell>
          <cell r="C542" t="str">
            <v>ดวง</v>
          </cell>
          <cell r="E542" t="str">
            <v>RJ</v>
          </cell>
          <cell r="H542">
            <v>78793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</row>
        <row r="543">
          <cell r="A543">
            <v>1023401039</v>
          </cell>
          <cell r="B543" t="str">
            <v>สติ๊กเกอร์สายคาดขนมปังสังขยาลาวาครีมกะทิ  V2-20250721 ไม่มีคำว่าใหม่ เลิกใช้</v>
          </cell>
          <cell r="C543" t="str">
            <v>ดวง</v>
          </cell>
          <cell r="E543" t="str">
            <v>RJ</v>
          </cell>
          <cell r="H543">
            <v>16516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</row>
        <row r="544">
          <cell r="A544">
            <v>1023401041</v>
          </cell>
          <cell r="B544" t="str">
            <v>สติ๊กเกอร์สายคาดชิฟฟ่อนสอดใส้สตรอเบอรี่ V3-202507031 ไม่มีคำว่าใหม่</v>
          </cell>
          <cell r="C544" t="str">
            <v>ดวง</v>
          </cell>
          <cell r="E544" t="str">
            <v>RJ</v>
          </cell>
          <cell r="H544">
            <v>1664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</row>
        <row r="545">
          <cell r="A545">
            <v>1023401042</v>
          </cell>
          <cell r="B545" t="str">
            <v>สติ๊กเกอร์สายคาดชิฟฟ่อนสอดใส้วนิลา V3-202507031 ไม่มีคำว่าใหม่</v>
          </cell>
          <cell r="C545" t="str">
            <v>ดวง</v>
          </cell>
          <cell r="E545" t="str">
            <v>RJ</v>
          </cell>
          <cell r="H545">
            <v>238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</row>
        <row r="546">
          <cell r="A546">
            <v>1023401043</v>
          </cell>
          <cell r="B546" t="str">
            <v>สติ๊กเกอร์สายคาดชิฟฟ่อนสอดใส้มะพร้าว V3-202507031 ไม่มีคำว่าใหม่</v>
          </cell>
          <cell r="C546" t="str">
            <v>ดวง</v>
          </cell>
          <cell r="H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</row>
        <row r="547">
          <cell r="A547">
            <v>1023401097</v>
          </cell>
          <cell r="B547" t="str">
            <v>สติ๊กเกอร์สายคาดชิฟฟ่อนสอดใส้มะพร้าว V4-20250912 (แบบใหม่)</v>
          </cell>
          <cell r="C547" t="str">
            <v>ดวง</v>
          </cell>
          <cell r="H547">
            <v>34352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300</v>
          </cell>
          <cell r="AS547">
            <v>834</v>
          </cell>
          <cell r="AT547">
            <v>300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1000</v>
          </cell>
          <cell r="AZ547">
            <v>1918</v>
          </cell>
          <cell r="BA547">
            <v>1204</v>
          </cell>
          <cell r="BB547">
            <v>0</v>
          </cell>
          <cell r="BC547">
            <v>1300</v>
          </cell>
          <cell r="BD547">
            <v>1216</v>
          </cell>
          <cell r="BE547">
            <v>998</v>
          </cell>
          <cell r="BF547">
            <v>1402</v>
          </cell>
          <cell r="BG547">
            <v>1412</v>
          </cell>
          <cell r="BH547">
            <v>1000</v>
          </cell>
          <cell r="BI547">
            <v>0</v>
          </cell>
          <cell r="BJ547">
            <v>402</v>
          </cell>
          <cell r="BK547">
            <v>414</v>
          </cell>
          <cell r="BL547">
            <v>18</v>
          </cell>
          <cell r="BM547">
            <v>1000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14718</v>
          </cell>
        </row>
        <row r="548">
          <cell r="A548">
            <v>1023401044</v>
          </cell>
          <cell r="B548" t="str">
            <v>สติ๊กเกอร์สายคาดชิฟฟ่อนสอดใส้บลูเบอรี่ V3-202507031 ไม่มีคำว่าใหม่</v>
          </cell>
          <cell r="C548" t="str">
            <v>ดวง</v>
          </cell>
          <cell r="E548" t="str">
            <v>RJ</v>
          </cell>
          <cell r="H548">
            <v>872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</row>
        <row r="549">
          <cell r="A549">
            <v>1023401051</v>
          </cell>
          <cell r="B549" t="str">
            <v>สติ๊กเกอร์สายคาดปังกะเทียมครีมชีส V2-20250727 ไม่มีคำว่าใหม่</v>
          </cell>
          <cell r="C549" t="str">
            <v>ดวง</v>
          </cell>
          <cell r="E549" t="str">
            <v>RJ</v>
          </cell>
          <cell r="H549">
            <v>8592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</row>
        <row r="550">
          <cell r="A550">
            <v>1023401053</v>
          </cell>
          <cell r="B550" t="str">
            <v>สติ๊กเกอร์สายคาดแซนวิสปูอัดไข่กุ้งยำสาหร่าย V2-20250817  ไม่มีคำว่าใหม่</v>
          </cell>
          <cell r="C550" t="str">
            <v>ดวง</v>
          </cell>
          <cell r="H550">
            <v>8548</v>
          </cell>
          <cell r="N550">
            <v>20000</v>
          </cell>
          <cell r="T550">
            <v>10000</v>
          </cell>
          <cell r="AF550">
            <v>4000</v>
          </cell>
          <cell r="AN550">
            <v>34000</v>
          </cell>
          <cell r="AO550">
            <v>1000</v>
          </cell>
          <cell r="AP550">
            <v>4000</v>
          </cell>
          <cell r="AQ550">
            <v>0</v>
          </cell>
          <cell r="AR550">
            <v>2200</v>
          </cell>
          <cell r="AS550">
            <v>1348</v>
          </cell>
          <cell r="AT550">
            <v>0</v>
          </cell>
          <cell r="AU550">
            <v>0</v>
          </cell>
          <cell r="AV550">
            <v>5500</v>
          </cell>
          <cell r="AW550">
            <v>1501</v>
          </cell>
          <cell r="AX550">
            <v>1000</v>
          </cell>
          <cell r="AY550">
            <v>2201</v>
          </cell>
          <cell r="AZ550">
            <v>2000</v>
          </cell>
          <cell r="BA550">
            <v>3000</v>
          </cell>
          <cell r="BB550">
            <v>0</v>
          </cell>
          <cell r="BC550">
            <v>1201</v>
          </cell>
          <cell r="BD550">
            <v>1402</v>
          </cell>
          <cell r="BE550">
            <v>1012</v>
          </cell>
          <cell r="BF550">
            <v>0</v>
          </cell>
          <cell r="BG550">
            <v>1000</v>
          </cell>
          <cell r="BH550">
            <v>1201</v>
          </cell>
          <cell r="BI550">
            <v>0</v>
          </cell>
          <cell r="BJ550">
            <v>1501</v>
          </cell>
          <cell r="BK550">
            <v>1501</v>
          </cell>
          <cell r="BL550">
            <v>1501</v>
          </cell>
          <cell r="BM550">
            <v>1995</v>
          </cell>
          <cell r="BN550">
            <v>1600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37664</v>
          </cell>
        </row>
        <row r="551">
          <cell r="A551">
            <v>1023401058</v>
          </cell>
          <cell r="B551" t="str">
            <v>สติ๊กเกอร์สายคาดแซนวิสไส้กรอกชีส V1-20250811   ไม่ใช้</v>
          </cell>
          <cell r="C551" t="str">
            <v>ดวง</v>
          </cell>
          <cell r="E551" t="str">
            <v>RJ</v>
          </cell>
          <cell r="H551">
            <v>284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</row>
        <row r="552">
          <cell r="A552">
            <v>1023401062</v>
          </cell>
          <cell r="B552" t="str">
            <v xml:space="preserve">สติ๊กเกอร์สายคาดขนมปังไส้ครีมรสโอวัลติน V1-20250909 </v>
          </cell>
          <cell r="C552" t="str">
            <v>ดวง</v>
          </cell>
          <cell r="E552" t="str">
            <v>RJ</v>
          </cell>
          <cell r="H552">
            <v>4644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</row>
        <row r="553">
          <cell r="A553">
            <v>1023401063</v>
          </cell>
          <cell r="B553" t="str">
            <v xml:space="preserve">สติ๊กเกอร์สายคาดเค้กกล้วยหอมจุ่มครีมชีส V2-20250909 </v>
          </cell>
          <cell r="C553" t="str">
            <v>ดวง</v>
          </cell>
          <cell r="H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</row>
        <row r="554">
          <cell r="A554">
            <v>1023401064</v>
          </cell>
          <cell r="B554" t="str">
            <v>สติ๊กเกอร์สายคาดเค้กกล้วยหอมจุ่มครีมชีส V2-20251003   ไม่มีคำว่าใหม่</v>
          </cell>
          <cell r="C554" t="str">
            <v>ดวง</v>
          </cell>
          <cell r="H554">
            <v>49000</v>
          </cell>
          <cell r="AN554">
            <v>0</v>
          </cell>
          <cell r="AO554">
            <v>10000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10000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1000</v>
          </cell>
          <cell r="BE554">
            <v>0</v>
          </cell>
          <cell r="BF554">
            <v>1000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22000</v>
          </cell>
        </row>
        <row r="555">
          <cell r="A555">
            <v>1023401106</v>
          </cell>
          <cell r="B555" t="str">
            <v>สติ๊กเกอร์สายคาดเค้กกล้วยหอมจุ่มครีมชีสสตอเบอรี่ V3-20260113  (CJ)เลิกขาย</v>
          </cell>
          <cell r="C555" t="str">
            <v>ดวง</v>
          </cell>
          <cell r="H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</row>
        <row r="556">
          <cell r="A556">
            <v>1023401065</v>
          </cell>
          <cell r="B556" t="str">
            <v>สติ๊กเกอร์สายคาดมินิบันไก่หยองน้ำสลัด V3-20250912</v>
          </cell>
          <cell r="C556" t="str">
            <v>ดวง</v>
          </cell>
          <cell r="H556">
            <v>27368</v>
          </cell>
          <cell r="N556">
            <v>70000</v>
          </cell>
          <cell r="S556">
            <v>11000</v>
          </cell>
          <cell r="U556">
            <v>19000</v>
          </cell>
          <cell r="AN556">
            <v>100000</v>
          </cell>
          <cell r="AO556">
            <v>6000</v>
          </cell>
          <cell r="AP556">
            <v>8000</v>
          </cell>
          <cell r="AQ556">
            <v>0</v>
          </cell>
          <cell r="AR556">
            <v>8000</v>
          </cell>
          <cell r="AS556">
            <v>5368</v>
          </cell>
          <cell r="AT556">
            <v>0</v>
          </cell>
          <cell r="AU556">
            <v>0</v>
          </cell>
          <cell r="AV556">
            <v>25500</v>
          </cell>
          <cell r="AW556">
            <v>4400</v>
          </cell>
          <cell r="AX556">
            <v>9500</v>
          </cell>
          <cell r="AY556">
            <v>6000</v>
          </cell>
          <cell r="AZ556">
            <v>7000</v>
          </cell>
          <cell r="BA556">
            <v>15000</v>
          </cell>
          <cell r="BB556">
            <v>0</v>
          </cell>
          <cell r="BC556">
            <v>6000</v>
          </cell>
          <cell r="BD556">
            <v>7000</v>
          </cell>
          <cell r="BE556">
            <v>8020</v>
          </cell>
          <cell r="BF556">
            <v>0</v>
          </cell>
          <cell r="BG556">
            <v>9000</v>
          </cell>
          <cell r="BH556">
            <v>2580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127368</v>
          </cell>
        </row>
        <row r="557">
          <cell r="A557">
            <v>1023401133</v>
          </cell>
          <cell r="B557" t="str">
            <v>สติ๊กเกอร์สายคาดมินิบันไก่หยองน้ำสลัด V4-20260205 แบบไหม่แบบม้วน</v>
          </cell>
          <cell r="C557" t="str">
            <v>ดวง</v>
          </cell>
          <cell r="H557">
            <v>0</v>
          </cell>
          <cell r="Y557">
            <v>18000</v>
          </cell>
          <cell r="AB557">
            <v>82000</v>
          </cell>
          <cell r="AN557">
            <v>100000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9000</v>
          </cell>
          <cell r="BI557">
            <v>0</v>
          </cell>
          <cell r="BJ557">
            <v>9000</v>
          </cell>
          <cell r="BK557">
            <v>6000</v>
          </cell>
          <cell r="BL557">
            <v>10000</v>
          </cell>
          <cell r="BM557">
            <v>6000</v>
          </cell>
          <cell r="BN557">
            <v>6000</v>
          </cell>
          <cell r="BO557">
            <v>18000</v>
          </cell>
          <cell r="BP557">
            <v>0</v>
          </cell>
          <cell r="BQ557">
            <v>3000</v>
          </cell>
          <cell r="BR557">
            <v>9000</v>
          </cell>
          <cell r="BS557">
            <v>9000</v>
          </cell>
          <cell r="BT557">
            <v>85000</v>
          </cell>
        </row>
        <row r="558">
          <cell r="A558">
            <v>1023401066</v>
          </cell>
          <cell r="B558" t="str">
            <v>สติ๊กเกอร์ขนมปังแฮมเห็ดมายองเนส V3-20250912 ไม่ใช้</v>
          </cell>
          <cell r="C558" t="str">
            <v>ดวง</v>
          </cell>
          <cell r="H558">
            <v>1436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</row>
        <row r="559">
          <cell r="A559">
            <v>1023401114</v>
          </cell>
          <cell r="B559" t="str">
            <v>สติ๊กเกอร์ขนมปังแฮมเห็ดมายองเนส V4-20260127 (แบบใหม่)</v>
          </cell>
          <cell r="C559" t="str">
            <v>ดวง</v>
          </cell>
          <cell r="H559">
            <v>52410</v>
          </cell>
          <cell r="AN559">
            <v>0</v>
          </cell>
          <cell r="AO559">
            <v>2500</v>
          </cell>
          <cell r="AP559">
            <v>1200</v>
          </cell>
          <cell r="AQ559">
            <v>0</v>
          </cell>
          <cell r="AR559">
            <v>1800</v>
          </cell>
          <cell r="AS559">
            <v>2400</v>
          </cell>
          <cell r="AT559">
            <v>1800</v>
          </cell>
          <cell r="AU559">
            <v>0</v>
          </cell>
          <cell r="AV559">
            <v>1440</v>
          </cell>
          <cell r="AW559">
            <v>1200</v>
          </cell>
          <cell r="AX559">
            <v>1200</v>
          </cell>
          <cell r="AY559">
            <v>1200</v>
          </cell>
          <cell r="AZ559">
            <v>1200</v>
          </cell>
          <cell r="BA559">
            <v>1200</v>
          </cell>
          <cell r="BB559">
            <v>0</v>
          </cell>
          <cell r="BC559">
            <v>1450</v>
          </cell>
          <cell r="BD559">
            <v>1200</v>
          </cell>
          <cell r="BE559">
            <v>112</v>
          </cell>
          <cell r="BF559">
            <v>1200</v>
          </cell>
          <cell r="BG559">
            <v>1404</v>
          </cell>
          <cell r="BH559">
            <v>750</v>
          </cell>
          <cell r="BI559">
            <v>0</v>
          </cell>
          <cell r="BJ559">
            <v>1200</v>
          </cell>
          <cell r="BK559">
            <v>780</v>
          </cell>
          <cell r="BL559">
            <v>750</v>
          </cell>
          <cell r="BM559">
            <v>1200</v>
          </cell>
          <cell r="BN559">
            <v>1464</v>
          </cell>
          <cell r="BO559">
            <v>250</v>
          </cell>
          <cell r="BP559">
            <v>0</v>
          </cell>
          <cell r="BQ559">
            <v>1200</v>
          </cell>
          <cell r="BR559">
            <v>1200</v>
          </cell>
          <cell r="BS559">
            <v>0</v>
          </cell>
          <cell r="BT559">
            <v>31300</v>
          </cell>
        </row>
        <row r="560">
          <cell r="A560">
            <v>1023401074</v>
          </cell>
          <cell r="B560" t="str">
            <v>สติ๊กเกอร์สายคาดเครปโรลโอริโอ้ V3-20250912(แบบใหม่) ไม่ใช้</v>
          </cell>
          <cell r="C560" t="str">
            <v>ดวง</v>
          </cell>
          <cell r="H560">
            <v>129522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</row>
        <row r="561">
          <cell r="A561">
            <v>1023401099</v>
          </cell>
          <cell r="B561" t="str">
            <v>สติ๊กเกอร์สายคาดปังไก่หยองมายองเนสสาหร่าย V3-20250912</v>
          </cell>
          <cell r="C561" t="str">
            <v>ดวง</v>
          </cell>
          <cell r="H561">
            <v>32000</v>
          </cell>
          <cell r="N561">
            <v>12000</v>
          </cell>
          <cell r="P561">
            <v>84000</v>
          </cell>
          <cell r="V561">
            <v>4000</v>
          </cell>
          <cell r="AN561">
            <v>100000</v>
          </cell>
          <cell r="AO561">
            <v>0</v>
          </cell>
          <cell r="AP561">
            <v>8000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4000</v>
          </cell>
          <cell r="AW561">
            <v>0</v>
          </cell>
          <cell r="AX561">
            <v>4000</v>
          </cell>
          <cell r="AY561">
            <v>4000</v>
          </cell>
          <cell r="AZ561">
            <v>4000</v>
          </cell>
          <cell r="BA561">
            <v>8000</v>
          </cell>
          <cell r="BB561">
            <v>0</v>
          </cell>
          <cell r="BC561">
            <v>4000</v>
          </cell>
          <cell r="BD561">
            <v>4000</v>
          </cell>
          <cell r="BE561">
            <v>0</v>
          </cell>
          <cell r="BF561">
            <v>0</v>
          </cell>
          <cell r="BG561">
            <v>0</v>
          </cell>
          <cell r="BH561">
            <v>4000</v>
          </cell>
          <cell r="BI561">
            <v>0</v>
          </cell>
          <cell r="BJ561">
            <v>4000</v>
          </cell>
          <cell r="BK561">
            <v>4000</v>
          </cell>
          <cell r="BL561">
            <v>4000</v>
          </cell>
          <cell r="BM561">
            <v>4000</v>
          </cell>
          <cell r="BN561">
            <v>0</v>
          </cell>
          <cell r="BO561">
            <v>4000</v>
          </cell>
          <cell r="BP561">
            <v>0</v>
          </cell>
          <cell r="BQ561">
            <v>0</v>
          </cell>
          <cell r="BR561">
            <v>4000</v>
          </cell>
          <cell r="BS561">
            <v>4000</v>
          </cell>
          <cell r="BT561">
            <v>72000</v>
          </cell>
        </row>
        <row r="562">
          <cell r="A562">
            <v>1023401076</v>
          </cell>
          <cell r="B562" t="str">
            <v>สติ๊กเกอร์สายคาดมูสเค้กโอวัลตินครั้นชี่ V3-20250912  แบบใหม่</v>
          </cell>
          <cell r="C562" t="str">
            <v>ดวง</v>
          </cell>
          <cell r="E562" t="str">
            <v>RJ</v>
          </cell>
          <cell r="H562">
            <v>31714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</row>
        <row r="563">
          <cell r="A563">
            <v>1023401079</v>
          </cell>
          <cell r="B563" t="str">
            <v xml:space="preserve">สติ๊กเกอร์สายคาดพิซซ่าโบโรน่า CJ V5-20250912  </v>
          </cell>
          <cell r="C563" t="str">
            <v>ดวง</v>
          </cell>
          <cell r="H563">
            <v>13246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</row>
        <row r="564">
          <cell r="A564">
            <v>1023401119</v>
          </cell>
          <cell r="B564" t="str">
            <v>สติ๊กเกอร์สายคาดพิซซ่าโบโรน่า  V6-20260127  แบบใหม่</v>
          </cell>
          <cell r="C564" t="str">
            <v>ดวง</v>
          </cell>
          <cell r="H564">
            <v>70000</v>
          </cell>
          <cell r="AN564">
            <v>0</v>
          </cell>
          <cell r="AO564">
            <v>3000</v>
          </cell>
          <cell r="AP564">
            <v>2250</v>
          </cell>
          <cell r="AQ564">
            <v>0</v>
          </cell>
          <cell r="AR564">
            <v>3000</v>
          </cell>
          <cell r="AS564">
            <v>3589</v>
          </cell>
          <cell r="AT564">
            <v>2300</v>
          </cell>
          <cell r="AU564">
            <v>0</v>
          </cell>
          <cell r="AV564">
            <v>2252</v>
          </cell>
          <cell r="AW564">
            <v>1000</v>
          </cell>
          <cell r="AX564">
            <v>2000</v>
          </cell>
          <cell r="AY564">
            <v>2000</v>
          </cell>
          <cell r="AZ564">
            <v>1000</v>
          </cell>
          <cell r="BA564">
            <v>2252</v>
          </cell>
          <cell r="BB564">
            <v>0</v>
          </cell>
          <cell r="BC564">
            <v>2702</v>
          </cell>
          <cell r="BD564">
            <v>3000</v>
          </cell>
          <cell r="BE564">
            <v>1481</v>
          </cell>
          <cell r="BF564">
            <v>2000</v>
          </cell>
          <cell r="BG564">
            <v>1000</v>
          </cell>
          <cell r="BH564">
            <v>1000</v>
          </cell>
          <cell r="BI564">
            <v>0</v>
          </cell>
          <cell r="BJ564">
            <v>3000</v>
          </cell>
          <cell r="BK564">
            <v>0</v>
          </cell>
          <cell r="BL564">
            <v>1258</v>
          </cell>
          <cell r="BM564">
            <v>2000</v>
          </cell>
          <cell r="BN564">
            <v>2000</v>
          </cell>
          <cell r="BO564">
            <v>2762</v>
          </cell>
          <cell r="BP564">
            <v>0</v>
          </cell>
          <cell r="BQ564">
            <v>1000</v>
          </cell>
          <cell r="BR564">
            <v>1000</v>
          </cell>
          <cell r="BS564">
            <v>1252</v>
          </cell>
          <cell r="BT564">
            <v>50098</v>
          </cell>
        </row>
        <row r="565">
          <cell r="A565">
            <v>1023401080</v>
          </cell>
          <cell r="B565" t="str">
            <v>สติ๊กเกอร์สายคาดขนมปังไส้ครีมรสโอวัลติน V2-20251003   ไม่มีคำว่าใหม่</v>
          </cell>
          <cell r="C565" t="str">
            <v>ดวง</v>
          </cell>
          <cell r="E565" t="str">
            <v>RJ</v>
          </cell>
          <cell r="H565">
            <v>30000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</row>
        <row r="566">
          <cell r="A566">
            <v>1023401082</v>
          </cell>
          <cell r="B566" t="str">
            <v>สติ๊กเกอร์สายคาดลองบันเบิลช็อค V1-20251020</v>
          </cell>
          <cell r="C566" t="str">
            <v>ดวง</v>
          </cell>
          <cell r="H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</row>
        <row r="567">
          <cell r="A567">
            <v>1023401085</v>
          </cell>
          <cell r="B567" t="str">
            <v>สติ๊กเกอร์สายคาดลองบันเบิลช็อค V2-20251029 แบบไหม่ เลิกขาย</v>
          </cell>
          <cell r="C567" t="str">
            <v>ดวง</v>
          </cell>
          <cell r="H567">
            <v>28462</v>
          </cell>
          <cell r="AN567">
            <v>0</v>
          </cell>
          <cell r="AO567">
            <v>0</v>
          </cell>
          <cell r="AP567">
            <v>1000</v>
          </cell>
          <cell r="AQ567">
            <v>0</v>
          </cell>
          <cell r="AR567">
            <v>2000</v>
          </cell>
          <cell r="AS567">
            <v>2000</v>
          </cell>
          <cell r="AT567">
            <v>4456</v>
          </cell>
          <cell r="AU567">
            <v>0</v>
          </cell>
          <cell r="AV567">
            <v>1504</v>
          </cell>
          <cell r="AW567">
            <v>0</v>
          </cell>
          <cell r="AX567">
            <v>2000</v>
          </cell>
          <cell r="AY567">
            <v>1000</v>
          </cell>
          <cell r="AZ567">
            <v>2318</v>
          </cell>
          <cell r="BA567">
            <v>107</v>
          </cell>
          <cell r="BB567">
            <v>0</v>
          </cell>
          <cell r="BC567">
            <v>2000</v>
          </cell>
          <cell r="BD567">
            <v>2060</v>
          </cell>
          <cell r="BE567">
            <v>4005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2012</v>
          </cell>
          <cell r="BK567">
            <v>0</v>
          </cell>
          <cell r="BL567">
            <v>0</v>
          </cell>
          <cell r="BM567">
            <v>1066</v>
          </cell>
          <cell r="BN567">
            <v>204</v>
          </cell>
          <cell r="BO567">
            <v>228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27960</v>
          </cell>
        </row>
        <row r="568">
          <cell r="A568">
            <v>1023301012</v>
          </cell>
          <cell r="B568" t="str">
            <v>สติ๊กเกอร์สายคาดคุกกี้ชีสทาร์ตบลูเบอร์รี่</v>
          </cell>
          <cell r="C568" t="str">
            <v>ดวง</v>
          </cell>
          <cell r="H568">
            <v>16162</v>
          </cell>
          <cell r="AN568">
            <v>0</v>
          </cell>
          <cell r="AO568">
            <v>1000</v>
          </cell>
          <cell r="AP568">
            <v>0</v>
          </cell>
          <cell r="AQ568">
            <v>0</v>
          </cell>
          <cell r="AR568">
            <v>720</v>
          </cell>
          <cell r="AS568">
            <v>0</v>
          </cell>
          <cell r="AT568">
            <v>1000</v>
          </cell>
          <cell r="AU568">
            <v>0</v>
          </cell>
          <cell r="AV568">
            <v>1000</v>
          </cell>
          <cell r="AW568">
            <v>0</v>
          </cell>
          <cell r="AX568">
            <v>1000</v>
          </cell>
          <cell r="AY568">
            <v>0</v>
          </cell>
          <cell r="AZ568">
            <v>702</v>
          </cell>
          <cell r="BA568">
            <v>24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354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326</v>
          </cell>
          <cell r="BM568">
            <v>204</v>
          </cell>
          <cell r="BN568">
            <v>0</v>
          </cell>
          <cell r="BO568">
            <v>372</v>
          </cell>
          <cell r="BP568">
            <v>0</v>
          </cell>
          <cell r="BQ568">
            <v>0</v>
          </cell>
          <cell r="BR568">
            <v>0</v>
          </cell>
          <cell r="BS568">
            <v>714</v>
          </cell>
          <cell r="BT568">
            <v>7416</v>
          </cell>
        </row>
        <row r="569">
          <cell r="A569">
            <v>1023301013</v>
          </cell>
          <cell r="B569" t="str">
            <v xml:space="preserve">สติ๊กเกอร์สายคาดเค้กลอดช่องน้ำตาลโตนดBC  V1-20251010 </v>
          </cell>
          <cell r="C569" t="str">
            <v>ดวง</v>
          </cell>
          <cell r="E569" t="str">
            <v>RJ</v>
          </cell>
          <cell r="H569">
            <v>414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</row>
        <row r="570">
          <cell r="A570">
            <v>1023901002</v>
          </cell>
          <cell r="B570" t="str">
            <v>ส้อมจิ้มสีแดง</v>
          </cell>
          <cell r="C570" t="str">
            <v>ชิ้น</v>
          </cell>
          <cell r="H570">
            <v>220000</v>
          </cell>
          <cell r="AN570">
            <v>0</v>
          </cell>
          <cell r="AO570">
            <v>10000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10000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1000</v>
          </cell>
          <cell r="BE570">
            <v>1300</v>
          </cell>
          <cell r="BF570">
            <v>1000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23300</v>
          </cell>
        </row>
        <row r="571">
          <cell r="A571">
            <v>1023101041</v>
          </cell>
          <cell r="B571" t="str">
            <v>สติ๊กเกอร์บาร์โค้ดชีสพายสับปะรด แผ่นละ108 ดวง</v>
          </cell>
          <cell r="C571" t="str">
            <v>ดวง</v>
          </cell>
          <cell r="H571">
            <v>3164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216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216</v>
          </cell>
        </row>
        <row r="572">
          <cell r="A572">
            <v>1021601026</v>
          </cell>
          <cell r="B572" t="str">
            <v>ฝา PET แบบ A ใส 300A-PET-C ((ใส่ตาลโตนด)) ลังละ400</v>
          </cell>
          <cell r="C572" t="str">
            <v>ชิ้น</v>
          </cell>
          <cell r="H572">
            <v>28970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</row>
        <row r="573">
          <cell r="A573">
            <v>1021601027</v>
          </cell>
          <cell r="B573" t="str">
            <v>กระป๋อง PET 300-GKPE-219 (ใส่ตาลโตนด)) ลังละ270</v>
          </cell>
          <cell r="C573" t="str">
            <v>ใบ</v>
          </cell>
          <cell r="H573">
            <v>26117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18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18</v>
          </cell>
        </row>
        <row r="574">
          <cell r="A574">
            <v>1023101042</v>
          </cell>
          <cell r="B574" t="str">
            <v>สติ๊กเกอร์สายคาดเป๊ยะไส้ถั่วไข่เค็ม V1-20250820</v>
          </cell>
          <cell r="C574" t="str">
            <v>ดวง</v>
          </cell>
          <cell r="H574">
            <v>5000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1000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1000</v>
          </cell>
        </row>
        <row r="575">
          <cell r="A575">
            <v>1021601028</v>
          </cell>
          <cell r="B575" t="str">
            <v>ถ้วยน้ำ202 พร้อมฝาดับเบิ้ลล็อค95 ตราHB หมี</v>
          </cell>
          <cell r="C575" t="str">
            <v>ใบ</v>
          </cell>
          <cell r="H575">
            <v>84350</v>
          </cell>
          <cell r="AN575">
            <v>0</v>
          </cell>
          <cell r="AO575">
            <v>10000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10000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1000</v>
          </cell>
          <cell r="BE575">
            <v>1300</v>
          </cell>
          <cell r="BF575">
            <v>1000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23300</v>
          </cell>
        </row>
        <row r="576">
          <cell r="A576">
            <v>1021601029</v>
          </cell>
          <cell r="B576" t="str">
            <v>ถ้วย Food Gpps 200 กรัม Noprint  หมี</v>
          </cell>
          <cell r="C576" t="str">
            <v>ใบ</v>
          </cell>
          <cell r="H576">
            <v>80400</v>
          </cell>
          <cell r="AN576">
            <v>0</v>
          </cell>
          <cell r="AO576">
            <v>10000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10000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1000</v>
          </cell>
          <cell r="BE576">
            <v>1300</v>
          </cell>
          <cell r="BF576">
            <v>1000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23300</v>
          </cell>
        </row>
        <row r="577">
          <cell r="A577">
            <v>1020201075</v>
          </cell>
          <cell r="B577" t="str">
            <v>สติ๊กเกอร์สายคาดใสทาร์ตไข่บลูเบอร์รี่ V1-20251010</v>
          </cell>
          <cell r="C577" t="str">
            <v>ดวง</v>
          </cell>
          <cell r="H577">
            <v>5320</v>
          </cell>
          <cell r="AN577">
            <v>0</v>
          </cell>
          <cell r="AO577">
            <v>604</v>
          </cell>
          <cell r="AP577">
            <v>1000</v>
          </cell>
          <cell r="AQ577">
            <v>0</v>
          </cell>
          <cell r="AR577">
            <v>310</v>
          </cell>
          <cell r="AS577">
            <v>406</v>
          </cell>
          <cell r="AT577">
            <v>354</v>
          </cell>
          <cell r="AU577">
            <v>0</v>
          </cell>
          <cell r="AV577">
            <v>0</v>
          </cell>
          <cell r="AW577">
            <v>352</v>
          </cell>
          <cell r="AX577">
            <v>282</v>
          </cell>
          <cell r="AY577">
            <v>348</v>
          </cell>
          <cell r="AZ577">
            <v>504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4160</v>
          </cell>
        </row>
        <row r="578">
          <cell r="A578">
            <v>1020201076</v>
          </cell>
          <cell r="B578" t="str">
            <v>สติ๊กเกอร์สายคาดใสทาร์ตไข่สตรอเบอรี่ V1-20251010</v>
          </cell>
          <cell r="C578" t="str">
            <v>ดวง</v>
          </cell>
          <cell r="H578">
            <v>2604</v>
          </cell>
          <cell r="AN578">
            <v>0</v>
          </cell>
          <cell r="AO578">
            <v>604</v>
          </cell>
          <cell r="AP578">
            <v>1000</v>
          </cell>
          <cell r="AQ578">
            <v>0</v>
          </cell>
          <cell r="AR578">
            <v>300</v>
          </cell>
          <cell r="AS578">
            <v>700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2604</v>
          </cell>
        </row>
        <row r="579">
          <cell r="A579">
            <v>1020201078</v>
          </cell>
          <cell r="B579" t="str">
            <v>สติ๊กเกอร์สายคาดมินิบันไก่หยองน้ำพริกเผา V1-20251014</v>
          </cell>
          <cell r="C579" t="str">
            <v>ดวง</v>
          </cell>
          <cell r="H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</row>
        <row r="580">
          <cell r="A580">
            <v>1023401084</v>
          </cell>
          <cell r="B580" t="str">
            <v>สติ๊กเกอร์สายคาดมินิบันไก่หยองน้ำพริกเผา V2-20251019 (แบบม้วน) ไม่ใช้</v>
          </cell>
          <cell r="C580" t="str">
            <v>ดวง</v>
          </cell>
          <cell r="H580">
            <v>32000</v>
          </cell>
          <cell r="AN580">
            <v>0</v>
          </cell>
          <cell r="AO580">
            <v>0</v>
          </cell>
          <cell r="AP580">
            <v>4000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4000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4000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12000</v>
          </cell>
        </row>
        <row r="581">
          <cell r="A581">
            <v>1020201079</v>
          </cell>
          <cell r="B581" t="str">
            <v>สติ๊กเกอร์สายคาดบานอฟฟี่มัทฉะ V1-20250909</v>
          </cell>
          <cell r="C581" t="str">
            <v>ดวง</v>
          </cell>
          <cell r="H581">
            <v>35342</v>
          </cell>
          <cell r="AN581">
            <v>0</v>
          </cell>
          <cell r="AO581">
            <v>354</v>
          </cell>
          <cell r="AP581">
            <v>1000</v>
          </cell>
          <cell r="AQ581">
            <v>0</v>
          </cell>
          <cell r="AR581">
            <v>1100</v>
          </cell>
          <cell r="AS581">
            <v>1000</v>
          </cell>
          <cell r="AT581">
            <v>1000</v>
          </cell>
          <cell r="AU581">
            <v>0</v>
          </cell>
          <cell r="AV581">
            <v>1000</v>
          </cell>
          <cell r="AW581">
            <v>0</v>
          </cell>
          <cell r="AX581">
            <v>1000</v>
          </cell>
          <cell r="AY581">
            <v>0</v>
          </cell>
          <cell r="AZ581">
            <v>1000</v>
          </cell>
          <cell r="BA581">
            <v>1000</v>
          </cell>
          <cell r="BB581">
            <v>0</v>
          </cell>
          <cell r="BC581">
            <v>1000</v>
          </cell>
          <cell r="BD581">
            <v>420</v>
          </cell>
          <cell r="BE581">
            <v>1006</v>
          </cell>
          <cell r="BF581">
            <v>1000</v>
          </cell>
          <cell r="BG581">
            <v>0</v>
          </cell>
          <cell r="BH581">
            <v>1000</v>
          </cell>
          <cell r="BI581">
            <v>0</v>
          </cell>
          <cell r="BJ581">
            <v>1000</v>
          </cell>
          <cell r="BK581">
            <v>0</v>
          </cell>
          <cell r="BL581">
            <v>1102</v>
          </cell>
          <cell r="BM581">
            <v>1000</v>
          </cell>
          <cell r="BN581">
            <v>1000</v>
          </cell>
          <cell r="BO581">
            <v>1000</v>
          </cell>
          <cell r="BP581">
            <v>0</v>
          </cell>
          <cell r="BQ581">
            <v>0</v>
          </cell>
          <cell r="BR581">
            <v>1000</v>
          </cell>
          <cell r="BS581">
            <v>504</v>
          </cell>
          <cell r="BT581">
            <v>19486</v>
          </cell>
        </row>
        <row r="582">
          <cell r="A582">
            <v>1021601030</v>
          </cell>
          <cell r="B582" t="str">
            <v>กล่องT-2062+L-2062 (กล่องลองบัน)</v>
          </cell>
          <cell r="C582" t="str">
            <v>ใบ</v>
          </cell>
          <cell r="H582">
            <v>164250</v>
          </cell>
          <cell r="AN582">
            <v>0</v>
          </cell>
          <cell r="AO582">
            <v>0</v>
          </cell>
          <cell r="AP582">
            <v>1500</v>
          </cell>
          <cell r="AQ582">
            <v>0</v>
          </cell>
          <cell r="AR582">
            <v>2000</v>
          </cell>
          <cell r="AS582">
            <v>2500</v>
          </cell>
          <cell r="AT582">
            <v>4000</v>
          </cell>
          <cell r="AU582">
            <v>0</v>
          </cell>
          <cell r="AV582">
            <v>1500</v>
          </cell>
          <cell r="AW582">
            <v>0</v>
          </cell>
          <cell r="AX582">
            <v>1500</v>
          </cell>
          <cell r="AY582">
            <v>1700</v>
          </cell>
          <cell r="AZ582">
            <v>1500</v>
          </cell>
          <cell r="BA582">
            <v>1000</v>
          </cell>
          <cell r="BB582">
            <v>0</v>
          </cell>
          <cell r="BC582">
            <v>2000</v>
          </cell>
          <cell r="BD582">
            <v>2100</v>
          </cell>
          <cell r="BE582">
            <v>1200</v>
          </cell>
          <cell r="BF582">
            <v>500</v>
          </cell>
          <cell r="BG582">
            <v>1000</v>
          </cell>
          <cell r="BH582">
            <v>1000</v>
          </cell>
          <cell r="BI582">
            <v>0</v>
          </cell>
          <cell r="BJ582">
            <v>1000</v>
          </cell>
          <cell r="BK582">
            <v>1000</v>
          </cell>
          <cell r="BL582">
            <v>0</v>
          </cell>
          <cell r="BM582">
            <v>500</v>
          </cell>
          <cell r="BN582">
            <v>500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28000</v>
          </cell>
        </row>
        <row r="583">
          <cell r="A583">
            <v>1020201077</v>
          </cell>
          <cell r="B583" t="str">
            <v>สติ๊กเกอร์สายคาดมินิบันไส้ช๊อคโกแลตเฮเซลนัท V1-20251014</v>
          </cell>
          <cell r="C583" t="str">
            <v>ดวง</v>
          </cell>
          <cell r="H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</row>
        <row r="584">
          <cell r="A584">
            <v>1023401089</v>
          </cell>
          <cell r="B584" t="str">
            <v>สติ๊กเกอร์สายคาดมินิบันไส้ช๊อคโกแลตเฮเซลนัท V2-20251019 (แบบม้วน)</v>
          </cell>
          <cell r="C584" t="str">
            <v>ดวง</v>
          </cell>
          <cell r="H584">
            <v>24000</v>
          </cell>
          <cell r="AN584">
            <v>0</v>
          </cell>
          <cell r="AO584">
            <v>3000</v>
          </cell>
          <cell r="AP584">
            <v>6000</v>
          </cell>
          <cell r="AQ584">
            <v>0</v>
          </cell>
          <cell r="AR584">
            <v>0</v>
          </cell>
          <cell r="AS584">
            <v>3000</v>
          </cell>
          <cell r="AT584">
            <v>3000</v>
          </cell>
          <cell r="AU584">
            <v>0</v>
          </cell>
          <cell r="AV584">
            <v>3000</v>
          </cell>
          <cell r="AW584">
            <v>0</v>
          </cell>
          <cell r="AX584">
            <v>3000</v>
          </cell>
          <cell r="AY584">
            <v>3000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24000</v>
          </cell>
        </row>
        <row r="585">
          <cell r="A585">
            <v>1023401132</v>
          </cell>
          <cell r="B585" t="str">
            <v>สติ๊กเกอร์สายคาดมินิบันไส้ช๊อคโกแลตเฮเซลนัท V3-20260226 (แบบม้วน)แบบไหม่</v>
          </cell>
          <cell r="C585" t="str">
            <v>ดวง</v>
          </cell>
          <cell r="H585">
            <v>0</v>
          </cell>
          <cell r="U585">
            <v>30000</v>
          </cell>
          <cell r="AI585">
            <v>25000</v>
          </cell>
          <cell r="AN585">
            <v>55000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6000</v>
          </cell>
          <cell r="BB585">
            <v>0</v>
          </cell>
          <cell r="BC585">
            <v>3000</v>
          </cell>
          <cell r="BD585">
            <v>3000</v>
          </cell>
          <cell r="BE585">
            <v>0</v>
          </cell>
          <cell r="BF585">
            <v>0</v>
          </cell>
          <cell r="BG585">
            <v>3000</v>
          </cell>
          <cell r="BH585">
            <v>5500</v>
          </cell>
          <cell r="BI585">
            <v>0</v>
          </cell>
          <cell r="BJ585">
            <v>3500</v>
          </cell>
          <cell r="BK585">
            <v>3000</v>
          </cell>
          <cell r="BL585">
            <v>0</v>
          </cell>
          <cell r="BM585">
            <v>0</v>
          </cell>
          <cell r="BN585">
            <v>3000</v>
          </cell>
          <cell r="BO585">
            <v>3000</v>
          </cell>
          <cell r="BP585">
            <v>0</v>
          </cell>
          <cell r="BQ585">
            <v>3000</v>
          </cell>
          <cell r="BR585">
            <v>3000</v>
          </cell>
          <cell r="BS585">
            <v>3000</v>
          </cell>
          <cell r="BT585">
            <v>42000</v>
          </cell>
        </row>
        <row r="586">
          <cell r="A586" t="str">
            <v>1021901001-1</v>
          </cell>
          <cell r="B586" t="str">
            <v>ถุงซิปล็อค 4*6 CM กระสอบละ25 กก.</v>
          </cell>
          <cell r="C586" t="str">
            <v>กิโลกรัม</v>
          </cell>
          <cell r="H586">
            <v>50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</row>
        <row r="587">
          <cell r="A587">
            <v>1023101043</v>
          </cell>
          <cell r="B587" t="str">
            <v>สติ๊กเกอร์วงกลมรสเผือก 30*30 CM (ใส่กับกล่อง 1020501040) แผ่นละ 140 ดวง</v>
          </cell>
          <cell r="C587" t="str">
            <v>ดวง</v>
          </cell>
          <cell r="H587">
            <v>26652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</row>
        <row r="588">
          <cell r="A588">
            <v>1023101044</v>
          </cell>
          <cell r="B588" t="str">
            <v>สติ๊กเกอร์วงกลมรสทุเรียน 30*30 CM (ใส่กับกล่อง 1020501041  แผ่นละ 140 ดวง</v>
          </cell>
          <cell r="C588" t="str">
            <v>ดวง</v>
          </cell>
          <cell r="H588">
            <v>21892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420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700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1120</v>
          </cell>
        </row>
        <row r="589">
          <cell r="A589">
            <v>1023101045</v>
          </cell>
          <cell r="B589" t="str">
            <v>สติ๊กเกอร์วงกลมรสสับปะรด 30*30 CM (ใส่กับกล่อง 1020501039)  แผ่นละ 140 ดวง</v>
          </cell>
          <cell r="C589" t="str">
            <v>ดวง</v>
          </cell>
          <cell r="H589">
            <v>27170</v>
          </cell>
          <cell r="AN589">
            <v>0</v>
          </cell>
          <cell r="AO589">
            <v>280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280</v>
          </cell>
        </row>
        <row r="590">
          <cell r="A590">
            <v>1020501039</v>
          </cell>
          <cell r="B590" t="str">
            <v>กล่องชิฟฟ่อนเค้ก รสสับปะรด V1-20251103 ห่อละ100</v>
          </cell>
          <cell r="C590" t="str">
            <v>ใบ</v>
          </cell>
          <cell r="H590">
            <v>3320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</row>
        <row r="591">
          <cell r="A591">
            <v>1020501040</v>
          </cell>
          <cell r="B591" t="str">
            <v>กล่องชิฟฟ่อนเค้ก รสทเผือก V1-20251103   ห่อละ100</v>
          </cell>
          <cell r="C591" t="str">
            <v>ใบ</v>
          </cell>
          <cell r="H591">
            <v>3300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</row>
        <row r="592">
          <cell r="A592">
            <v>1020501041</v>
          </cell>
          <cell r="B592" t="str">
            <v>กล่องชิฟฟ่อนเค้ก รสทุเรียน V1-20251103   ห่อละ100</v>
          </cell>
          <cell r="C592" t="str">
            <v>ใบ</v>
          </cell>
          <cell r="H592">
            <v>2400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100</v>
          </cell>
        </row>
        <row r="593">
          <cell r="A593">
            <v>1024201002</v>
          </cell>
          <cell r="B593" t="str">
            <v>กล่องชิฟฟ่อน 2 ชิ้น เจี้ยนชา (ฝา) ห่อละ200</v>
          </cell>
          <cell r="C593" t="str">
            <v>ใบ</v>
          </cell>
          <cell r="H593">
            <v>4800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</row>
        <row r="594">
          <cell r="A594">
            <v>1024201003</v>
          </cell>
          <cell r="B594" t="str">
            <v>กล่องชิฟฟ่อน 2 ชิ้น เจี้ยนชา (ตัว) ห่อละ200</v>
          </cell>
          <cell r="C594" t="str">
            <v>ใบ</v>
          </cell>
          <cell r="H594">
            <v>4800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</row>
        <row r="595">
          <cell r="A595">
            <v>1024201004</v>
          </cell>
          <cell r="B595" t="str">
            <v>กล่องชิฟฟ่อน 4 ชิ้น เจี้ยนชา (ตัว)</v>
          </cell>
          <cell r="C595" t="str">
            <v>ใบ</v>
          </cell>
          <cell r="H595">
            <v>3700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</row>
        <row r="596">
          <cell r="A596">
            <v>1024201005</v>
          </cell>
          <cell r="B596" t="str">
            <v>กล่องชิฟฟ่อน 4 ชิ้น เจี้ยนชา (ฝา)</v>
          </cell>
          <cell r="C596" t="str">
            <v>ใบ</v>
          </cell>
          <cell r="H596">
            <v>3700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</row>
        <row r="597">
          <cell r="A597">
            <v>1024201006</v>
          </cell>
          <cell r="B597" t="str">
            <v>กล่องชิฟฟ่อน 8 ชิ้น เจี้ยนชา (ตัว)</v>
          </cell>
          <cell r="C597" t="str">
            <v>ใบ</v>
          </cell>
          <cell r="H597">
            <v>4600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</row>
        <row r="598">
          <cell r="A598">
            <v>1024201007</v>
          </cell>
          <cell r="B598" t="str">
            <v>กล่องชิฟฟ่อน 8 ชิ้น เจี้ยนชา (ฝา)</v>
          </cell>
          <cell r="C598" t="str">
            <v>ใบ</v>
          </cell>
          <cell r="H598">
            <v>4600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</row>
        <row r="599">
          <cell r="A599">
            <v>1023401092</v>
          </cell>
          <cell r="B599" t="str">
            <v>สติ๊กเกอร์บาโค๊ตสายคาดเค้กลอดช่องน้ำตาลโตนดCJ</v>
          </cell>
          <cell r="C599" t="str">
            <v>ดวง</v>
          </cell>
          <cell r="H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</row>
        <row r="600">
          <cell r="A600">
            <v>1021601031</v>
          </cell>
          <cell r="B600" t="str">
            <v>ถ้วย Food Gpps 150 กรัม Noprint (ใส่เอแคลร์นมสด)</v>
          </cell>
          <cell r="C600" t="str">
            <v>ใบ</v>
          </cell>
          <cell r="H600">
            <v>10600</v>
          </cell>
          <cell r="L600">
            <v>40000</v>
          </cell>
          <cell r="Q600">
            <v>30000</v>
          </cell>
          <cell r="AF600">
            <v>45000</v>
          </cell>
          <cell r="AN600">
            <v>115000</v>
          </cell>
          <cell r="AO600">
            <v>3050</v>
          </cell>
          <cell r="AP600">
            <v>2250</v>
          </cell>
          <cell r="AQ600">
            <v>0</v>
          </cell>
          <cell r="AR600">
            <v>3300</v>
          </cell>
          <cell r="AS600">
            <v>2000</v>
          </cell>
          <cell r="AT600">
            <v>3400</v>
          </cell>
          <cell r="AU600">
            <v>0</v>
          </cell>
          <cell r="AV600">
            <v>2200</v>
          </cell>
          <cell r="AW600">
            <v>1200</v>
          </cell>
          <cell r="AX600">
            <v>2000</v>
          </cell>
          <cell r="AY600">
            <v>7200</v>
          </cell>
          <cell r="AZ600">
            <v>5500</v>
          </cell>
          <cell r="BA600">
            <v>8400</v>
          </cell>
          <cell r="BB600">
            <v>0</v>
          </cell>
          <cell r="BC600">
            <v>6100</v>
          </cell>
          <cell r="BD600">
            <v>3500</v>
          </cell>
          <cell r="BE600">
            <v>0</v>
          </cell>
          <cell r="BF600">
            <v>400</v>
          </cell>
          <cell r="BG600">
            <v>4400</v>
          </cell>
          <cell r="BH600">
            <v>4300</v>
          </cell>
          <cell r="BI600">
            <v>0</v>
          </cell>
          <cell r="BJ600">
            <v>1700</v>
          </cell>
          <cell r="BK600">
            <v>3300</v>
          </cell>
          <cell r="BL600">
            <v>3300</v>
          </cell>
          <cell r="BM600">
            <v>5000</v>
          </cell>
          <cell r="BN600">
            <v>3000</v>
          </cell>
          <cell r="BO600">
            <v>3000</v>
          </cell>
          <cell r="BP600">
            <v>0</v>
          </cell>
          <cell r="BQ600">
            <v>4000</v>
          </cell>
          <cell r="BR600">
            <v>3000</v>
          </cell>
          <cell r="BS600">
            <v>4400</v>
          </cell>
          <cell r="BT600">
            <v>89900</v>
          </cell>
        </row>
        <row r="601">
          <cell r="A601">
            <v>1021601033</v>
          </cell>
          <cell r="B601" t="str">
            <v>ฝา 95 ดับเบิ้ลล็อก (ใส่เอแคลร์นมสด) ลังละ 1500</v>
          </cell>
          <cell r="C601" t="str">
            <v>ชิ้น</v>
          </cell>
          <cell r="H601">
            <v>13000</v>
          </cell>
          <cell r="L601">
            <v>39000</v>
          </cell>
          <cell r="Z601">
            <v>39000</v>
          </cell>
          <cell r="AM601">
            <v>75000</v>
          </cell>
          <cell r="AN601">
            <v>153000</v>
          </cell>
          <cell r="AO601">
            <v>2050</v>
          </cell>
          <cell r="AP601">
            <v>2250</v>
          </cell>
          <cell r="AQ601">
            <v>0</v>
          </cell>
          <cell r="AR601">
            <v>3000</v>
          </cell>
          <cell r="AS601">
            <v>1500</v>
          </cell>
          <cell r="AT601">
            <v>3400</v>
          </cell>
          <cell r="AU601">
            <v>0</v>
          </cell>
          <cell r="AV601">
            <v>2200</v>
          </cell>
          <cell r="AW601">
            <v>800</v>
          </cell>
          <cell r="AX601">
            <v>2400</v>
          </cell>
          <cell r="AY601">
            <v>8500</v>
          </cell>
          <cell r="AZ601">
            <v>5800</v>
          </cell>
          <cell r="BA601">
            <v>8600</v>
          </cell>
          <cell r="BB601">
            <v>0</v>
          </cell>
          <cell r="BC601">
            <v>7000</v>
          </cell>
          <cell r="BD601">
            <v>4000</v>
          </cell>
          <cell r="BE601">
            <v>0</v>
          </cell>
          <cell r="BF601">
            <v>0</v>
          </cell>
          <cell r="BG601">
            <v>4950</v>
          </cell>
          <cell r="BH601">
            <v>4800</v>
          </cell>
          <cell r="BI601">
            <v>0</v>
          </cell>
          <cell r="BJ601">
            <v>1200</v>
          </cell>
          <cell r="BK601">
            <v>2000</v>
          </cell>
          <cell r="BL601">
            <v>2800</v>
          </cell>
          <cell r="BM601">
            <v>5150</v>
          </cell>
          <cell r="BN601">
            <v>3000</v>
          </cell>
          <cell r="BO601">
            <v>3000</v>
          </cell>
          <cell r="BP601">
            <v>0</v>
          </cell>
          <cell r="BQ601">
            <v>4500</v>
          </cell>
          <cell r="BR601">
            <v>3000</v>
          </cell>
          <cell r="BS601">
            <v>5100</v>
          </cell>
          <cell r="BT601">
            <v>91000</v>
          </cell>
        </row>
        <row r="602">
          <cell r="A602">
            <v>1023401093</v>
          </cell>
          <cell r="B602" t="str">
            <v>สติ๊กเกอร์แซนวิสทูน่าน้ำสลัด V1-20251125(CJ)</v>
          </cell>
          <cell r="C602" t="str">
            <v>ดวง</v>
          </cell>
          <cell r="H602">
            <v>4714</v>
          </cell>
          <cell r="AN602">
            <v>0</v>
          </cell>
          <cell r="AO602">
            <v>4714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4714</v>
          </cell>
        </row>
        <row r="603">
          <cell r="A603">
            <v>1023401129</v>
          </cell>
          <cell r="B603" t="str">
            <v>สติ๊กเกอร์แซนวิสทูน่าน้ำสลัด V2-20260120(CJ) แบบไหม่</v>
          </cell>
          <cell r="C603" t="str">
            <v>ดวง</v>
          </cell>
          <cell r="H603">
            <v>0</v>
          </cell>
          <cell r="I603">
            <v>42000</v>
          </cell>
          <cell r="AN603">
            <v>42000</v>
          </cell>
          <cell r="AO603">
            <v>0</v>
          </cell>
          <cell r="AP603">
            <v>5000</v>
          </cell>
          <cell r="AQ603">
            <v>0</v>
          </cell>
          <cell r="AR603">
            <v>2000</v>
          </cell>
          <cell r="AS603">
            <v>1018</v>
          </cell>
          <cell r="AT603">
            <v>2300</v>
          </cell>
          <cell r="AU603">
            <v>0</v>
          </cell>
          <cell r="AV603">
            <v>1000</v>
          </cell>
          <cell r="AW603">
            <v>0</v>
          </cell>
          <cell r="AX603">
            <v>1000</v>
          </cell>
          <cell r="AY603">
            <v>1000</v>
          </cell>
          <cell r="AZ603">
            <v>1000</v>
          </cell>
          <cell r="BA603">
            <v>702</v>
          </cell>
          <cell r="BB603">
            <v>0</v>
          </cell>
          <cell r="BC603">
            <v>657</v>
          </cell>
          <cell r="BD603">
            <v>800</v>
          </cell>
          <cell r="BE603">
            <v>722</v>
          </cell>
          <cell r="BF603">
            <v>501</v>
          </cell>
          <cell r="BG603">
            <v>1000</v>
          </cell>
          <cell r="BH603">
            <v>1000</v>
          </cell>
          <cell r="BI603">
            <v>0</v>
          </cell>
          <cell r="BJ603">
            <v>1000</v>
          </cell>
          <cell r="BK603">
            <v>1000</v>
          </cell>
          <cell r="BL603">
            <v>102</v>
          </cell>
          <cell r="BM603">
            <v>213</v>
          </cell>
          <cell r="BN603">
            <v>1000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23015</v>
          </cell>
        </row>
        <row r="604">
          <cell r="A604">
            <v>1023401094</v>
          </cell>
          <cell r="B604" t="str">
            <v>สติ๊กเกอร์สายคาดแซนวิสไส้แยมทูโทน  V1-20251125(CJ) ไม่ใช้</v>
          </cell>
          <cell r="C604" t="str">
            <v>ดวง</v>
          </cell>
          <cell r="H604">
            <v>1536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</row>
        <row r="605">
          <cell r="A605">
            <v>1023401109</v>
          </cell>
          <cell r="B605" t="str">
            <v>สติ๊กเกอร์สายคาดแซนวิสไส้แยมทูโทนสตอเบอรี่และช็อคโกแลต  V2-20260113(CJ) เลิกขาย</v>
          </cell>
          <cell r="C605" t="str">
            <v>ดวง</v>
          </cell>
          <cell r="H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</row>
        <row r="606">
          <cell r="A606">
            <v>1023401127</v>
          </cell>
          <cell r="B606" t="str">
            <v>สติ๊กเกอร์สายคาดแซนวิสไส้แยมทูโทนสตอเบอรี่และช็อคโกแลต  V3-20260127(CJ)แบบไหม่</v>
          </cell>
          <cell r="C606" t="str">
            <v>ดวง</v>
          </cell>
          <cell r="H606">
            <v>17400</v>
          </cell>
          <cell r="AN606">
            <v>0</v>
          </cell>
          <cell r="AO606">
            <v>100</v>
          </cell>
          <cell r="AP606">
            <v>700</v>
          </cell>
          <cell r="AQ606">
            <v>0</v>
          </cell>
          <cell r="AR606">
            <v>800</v>
          </cell>
          <cell r="AS606">
            <v>600</v>
          </cell>
          <cell r="AT606">
            <v>0</v>
          </cell>
          <cell r="AU606">
            <v>0</v>
          </cell>
          <cell r="AV606">
            <v>600</v>
          </cell>
          <cell r="AW606">
            <v>400</v>
          </cell>
          <cell r="AX606">
            <v>400</v>
          </cell>
          <cell r="AY606">
            <v>800</v>
          </cell>
          <cell r="AZ606">
            <v>408</v>
          </cell>
          <cell r="BA606">
            <v>600</v>
          </cell>
          <cell r="BB606">
            <v>0</v>
          </cell>
          <cell r="BC606">
            <v>600</v>
          </cell>
          <cell r="BD606">
            <v>516</v>
          </cell>
          <cell r="BE606">
            <v>1016</v>
          </cell>
          <cell r="BF606">
            <v>400</v>
          </cell>
          <cell r="BG606">
            <v>448</v>
          </cell>
          <cell r="BH606">
            <v>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8788</v>
          </cell>
        </row>
        <row r="607">
          <cell r="A607">
            <v>1023401095</v>
          </cell>
          <cell r="B607" t="str">
            <v>สตก.สายคาดกระดาษคัพเค้กสอดไส้แยมสตรอร์เบอรี่ V1-20251125(CJ)คริสมาส</v>
          </cell>
          <cell r="C607" t="str">
            <v>ดวง</v>
          </cell>
          <cell r="E607" t="str">
            <v>RJ</v>
          </cell>
          <cell r="H607">
            <v>12050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</row>
        <row r="608">
          <cell r="A608">
            <v>1023401096</v>
          </cell>
          <cell r="B608" t="str">
            <v>สตก.สายคาดลองบันชาไทยสอดไส้ครีมบราวน์ชูก้า V2-20251126(CJ)</v>
          </cell>
          <cell r="C608" t="str">
            <v>ดวง</v>
          </cell>
          <cell r="H608">
            <v>51026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</row>
        <row r="609">
          <cell r="A609">
            <v>1021601032</v>
          </cell>
          <cell r="B609" t="str">
            <v xml:space="preserve">กล่อง FF-22 พลาสติก PET </v>
          </cell>
          <cell r="C609" t="str">
            <v>ใบ</v>
          </cell>
          <cell r="E609" t="str">
            <v>RJ</v>
          </cell>
          <cell r="H609">
            <v>13311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</row>
        <row r="610">
          <cell r="A610" t="str">
            <v>1020301005-1</v>
          </cell>
          <cell r="B610" t="str">
            <v>กระทงฟอยล์เคลือบ 3219 สีแดงฟอย 1ลังมี 16แถว*500ใบ</v>
          </cell>
          <cell r="C610" t="str">
            <v>แถว</v>
          </cell>
          <cell r="H610">
            <v>48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</row>
        <row r="611">
          <cell r="A611">
            <v>1023401102</v>
          </cell>
          <cell r="B611" t="str">
            <v>สติ๊กเกอร์สายคาดเค้กลอดช่องน้ำตาลโตนดPPใส   V4-20251124 (CJ)</v>
          </cell>
          <cell r="C611" t="str">
            <v>ดวง</v>
          </cell>
          <cell r="H611">
            <v>23975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</row>
        <row r="612">
          <cell r="A612">
            <v>1023401103</v>
          </cell>
          <cell r="B612" t="str">
            <v>สติ๊กเกอร์สายคาดเครปโรลไส้แยมผลไม้  V1-20251211  (CJ) ไม่ใช้</v>
          </cell>
          <cell r="C612" t="str">
            <v>ดวง</v>
          </cell>
          <cell r="H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</row>
        <row r="613">
          <cell r="A613">
            <v>1023401111</v>
          </cell>
          <cell r="B613" t="str">
            <v>สติ๊กเกอร์สายคาดเครปโรลไส้แยมผลไม้  V2-20251255  (CJ)</v>
          </cell>
          <cell r="C613" t="str">
            <v>ดวง</v>
          </cell>
          <cell r="H613">
            <v>25430</v>
          </cell>
          <cell r="T613">
            <v>10000</v>
          </cell>
          <cell r="V613">
            <v>20000</v>
          </cell>
          <cell r="AC613">
            <v>25000</v>
          </cell>
          <cell r="AN613">
            <v>55000</v>
          </cell>
          <cell r="AO613">
            <v>2347</v>
          </cell>
          <cell r="AP613">
            <v>1440</v>
          </cell>
          <cell r="AQ613">
            <v>0</v>
          </cell>
          <cell r="AR613">
            <v>2102</v>
          </cell>
          <cell r="AS613">
            <v>3276</v>
          </cell>
          <cell r="AT613">
            <v>5204</v>
          </cell>
          <cell r="AU613">
            <v>0</v>
          </cell>
          <cell r="AV613">
            <v>2000</v>
          </cell>
          <cell r="AW613">
            <v>1000</v>
          </cell>
          <cell r="AX613">
            <v>3061</v>
          </cell>
          <cell r="AY613">
            <v>3000</v>
          </cell>
          <cell r="AZ613">
            <v>2000</v>
          </cell>
          <cell r="BA613">
            <v>1714</v>
          </cell>
          <cell r="BB613">
            <v>0</v>
          </cell>
          <cell r="BC613">
            <v>2204</v>
          </cell>
          <cell r="BD613">
            <v>2522</v>
          </cell>
          <cell r="BE613">
            <v>2314</v>
          </cell>
          <cell r="BF613">
            <v>2000</v>
          </cell>
          <cell r="BG613">
            <v>2000</v>
          </cell>
          <cell r="BH613">
            <v>2102</v>
          </cell>
          <cell r="BI613">
            <v>0</v>
          </cell>
          <cell r="BJ613">
            <v>2000</v>
          </cell>
          <cell r="BK613">
            <v>1000</v>
          </cell>
          <cell r="BL613">
            <v>3000</v>
          </cell>
          <cell r="BM613">
            <v>1000</v>
          </cell>
          <cell r="BN613">
            <v>2000</v>
          </cell>
          <cell r="BO613">
            <v>2375</v>
          </cell>
          <cell r="BP613">
            <v>0</v>
          </cell>
          <cell r="BQ613">
            <v>1240</v>
          </cell>
          <cell r="BR613">
            <v>1430</v>
          </cell>
          <cell r="BS613">
            <v>2118</v>
          </cell>
          <cell r="BT613">
            <v>56449</v>
          </cell>
        </row>
        <row r="614">
          <cell r="A614" t="str">
            <v>1022101004-2</v>
          </cell>
          <cell r="B614" t="str">
            <v>ถุง OPP 30mic 1.5*3.5 งานแผ่น (1ห่อ*10 กก.)</v>
          </cell>
          <cell r="C614" t="str">
            <v>กิโลกรัม</v>
          </cell>
          <cell r="H614">
            <v>80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1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1</v>
          </cell>
          <cell r="BI614">
            <v>0</v>
          </cell>
          <cell r="BJ614">
            <v>4</v>
          </cell>
          <cell r="BK614">
            <v>0</v>
          </cell>
          <cell r="BL614">
            <v>1</v>
          </cell>
          <cell r="BM614">
            <v>0</v>
          </cell>
          <cell r="BN614">
            <v>3</v>
          </cell>
          <cell r="BO614">
            <v>1</v>
          </cell>
          <cell r="BP614">
            <v>0</v>
          </cell>
          <cell r="BQ614">
            <v>0</v>
          </cell>
          <cell r="BR614">
            <v>0</v>
          </cell>
          <cell r="BS614">
            <v>3</v>
          </cell>
          <cell r="BT614">
            <v>14</v>
          </cell>
        </row>
        <row r="615">
          <cell r="A615">
            <v>1020501042</v>
          </cell>
          <cell r="B615" t="str">
            <v>กล่องลัง เบอร์ 3</v>
          </cell>
          <cell r="C615" t="str">
            <v>ใบ</v>
          </cell>
          <cell r="H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</row>
        <row r="616">
          <cell r="A616">
            <v>1023401068</v>
          </cell>
          <cell r="B616" t="str">
            <v>สติ๊กเกอร์สายคาดปังใส้กรอกแลบลิ้น  V3-20250912  (CJ) แบบใหม่</v>
          </cell>
          <cell r="C616" t="str">
            <v>ดวง</v>
          </cell>
          <cell r="H616">
            <v>18198</v>
          </cell>
          <cell r="S616">
            <v>4000</v>
          </cell>
          <cell r="T616">
            <v>5044</v>
          </cell>
          <cell r="U616">
            <v>26000</v>
          </cell>
          <cell r="AC616">
            <v>30000</v>
          </cell>
          <cell r="AN616">
            <v>65044</v>
          </cell>
          <cell r="AO616">
            <v>1000</v>
          </cell>
          <cell r="AP616">
            <v>4000</v>
          </cell>
          <cell r="AQ616">
            <v>0</v>
          </cell>
          <cell r="AR616">
            <v>2980</v>
          </cell>
          <cell r="AS616">
            <v>3000</v>
          </cell>
          <cell r="AT616">
            <v>5000</v>
          </cell>
          <cell r="AU616">
            <v>0</v>
          </cell>
          <cell r="AV616">
            <v>2218</v>
          </cell>
          <cell r="AW616">
            <v>0</v>
          </cell>
          <cell r="AX616">
            <v>0</v>
          </cell>
          <cell r="AY616">
            <v>4000</v>
          </cell>
          <cell r="AZ616">
            <v>0</v>
          </cell>
          <cell r="BA616">
            <v>5044</v>
          </cell>
          <cell r="BB616">
            <v>0</v>
          </cell>
          <cell r="BC616">
            <v>3250</v>
          </cell>
          <cell r="BD616">
            <v>4000</v>
          </cell>
          <cell r="BE616">
            <v>384</v>
          </cell>
          <cell r="BF616">
            <v>2000</v>
          </cell>
          <cell r="BG616">
            <v>3000</v>
          </cell>
          <cell r="BH616">
            <v>2000</v>
          </cell>
          <cell r="BI616">
            <v>0</v>
          </cell>
          <cell r="BJ616">
            <v>2000</v>
          </cell>
          <cell r="BK616">
            <v>2222</v>
          </cell>
          <cell r="BL616">
            <v>3000</v>
          </cell>
          <cell r="BM616">
            <v>2000</v>
          </cell>
          <cell r="BN616">
            <v>2000</v>
          </cell>
          <cell r="BO616">
            <v>4344</v>
          </cell>
          <cell r="BP616">
            <v>0</v>
          </cell>
          <cell r="BQ616">
            <v>1200</v>
          </cell>
          <cell r="BR616">
            <v>3000</v>
          </cell>
          <cell r="BS616">
            <v>2004</v>
          </cell>
          <cell r="BT616">
            <v>63646</v>
          </cell>
        </row>
        <row r="617">
          <cell r="A617">
            <v>1023401104</v>
          </cell>
          <cell r="B617" t="str">
            <v>สติ๊กเกอร์สายคาดแซนวิสไส้กรอกชีส (สีน้ำตาล) V2-20251020 เลิกใช้</v>
          </cell>
          <cell r="C617" t="str">
            <v>ดวง</v>
          </cell>
          <cell r="H617">
            <v>14006</v>
          </cell>
          <cell r="N617">
            <v>20000</v>
          </cell>
          <cell r="AN617">
            <v>20000</v>
          </cell>
          <cell r="AO617">
            <v>2700</v>
          </cell>
          <cell r="AP617">
            <v>1600</v>
          </cell>
          <cell r="AQ617">
            <v>0</v>
          </cell>
          <cell r="AR617">
            <v>1500</v>
          </cell>
          <cell r="AS617">
            <v>1894</v>
          </cell>
          <cell r="AT617">
            <v>3100</v>
          </cell>
          <cell r="AU617">
            <v>0</v>
          </cell>
          <cell r="AV617">
            <v>1000</v>
          </cell>
          <cell r="AW617">
            <v>0</v>
          </cell>
          <cell r="AX617">
            <v>1300</v>
          </cell>
          <cell r="AY617">
            <v>1201</v>
          </cell>
          <cell r="AZ617">
            <v>1327</v>
          </cell>
          <cell r="BA617">
            <v>2402</v>
          </cell>
          <cell r="BB617">
            <v>0</v>
          </cell>
          <cell r="BC617">
            <v>1300</v>
          </cell>
          <cell r="BD617">
            <v>1501</v>
          </cell>
          <cell r="BE617">
            <v>2082</v>
          </cell>
          <cell r="BF617">
            <v>2000</v>
          </cell>
          <cell r="BG617">
            <v>2000</v>
          </cell>
          <cell r="BH617">
            <v>2516</v>
          </cell>
          <cell r="BI617">
            <v>0</v>
          </cell>
          <cell r="BJ617">
            <v>2000</v>
          </cell>
          <cell r="BK617">
            <v>2583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34006</v>
          </cell>
        </row>
        <row r="618">
          <cell r="A618">
            <v>1021601035</v>
          </cell>
          <cell r="B618" t="str">
            <v>กล่องลายสก๊อตชมพู+ฝา 9*9*6.5CM (แพ็คละ50ใบ)ลังละ32แพ็ค</v>
          </cell>
          <cell r="C618" t="str">
            <v>ใบ</v>
          </cell>
          <cell r="H618">
            <v>24450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</row>
        <row r="619">
          <cell r="A619">
            <v>1023401110</v>
          </cell>
          <cell r="B619" t="str">
            <v>สติ๊กเกอร์สายคาดมินิบันแฮมชีส  V1-20260113  (CJ)</v>
          </cell>
          <cell r="C619" t="str">
            <v>ดวง</v>
          </cell>
          <cell r="H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</row>
        <row r="620">
          <cell r="A620">
            <v>1023401117</v>
          </cell>
          <cell r="B620" t="str">
            <v>สติ๊กเกอร์สายคาดมินิบันแฮมชีส  V2-20260205 (แบบไม่มีคำว่าใหม่)</v>
          </cell>
          <cell r="C620" t="str">
            <v>ดวง</v>
          </cell>
          <cell r="H620">
            <v>2784</v>
          </cell>
          <cell r="J620">
            <v>30000</v>
          </cell>
          <cell r="T620">
            <v>10000</v>
          </cell>
          <cell r="AD620">
            <v>30000</v>
          </cell>
          <cell r="AN620">
            <v>70000</v>
          </cell>
          <cell r="AO620">
            <v>0</v>
          </cell>
          <cell r="AP620">
            <v>3200</v>
          </cell>
          <cell r="AQ620">
            <v>0</v>
          </cell>
          <cell r="AR620">
            <v>1984</v>
          </cell>
          <cell r="AS620">
            <v>1782</v>
          </cell>
          <cell r="AT620">
            <v>3000</v>
          </cell>
          <cell r="AU620">
            <v>0</v>
          </cell>
          <cell r="AV620">
            <v>2250</v>
          </cell>
          <cell r="AW620">
            <v>0</v>
          </cell>
          <cell r="AX620">
            <v>1200</v>
          </cell>
          <cell r="AY620">
            <v>2502</v>
          </cell>
          <cell r="AZ620">
            <v>612</v>
          </cell>
          <cell r="BA620">
            <v>3600</v>
          </cell>
          <cell r="BB620">
            <v>0</v>
          </cell>
          <cell r="BC620">
            <v>1206</v>
          </cell>
          <cell r="BD620">
            <v>1422</v>
          </cell>
          <cell r="BE620">
            <v>0</v>
          </cell>
          <cell r="BF620">
            <v>1020</v>
          </cell>
          <cell r="BG620">
            <v>1422</v>
          </cell>
          <cell r="BH620">
            <v>2400</v>
          </cell>
          <cell r="BI620">
            <v>0</v>
          </cell>
          <cell r="BJ620">
            <v>2200</v>
          </cell>
          <cell r="BK620">
            <v>0</v>
          </cell>
          <cell r="BL620">
            <v>1200</v>
          </cell>
          <cell r="BM620">
            <v>1800</v>
          </cell>
          <cell r="BN620">
            <v>4000</v>
          </cell>
          <cell r="BO620">
            <v>1800</v>
          </cell>
          <cell r="BP620">
            <v>0</v>
          </cell>
          <cell r="BQ620">
            <v>0</v>
          </cell>
          <cell r="BR620">
            <v>3000</v>
          </cell>
          <cell r="BS620">
            <v>207</v>
          </cell>
          <cell r="BT620">
            <v>41807</v>
          </cell>
        </row>
        <row r="621">
          <cell r="A621">
            <v>1023401112</v>
          </cell>
          <cell r="B621" t="str">
            <v>สติ๊กเกอร์สายคาดขนมปังครีมชีสสตรอเบอรี่และแบล็คโกโก้  V1-20260113(CJ)บูบันหัวใจ</v>
          </cell>
          <cell r="C621" t="str">
            <v>ดวง</v>
          </cell>
          <cell r="H621">
            <v>19458</v>
          </cell>
          <cell r="AN621">
            <v>0</v>
          </cell>
          <cell r="AO621">
            <v>0</v>
          </cell>
          <cell r="AP621">
            <v>220</v>
          </cell>
          <cell r="AQ621">
            <v>0</v>
          </cell>
          <cell r="AR621">
            <v>440</v>
          </cell>
          <cell r="AS621">
            <v>0</v>
          </cell>
          <cell r="AT621">
            <v>0</v>
          </cell>
          <cell r="AU621">
            <v>0</v>
          </cell>
          <cell r="AV621">
            <v>208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868</v>
          </cell>
        </row>
        <row r="622">
          <cell r="A622">
            <v>1023401113</v>
          </cell>
          <cell r="B622" t="str">
            <v>สติ๊กเกอร์สายคาดเครปบานาน่าช็อคโกแลต  V1-20251211  (CJ)</v>
          </cell>
          <cell r="C622" t="str">
            <v>ดวง</v>
          </cell>
          <cell r="H622">
            <v>13176</v>
          </cell>
          <cell r="AN622">
            <v>0</v>
          </cell>
          <cell r="AO622">
            <v>1200</v>
          </cell>
          <cell r="AP622">
            <v>1200</v>
          </cell>
          <cell r="AQ622">
            <v>0</v>
          </cell>
          <cell r="AR622">
            <v>2000</v>
          </cell>
          <cell r="AS622">
            <v>1416</v>
          </cell>
          <cell r="AT622">
            <v>2800</v>
          </cell>
          <cell r="AU622">
            <v>0</v>
          </cell>
          <cell r="AV622">
            <v>2000</v>
          </cell>
          <cell r="AW622">
            <v>560</v>
          </cell>
          <cell r="AX622">
            <v>2000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13176</v>
          </cell>
        </row>
        <row r="623">
          <cell r="A623">
            <v>1023401125</v>
          </cell>
          <cell r="B623" t="str">
            <v>สติ๊กเกอร์สายคาดเครปบานาน่าช็อคโกแลต  V2-20260213  (CJ)แบบไหม่</v>
          </cell>
          <cell r="C623" t="str">
            <v>ดวง</v>
          </cell>
          <cell r="H623">
            <v>0</v>
          </cell>
          <cell r="R623">
            <v>15000</v>
          </cell>
          <cell r="T623">
            <v>25000</v>
          </cell>
          <cell r="AN623">
            <v>40000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2000</v>
          </cell>
          <cell r="AZ623">
            <v>2000</v>
          </cell>
          <cell r="BA623">
            <v>1402</v>
          </cell>
          <cell r="BB623">
            <v>0</v>
          </cell>
          <cell r="BC623">
            <v>0</v>
          </cell>
          <cell r="BD623">
            <v>2300</v>
          </cell>
          <cell r="BE623">
            <v>506</v>
          </cell>
          <cell r="BF623">
            <v>1402</v>
          </cell>
          <cell r="BG623">
            <v>1396</v>
          </cell>
          <cell r="BH623">
            <v>1300</v>
          </cell>
          <cell r="BI623">
            <v>0</v>
          </cell>
          <cell r="BJ623">
            <v>1100</v>
          </cell>
          <cell r="BK623">
            <v>1102</v>
          </cell>
          <cell r="BL623">
            <v>2000</v>
          </cell>
          <cell r="BM623">
            <v>1000</v>
          </cell>
          <cell r="BN623">
            <v>1000</v>
          </cell>
          <cell r="BO623">
            <v>1204</v>
          </cell>
          <cell r="BP623">
            <v>0</v>
          </cell>
          <cell r="BQ623">
            <v>1000</v>
          </cell>
          <cell r="BR623">
            <v>1000</v>
          </cell>
          <cell r="BS623">
            <v>1000</v>
          </cell>
          <cell r="BT623">
            <v>22712</v>
          </cell>
        </row>
        <row r="624">
          <cell r="A624">
            <v>1023401120</v>
          </cell>
          <cell r="B624" t="str">
            <v>สติ๊กเกอร์สายคาดเครปโรลฝอยทองใบเตย  V1-20260118</v>
          </cell>
          <cell r="C624" t="str">
            <v>ดวง</v>
          </cell>
          <cell r="H624">
            <v>22014</v>
          </cell>
          <cell r="U624">
            <v>20000</v>
          </cell>
          <cell r="AM624">
            <v>40000</v>
          </cell>
          <cell r="AN624">
            <v>60000</v>
          </cell>
          <cell r="AO624">
            <v>204</v>
          </cell>
          <cell r="AP624">
            <v>0</v>
          </cell>
          <cell r="AQ624">
            <v>0</v>
          </cell>
          <cell r="AR624">
            <v>2154</v>
          </cell>
          <cell r="AS624">
            <v>1936</v>
          </cell>
          <cell r="AT624">
            <v>3324</v>
          </cell>
          <cell r="AU624">
            <v>0</v>
          </cell>
          <cell r="AV624">
            <v>2222</v>
          </cell>
          <cell r="AW624">
            <v>1000</v>
          </cell>
          <cell r="AX624">
            <v>2100</v>
          </cell>
          <cell r="AY624">
            <v>2000</v>
          </cell>
          <cell r="AZ624">
            <v>1000</v>
          </cell>
          <cell r="BA624">
            <v>1402</v>
          </cell>
          <cell r="BB624">
            <v>0</v>
          </cell>
          <cell r="BC624">
            <v>1402</v>
          </cell>
          <cell r="BD624">
            <v>1378</v>
          </cell>
          <cell r="BE624">
            <v>1814</v>
          </cell>
          <cell r="BF624">
            <v>1000</v>
          </cell>
          <cell r="BG624">
            <v>2000</v>
          </cell>
          <cell r="BH624">
            <v>1000</v>
          </cell>
          <cell r="BI624">
            <v>0</v>
          </cell>
          <cell r="BJ624">
            <v>1000</v>
          </cell>
          <cell r="BK624">
            <v>1000</v>
          </cell>
          <cell r="BL624">
            <v>3000</v>
          </cell>
          <cell r="BM624">
            <v>1000</v>
          </cell>
          <cell r="BN624">
            <v>1000</v>
          </cell>
          <cell r="BO624">
            <v>2000</v>
          </cell>
          <cell r="BP624">
            <v>0</v>
          </cell>
          <cell r="BQ624">
            <v>1000</v>
          </cell>
          <cell r="BR624">
            <v>0</v>
          </cell>
          <cell r="BS624">
            <v>1000</v>
          </cell>
          <cell r="BT624">
            <v>36936</v>
          </cell>
        </row>
        <row r="625">
          <cell r="A625">
            <v>1023401121</v>
          </cell>
          <cell r="B625" t="str">
            <v>สติ๊กเกอร์สายคาดขนมปังไก่หยองพริกเผาสาหร่าย  V1-20260201</v>
          </cell>
          <cell r="C625" t="str">
            <v>ดวง</v>
          </cell>
          <cell r="H625">
            <v>6639</v>
          </cell>
          <cell r="AN625">
            <v>0</v>
          </cell>
          <cell r="AO625">
            <v>3000</v>
          </cell>
          <cell r="AP625">
            <v>1000</v>
          </cell>
          <cell r="AQ625">
            <v>0</v>
          </cell>
          <cell r="AR625">
            <v>2639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6639</v>
          </cell>
        </row>
        <row r="626">
          <cell r="A626">
            <v>1023401128</v>
          </cell>
          <cell r="B626" t="str">
            <v>สติ๊กเกอร์สายคาดขนมปังไก่หยองพริกเผาสาหร่าย  V2-20260213 แบบไหม่</v>
          </cell>
          <cell r="C626" t="str">
            <v>ดวง</v>
          </cell>
          <cell r="H626">
            <v>0</v>
          </cell>
          <cell r="R626">
            <v>15000</v>
          </cell>
          <cell r="T626">
            <v>15000</v>
          </cell>
          <cell r="AI626">
            <v>25000</v>
          </cell>
          <cell r="AN626">
            <v>55000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2504</v>
          </cell>
          <cell r="AY626">
            <v>2000</v>
          </cell>
          <cell r="AZ626">
            <v>504</v>
          </cell>
          <cell r="BA626">
            <v>2388</v>
          </cell>
          <cell r="BB626">
            <v>0</v>
          </cell>
          <cell r="BC626">
            <v>1204</v>
          </cell>
          <cell r="BD626">
            <v>3638</v>
          </cell>
          <cell r="BE626">
            <v>402</v>
          </cell>
          <cell r="BF626">
            <v>2000</v>
          </cell>
          <cell r="BG626">
            <v>1000</v>
          </cell>
          <cell r="BH626">
            <v>1504</v>
          </cell>
          <cell r="BI626">
            <v>0</v>
          </cell>
          <cell r="BJ626">
            <v>2600</v>
          </cell>
          <cell r="BK626">
            <v>1246</v>
          </cell>
          <cell r="BL626">
            <v>0</v>
          </cell>
          <cell r="BM626">
            <v>1120</v>
          </cell>
          <cell r="BN626">
            <v>2504</v>
          </cell>
          <cell r="BO626">
            <v>2000</v>
          </cell>
          <cell r="BP626">
            <v>0</v>
          </cell>
          <cell r="BQ626">
            <v>2000</v>
          </cell>
          <cell r="BR626">
            <v>1000</v>
          </cell>
          <cell r="BS626">
            <v>2000</v>
          </cell>
          <cell r="BT626">
            <v>31614</v>
          </cell>
        </row>
        <row r="627">
          <cell r="A627">
            <v>1023401123</v>
          </cell>
          <cell r="B627" t="str">
            <v xml:space="preserve">สติ๊กเกอร์สายคาดมินิบันปูอัดมายองเนส  V1-20260206 </v>
          </cell>
          <cell r="C627" t="str">
            <v>ดวง</v>
          </cell>
          <cell r="H627">
            <v>15798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1200</v>
          </cell>
          <cell r="AS627">
            <v>1200</v>
          </cell>
          <cell r="AT627">
            <v>2827</v>
          </cell>
          <cell r="AU627">
            <v>0</v>
          </cell>
          <cell r="AV627">
            <v>0</v>
          </cell>
          <cell r="AW627">
            <v>1800</v>
          </cell>
          <cell r="AX627">
            <v>333</v>
          </cell>
          <cell r="AY627">
            <v>1200</v>
          </cell>
          <cell r="AZ627">
            <v>1704</v>
          </cell>
          <cell r="BA627">
            <v>2310</v>
          </cell>
          <cell r="BB627">
            <v>0</v>
          </cell>
          <cell r="BC627">
            <v>1602</v>
          </cell>
          <cell r="BD627">
            <v>1622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15798</v>
          </cell>
        </row>
        <row r="628">
          <cell r="A628">
            <v>1023401135</v>
          </cell>
          <cell r="B628" t="str">
            <v xml:space="preserve">สติ๊กเกอร์สายคาดมินิบันปูอัดมายองเนส  V2-20260224 </v>
          </cell>
          <cell r="C628" t="str">
            <v>ดวง</v>
          </cell>
          <cell r="H628">
            <v>0</v>
          </cell>
          <cell r="X628">
            <v>5000</v>
          </cell>
          <cell r="Y628">
            <v>30000</v>
          </cell>
          <cell r="AN628">
            <v>35000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2000</v>
          </cell>
          <cell r="BF628">
            <v>2000</v>
          </cell>
          <cell r="BG628">
            <v>2000</v>
          </cell>
          <cell r="BH628">
            <v>2000</v>
          </cell>
          <cell r="BI628">
            <v>0</v>
          </cell>
          <cell r="BJ628">
            <v>2000</v>
          </cell>
          <cell r="BK628">
            <v>0</v>
          </cell>
          <cell r="BL628">
            <v>0</v>
          </cell>
          <cell r="BM628">
            <v>2000</v>
          </cell>
          <cell r="BN628">
            <v>2000</v>
          </cell>
          <cell r="BO628">
            <v>2000</v>
          </cell>
          <cell r="BP628">
            <v>0</v>
          </cell>
          <cell r="BQ628">
            <v>4000</v>
          </cell>
          <cell r="BR628">
            <v>2000</v>
          </cell>
          <cell r="BS628">
            <v>2000</v>
          </cell>
          <cell r="BT628">
            <v>24000</v>
          </cell>
        </row>
        <row r="629">
          <cell r="A629">
            <v>1023401124</v>
          </cell>
          <cell r="B629" t="str">
            <v>สติ๊กเกอร์สายคาดเค้กสังขยาใบเตยครีมมะพร้าว  V1-20260206 เลิกขาย</v>
          </cell>
          <cell r="C629" t="str">
            <v>ดวง</v>
          </cell>
          <cell r="H629">
            <v>20396</v>
          </cell>
          <cell r="AN629">
            <v>0</v>
          </cell>
          <cell r="AO629">
            <v>3264</v>
          </cell>
          <cell r="AP629">
            <v>1000</v>
          </cell>
          <cell r="AQ629">
            <v>0</v>
          </cell>
          <cell r="AR629">
            <v>702</v>
          </cell>
          <cell r="AS629">
            <v>1008</v>
          </cell>
          <cell r="AT629">
            <v>3044</v>
          </cell>
          <cell r="AU629">
            <v>0</v>
          </cell>
          <cell r="AV629">
            <v>1200</v>
          </cell>
          <cell r="AW629">
            <v>600</v>
          </cell>
          <cell r="AX629">
            <v>600</v>
          </cell>
          <cell r="AY629">
            <v>1200</v>
          </cell>
          <cell r="AZ629">
            <v>1000</v>
          </cell>
          <cell r="BA629">
            <v>1002</v>
          </cell>
          <cell r="BB629">
            <v>0</v>
          </cell>
          <cell r="BC629">
            <v>1200</v>
          </cell>
          <cell r="BD629">
            <v>1200</v>
          </cell>
          <cell r="BE629">
            <v>490</v>
          </cell>
          <cell r="BF629">
            <v>0</v>
          </cell>
          <cell r="BG629">
            <v>714</v>
          </cell>
          <cell r="BH629">
            <v>100</v>
          </cell>
          <cell r="BI629">
            <v>0</v>
          </cell>
          <cell r="BJ629">
            <v>72</v>
          </cell>
          <cell r="BK629">
            <v>0</v>
          </cell>
          <cell r="BL629">
            <v>0</v>
          </cell>
          <cell r="BM629">
            <v>66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18462</v>
          </cell>
        </row>
        <row r="630">
          <cell r="A630">
            <v>1020202080</v>
          </cell>
          <cell r="B630" t="str">
            <v>สติ๊กเกอร์สายคาดกระดาษชิฟฟ่อนเค้กไก่หยอง  V1-20250105</v>
          </cell>
          <cell r="C630" t="str">
            <v>ดวง</v>
          </cell>
          <cell r="H630">
            <v>3000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100</v>
          </cell>
          <cell r="AZ630">
            <v>50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50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100</v>
          </cell>
          <cell r="BL630">
            <v>0</v>
          </cell>
          <cell r="BM630">
            <v>100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100</v>
          </cell>
          <cell r="BT630">
            <v>500</v>
          </cell>
        </row>
        <row r="631">
          <cell r="A631">
            <v>1021601034</v>
          </cell>
          <cell r="B631" t="str">
            <v>กล่องเค้กทรงกล้วย+ฝา</v>
          </cell>
          <cell r="C631" t="str">
            <v>ใบ</v>
          </cell>
          <cell r="H631">
            <v>62150</v>
          </cell>
          <cell r="AN631">
            <v>0</v>
          </cell>
          <cell r="AO631">
            <v>800</v>
          </cell>
          <cell r="AP631">
            <v>1800</v>
          </cell>
          <cell r="AQ631">
            <v>0</v>
          </cell>
          <cell r="AR631">
            <v>2000</v>
          </cell>
          <cell r="AS631">
            <v>1400</v>
          </cell>
          <cell r="AT631">
            <v>2800</v>
          </cell>
          <cell r="AU631">
            <v>0</v>
          </cell>
          <cell r="AV631">
            <v>500</v>
          </cell>
          <cell r="AW631">
            <v>1400</v>
          </cell>
          <cell r="AX631">
            <v>500</v>
          </cell>
          <cell r="AY631">
            <v>2800</v>
          </cell>
          <cell r="AZ631">
            <v>1600</v>
          </cell>
          <cell r="BA631">
            <v>1800</v>
          </cell>
          <cell r="BB631">
            <v>0</v>
          </cell>
          <cell r="BC631">
            <v>1600</v>
          </cell>
          <cell r="BD631">
            <v>1400</v>
          </cell>
          <cell r="BE631">
            <v>300</v>
          </cell>
          <cell r="BF631">
            <v>1400</v>
          </cell>
          <cell r="BG631">
            <v>1400</v>
          </cell>
          <cell r="BH631">
            <v>1400</v>
          </cell>
          <cell r="BI631">
            <v>0</v>
          </cell>
          <cell r="BJ631">
            <v>1400</v>
          </cell>
          <cell r="BK631">
            <v>1400</v>
          </cell>
          <cell r="BL631">
            <v>1600</v>
          </cell>
          <cell r="BM631">
            <v>1400</v>
          </cell>
          <cell r="BN631">
            <v>1400</v>
          </cell>
          <cell r="BO631">
            <v>0</v>
          </cell>
          <cell r="BP631">
            <v>0</v>
          </cell>
          <cell r="BQ631">
            <v>1400</v>
          </cell>
          <cell r="BR631">
            <v>1400</v>
          </cell>
          <cell r="BS631">
            <v>1400</v>
          </cell>
          <cell r="BT631">
            <v>36300</v>
          </cell>
        </row>
        <row r="632">
          <cell r="A632">
            <v>1021601037</v>
          </cell>
          <cell r="B632" t="str">
            <v>กล่องเค้ก V021 สีน้ำตาล</v>
          </cell>
          <cell r="C632" t="str">
            <v>ใบ</v>
          </cell>
          <cell r="H632">
            <v>40000</v>
          </cell>
          <cell r="AN632">
            <v>0</v>
          </cell>
          <cell r="AO632">
            <v>1500</v>
          </cell>
          <cell r="AP632">
            <v>4600</v>
          </cell>
          <cell r="AQ632">
            <v>0</v>
          </cell>
          <cell r="AR632">
            <v>1800</v>
          </cell>
          <cell r="AS632">
            <v>1200</v>
          </cell>
          <cell r="AT632">
            <v>100</v>
          </cell>
          <cell r="AU632">
            <v>0</v>
          </cell>
          <cell r="AV632">
            <v>500</v>
          </cell>
          <cell r="AW632">
            <v>0</v>
          </cell>
          <cell r="AX632">
            <v>0</v>
          </cell>
          <cell r="AY632">
            <v>2100</v>
          </cell>
          <cell r="AZ632">
            <v>1400</v>
          </cell>
          <cell r="BA632">
            <v>800</v>
          </cell>
          <cell r="BB632">
            <v>0</v>
          </cell>
          <cell r="BC632">
            <v>1200</v>
          </cell>
          <cell r="BD632">
            <v>500</v>
          </cell>
          <cell r="BE632">
            <v>0</v>
          </cell>
          <cell r="BF632">
            <v>300</v>
          </cell>
          <cell r="BG632">
            <v>1100</v>
          </cell>
          <cell r="BH632">
            <v>1700</v>
          </cell>
          <cell r="BI632">
            <v>0</v>
          </cell>
          <cell r="BJ632">
            <v>800</v>
          </cell>
          <cell r="BK632">
            <v>800</v>
          </cell>
          <cell r="BL632">
            <v>800</v>
          </cell>
          <cell r="BM632">
            <v>800</v>
          </cell>
          <cell r="BN632">
            <v>900</v>
          </cell>
          <cell r="BO632">
            <v>1400</v>
          </cell>
          <cell r="BP632">
            <v>0</v>
          </cell>
          <cell r="BQ632">
            <v>800</v>
          </cell>
          <cell r="BR632">
            <v>900</v>
          </cell>
          <cell r="BS632">
            <v>1800</v>
          </cell>
          <cell r="BT632">
            <v>27800</v>
          </cell>
        </row>
        <row r="633">
          <cell r="A633">
            <v>1023401105</v>
          </cell>
          <cell r="B633" t="str">
            <v>สติ๊กเกอร์สายคาดทาร์ตไข่ช็อกโกแลตดูใบ  V1-20251218</v>
          </cell>
          <cell r="C633" t="str">
            <v>ดวง</v>
          </cell>
          <cell r="H633">
            <v>20000</v>
          </cell>
          <cell r="Y633">
            <v>5100</v>
          </cell>
          <cell r="AN633">
            <v>5100</v>
          </cell>
          <cell r="AO633">
            <v>700</v>
          </cell>
          <cell r="AP633">
            <v>2400</v>
          </cell>
          <cell r="AQ633">
            <v>0</v>
          </cell>
          <cell r="AR633">
            <v>900</v>
          </cell>
          <cell r="AS633">
            <v>660</v>
          </cell>
          <cell r="AT633">
            <v>102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1200</v>
          </cell>
          <cell r="AZ633">
            <v>600</v>
          </cell>
          <cell r="BA633">
            <v>402</v>
          </cell>
          <cell r="BB633">
            <v>0</v>
          </cell>
          <cell r="BC633">
            <v>600</v>
          </cell>
          <cell r="BD633">
            <v>252</v>
          </cell>
          <cell r="BE633">
            <v>0</v>
          </cell>
          <cell r="BF633">
            <v>312</v>
          </cell>
          <cell r="BG633">
            <v>600</v>
          </cell>
          <cell r="BH633">
            <v>852</v>
          </cell>
          <cell r="BI633">
            <v>0</v>
          </cell>
          <cell r="BJ633">
            <v>600</v>
          </cell>
          <cell r="BK633">
            <v>120</v>
          </cell>
          <cell r="BL633">
            <v>262</v>
          </cell>
          <cell r="BM633">
            <v>420</v>
          </cell>
          <cell r="BN633">
            <v>432</v>
          </cell>
          <cell r="BO633">
            <v>732</v>
          </cell>
          <cell r="BP633">
            <v>0</v>
          </cell>
          <cell r="BQ633">
            <v>444</v>
          </cell>
          <cell r="BR633">
            <v>430</v>
          </cell>
          <cell r="BS633">
            <v>900</v>
          </cell>
          <cell r="BT633">
            <v>13920</v>
          </cell>
        </row>
        <row r="634">
          <cell r="A634">
            <v>1023401108</v>
          </cell>
          <cell r="B634" t="str">
            <v>สติ๊กเกอร์สายคาดทาร์ตไข่ช็อกโกแลตเฟยติน  V1-20251218</v>
          </cell>
          <cell r="C634" t="str">
            <v>ดวง</v>
          </cell>
          <cell r="H634">
            <v>20000</v>
          </cell>
          <cell r="Y634">
            <v>5100</v>
          </cell>
          <cell r="AN634">
            <v>5100</v>
          </cell>
          <cell r="AO634">
            <v>700</v>
          </cell>
          <cell r="AP634">
            <v>2400</v>
          </cell>
          <cell r="AQ634">
            <v>0</v>
          </cell>
          <cell r="AR634">
            <v>900</v>
          </cell>
          <cell r="AS634">
            <v>600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1200</v>
          </cell>
          <cell r="AZ634">
            <v>600</v>
          </cell>
          <cell r="BA634">
            <v>402</v>
          </cell>
          <cell r="BB634">
            <v>0</v>
          </cell>
          <cell r="BC634">
            <v>600</v>
          </cell>
          <cell r="BD634">
            <v>240</v>
          </cell>
          <cell r="BE634">
            <v>0</v>
          </cell>
          <cell r="BF634">
            <v>282</v>
          </cell>
          <cell r="BG634">
            <v>480</v>
          </cell>
          <cell r="BH634">
            <v>804</v>
          </cell>
          <cell r="BI634">
            <v>0</v>
          </cell>
          <cell r="BJ634">
            <v>624</v>
          </cell>
          <cell r="BK634">
            <v>120</v>
          </cell>
          <cell r="BL634">
            <v>184</v>
          </cell>
          <cell r="BM634">
            <v>372</v>
          </cell>
          <cell r="BN634">
            <v>390</v>
          </cell>
          <cell r="BO634">
            <v>630</v>
          </cell>
          <cell r="BP634">
            <v>0</v>
          </cell>
          <cell r="BQ634">
            <v>360</v>
          </cell>
          <cell r="BR634">
            <v>380</v>
          </cell>
          <cell r="BS634">
            <v>864</v>
          </cell>
          <cell r="BT634">
            <v>13132</v>
          </cell>
        </row>
        <row r="635">
          <cell r="A635">
            <v>1023401130</v>
          </cell>
          <cell r="B635" t="str">
            <v>สติ๊กเกอร์สายคาดเอแคลช็อคโกแลต  V1-20260215  (CJ)</v>
          </cell>
          <cell r="C635" t="str">
            <v>ดวง</v>
          </cell>
          <cell r="H635">
            <v>0</v>
          </cell>
          <cell r="S635">
            <v>6000</v>
          </cell>
          <cell r="T635">
            <v>23884</v>
          </cell>
          <cell r="AN635">
            <v>29884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6000</v>
          </cell>
          <cell r="AZ635">
            <v>6000</v>
          </cell>
          <cell r="BA635">
            <v>6020</v>
          </cell>
          <cell r="BB635">
            <v>0</v>
          </cell>
          <cell r="BC635">
            <v>2320</v>
          </cell>
          <cell r="BD635">
            <v>1430</v>
          </cell>
          <cell r="BE635">
            <v>0</v>
          </cell>
          <cell r="BF635">
            <v>0</v>
          </cell>
          <cell r="BG635">
            <v>100</v>
          </cell>
          <cell r="BH635">
            <v>0</v>
          </cell>
          <cell r="BI635">
            <v>0</v>
          </cell>
          <cell r="BJ635">
            <v>1620</v>
          </cell>
          <cell r="BK635">
            <v>264</v>
          </cell>
          <cell r="BL635">
            <v>2824</v>
          </cell>
          <cell r="BM635">
            <v>0</v>
          </cell>
          <cell r="BN635">
            <v>1958</v>
          </cell>
          <cell r="BO635">
            <v>0</v>
          </cell>
          <cell r="BP635">
            <v>0</v>
          </cell>
          <cell r="BQ635">
            <v>1348</v>
          </cell>
          <cell r="BR635">
            <v>0</v>
          </cell>
          <cell r="BS635">
            <v>0</v>
          </cell>
          <cell r="BT635">
            <v>29884</v>
          </cell>
        </row>
        <row r="636">
          <cell r="A636">
            <v>1023401137</v>
          </cell>
          <cell r="B636" t="str">
            <v>สติ๊กเกอร์สายคาดเอแคลช็อคโกแลต  V2-20260312  (CJ)</v>
          </cell>
          <cell r="C636" t="str">
            <v>ดวง</v>
          </cell>
          <cell r="H636">
            <v>0</v>
          </cell>
          <cell r="AA636">
            <v>20000</v>
          </cell>
          <cell r="AN636">
            <v>20000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1200</v>
          </cell>
          <cell r="BS636">
            <v>1260</v>
          </cell>
          <cell r="BT636">
            <v>2460</v>
          </cell>
        </row>
        <row r="637">
          <cell r="A637">
            <v>1023401131</v>
          </cell>
          <cell r="B637" t="str">
            <v>สติ๊กเกอร์สายคาดปังชาไทย  V1-20260215  (CJ)</v>
          </cell>
          <cell r="C637" t="str">
            <v>ดวง</v>
          </cell>
          <cell r="H637">
            <v>0</v>
          </cell>
          <cell r="S637">
            <v>11000</v>
          </cell>
          <cell r="T637">
            <v>20000</v>
          </cell>
          <cell r="AN637">
            <v>31000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6000</v>
          </cell>
          <cell r="AZ637">
            <v>5000</v>
          </cell>
          <cell r="BA637">
            <v>3864</v>
          </cell>
          <cell r="BB637">
            <v>0</v>
          </cell>
          <cell r="BC637">
            <v>3804</v>
          </cell>
          <cell r="BD637">
            <v>2202</v>
          </cell>
          <cell r="BE637">
            <v>0</v>
          </cell>
          <cell r="BF637">
            <v>1200</v>
          </cell>
          <cell r="BG637">
            <v>0</v>
          </cell>
          <cell r="BH637">
            <v>1200</v>
          </cell>
          <cell r="BI637">
            <v>0</v>
          </cell>
          <cell r="BJ637">
            <v>1200</v>
          </cell>
          <cell r="BK637">
            <v>702</v>
          </cell>
          <cell r="BL637">
            <v>2302</v>
          </cell>
          <cell r="BM637">
            <v>1800</v>
          </cell>
          <cell r="BN637">
            <v>0</v>
          </cell>
          <cell r="BO637">
            <v>1726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31000</v>
          </cell>
        </row>
        <row r="638">
          <cell r="A638">
            <v>1023401136</v>
          </cell>
          <cell r="B638" t="str">
            <v>สติ๊กเกอร์สายคาดปังชาไทย  V2-20260312  (CJ)</v>
          </cell>
          <cell r="C638" t="str">
            <v>ดวง</v>
          </cell>
          <cell r="H638">
            <v>0</v>
          </cell>
          <cell r="AA638">
            <v>20000</v>
          </cell>
          <cell r="AN638">
            <v>20000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2076</v>
          </cell>
          <cell r="BR638">
            <v>1800</v>
          </cell>
          <cell r="BS638">
            <v>1404</v>
          </cell>
          <cell r="BT638">
            <v>5280</v>
          </cell>
        </row>
        <row r="639">
          <cell r="A639">
            <v>1023401138</v>
          </cell>
          <cell r="B639" t="str">
            <v>สติ๊กเกอร์สายคาดชิฟฟ่อนสอดใส้ครีมมะพร้าว  V1-20260312  (CJ)</v>
          </cell>
          <cell r="C639" t="str">
            <v>ดวง</v>
          </cell>
          <cell r="H639">
            <v>0</v>
          </cell>
          <cell r="AF639">
            <v>30000</v>
          </cell>
          <cell r="AN639">
            <v>30000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1806</v>
          </cell>
          <cell r="BN639">
            <v>780</v>
          </cell>
          <cell r="BO639">
            <v>2202</v>
          </cell>
          <cell r="BP639">
            <v>0</v>
          </cell>
          <cell r="BQ639">
            <v>0</v>
          </cell>
          <cell r="BR639">
            <v>600</v>
          </cell>
          <cell r="BS639">
            <v>600</v>
          </cell>
          <cell r="BT639">
            <v>5988</v>
          </cell>
        </row>
        <row r="640">
          <cell r="A640" t="str">
            <v>รอรหัส</v>
          </cell>
          <cell r="B640" t="str">
            <v>สติ๊กเกอร์สายคาดชิฟฟ่อนสอดใส้ครีมมะพร้าว  V2-  (CJ)ไม่มีคำว่าไหม่</v>
          </cell>
          <cell r="C640" t="str">
            <v>ดวง</v>
          </cell>
          <cell r="H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</row>
        <row r="641">
          <cell r="A641">
            <v>1023401139</v>
          </cell>
          <cell r="B641" t="str">
            <v>สติ๊กเกอร์สายคาดขนมปังมะพร้าวลาวา  V1-20260320  (CJ)</v>
          </cell>
          <cell r="C641" t="str">
            <v>ดวง</v>
          </cell>
          <cell r="H641">
            <v>0</v>
          </cell>
          <cell r="AI641">
            <v>30000</v>
          </cell>
          <cell r="AN641">
            <v>30000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600</v>
          </cell>
          <cell r="BT641">
            <v>600</v>
          </cell>
        </row>
        <row r="642">
          <cell r="A642" t="str">
            <v>1023001014-1</v>
          </cell>
          <cell r="B642" t="str">
            <v>ม้วน Topseal แซนวิสปูอัดไข่กุ้งยำสาหร่าย 125*500ม. V1-202511201 ม้วนละ 4,000ดวง</v>
          </cell>
          <cell r="C642" t="str">
            <v>ม้วน</v>
          </cell>
          <cell r="H642">
            <v>0</v>
          </cell>
          <cell r="Y642">
            <v>11</v>
          </cell>
          <cell r="AN642">
            <v>11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1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</v>
          </cell>
          <cell r="BP642">
            <v>0</v>
          </cell>
          <cell r="BQ642">
            <v>1</v>
          </cell>
          <cell r="BR642">
            <v>1</v>
          </cell>
          <cell r="BS642">
            <v>1</v>
          </cell>
          <cell r="BT642">
            <v>5</v>
          </cell>
        </row>
        <row r="643">
          <cell r="A643" t="str">
            <v>1023001015-1</v>
          </cell>
          <cell r="B643" t="str">
            <v>ม้วน Topseal แซนวิสทูน่าน้ำสลัด 125*500ม. V1-202511201</v>
          </cell>
          <cell r="C643" t="str">
            <v>ม้วน</v>
          </cell>
          <cell r="H643">
            <v>0</v>
          </cell>
          <cell r="Y643">
            <v>11</v>
          </cell>
          <cell r="AN643">
            <v>11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1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</v>
          </cell>
          <cell r="BP643">
            <v>0</v>
          </cell>
          <cell r="BQ643">
            <v>1</v>
          </cell>
          <cell r="BR643">
            <v>1</v>
          </cell>
          <cell r="BS643">
            <v>1</v>
          </cell>
          <cell r="BT643">
            <v>5</v>
          </cell>
        </row>
        <row r="644">
          <cell r="A644" t="str">
            <v>1023001016-1</v>
          </cell>
          <cell r="B644" t="str">
            <v>ม้วน Topseal แซนวิสแฮมชีส 125*500ม. V1-202511201</v>
          </cell>
          <cell r="C644" t="str">
            <v>ม้วน</v>
          </cell>
          <cell r="H644">
            <v>0</v>
          </cell>
          <cell r="Y644">
            <v>22</v>
          </cell>
          <cell r="AN644">
            <v>22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1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2</v>
          </cell>
          <cell r="BP644">
            <v>0</v>
          </cell>
          <cell r="BQ644">
            <v>2</v>
          </cell>
          <cell r="BR644">
            <v>1</v>
          </cell>
          <cell r="BS644">
            <v>2</v>
          </cell>
          <cell r="BT644">
            <v>8</v>
          </cell>
        </row>
        <row r="645">
          <cell r="A645" t="str">
            <v>1023001017-1</v>
          </cell>
          <cell r="B645" t="str">
            <v>ม้วน Topseal แซนวิสโบราณ 125*500ม. V1-202511201</v>
          </cell>
          <cell r="C645" t="str">
            <v>ม้วน</v>
          </cell>
          <cell r="H645">
            <v>0</v>
          </cell>
          <cell r="Y645">
            <v>22</v>
          </cell>
          <cell r="AN645">
            <v>22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1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2</v>
          </cell>
          <cell r="BP645">
            <v>0</v>
          </cell>
          <cell r="BQ645">
            <v>2</v>
          </cell>
          <cell r="BR645">
            <v>1</v>
          </cell>
          <cell r="BS645">
            <v>2</v>
          </cell>
          <cell r="BT645">
            <v>8</v>
          </cell>
        </row>
        <row r="646">
          <cell r="A646" t="str">
            <v>1023001018-1</v>
          </cell>
          <cell r="B646" t="str">
            <v>ม้วน Topseal แซนวิสปูอัดไข่กุ้ง 125*500ม. V1-202511201</v>
          </cell>
          <cell r="C646" t="str">
            <v>ม้วน</v>
          </cell>
          <cell r="H646">
            <v>0</v>
          </cell>
          <cell r="Y646">
            <v>22</v>
          </cell>
          <cell r="AN646">
            <v>22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1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</v>
          </cell>
          <cell r="BP646">
            <v>0</v>
          </cell>
          <cell r="BQ646">
            <v>1</v>
          </cell>
          <cell r="BR646">
            <v>1</v>
          </cell>
          <cell r="BS646">
            <v>1</v>
          </cell>
          <cell r="BT646">
            <v>5</v>
          </cell>
        </row>
        <row r="647">
          <cell r="A647" t="str">
            <v>1023001019-1</v>
          </cell>
          <cell r="B647" t="str">
            <v>ม้วน Topseal แซนวิสไส้กรอกชีส 125*500ม. V1-202511201</v>
          </cell>
          <cell r="C647" t="str">
            <v>ม้วน</v>
          </cell>
          <cell r="H647">
            <v>0</v>
          </cell>
          <cell r="Y647">
            <v>11</v>
          </cell>
          <cell r="AN647">
            <v>11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1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2</v>
          </cell>
          <cell r="BN647">
            <v>0</v>
          </cell>
          <cell r="BO647">
            <v>1</v>
          </cell>
          <cell r="BP647">
            <v>0</v>
          </cell>
          <cell r="BQ647">
            <v>1</v>
          </cell>
          <cell r="BR647">
            <v>1</v>
          </cell>
          <cell r="BS647">
            <v>1</v>
          </cell>
          <cell r="BT647">
            <v>7</v>
          </cell>
        </row>
        <row r="648">
          <cell r="H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</row>
        <row r="649">
          <cell r="H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</row>
        <row r="650">
          <cell r="H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</row>
        <row r="651">
          <cell r="H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</row>
        <row r="652">
          <cell r="H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</row>
        <row r="653">
          <cell r="H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</row>
        <row r="654">
          <cell r="H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</row>
        <row r="655">
          <cell r="H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</row>
        <row r="656">
          <cell r="H656">
            <v>11515485.4</v>
          </cell>
          <cell r="BT656">
            <v>6473738.2999999998</v>
          </cell>
        </row>
        <row r="660">
          <cell r="BJ660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9C4F-C2BD-417E-8D24-E84B9670A249}">
  <sheetPr>
    <tabColor rgb="FF0000CC"/>
  </sheetPr>
  <dimension ref="A1:E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8" sqref="G18"/>
    </sheetView>
  </sheetViews>
  <sheetFormatPr defaultRowHeight="23.4" x14ac:dyDescent="0.6"/>
  <cols>
    <col min="1" max="2" width="8.796875" style="1"/>
    <col min="3" max="3" width="10.296875" style="1" bestFit="1" customWidth="1"/>
    <col min="4" max="4" width="11.296875" style="1" bestFit="1" customWidth="1"/>
    <col min="5" max="5" width="17.5" style="1" customWidth="1"/>
    <col min="6" max="16384" width="8.796875" style="1"/>
  </cols>
  <sheetData>
    <row r="1" spans="1:5" s="14" customFormat="1" ht="28.8" x14ac:dyDescent="0.75">
      <c r="A1" s="14" t="s">
        <v>69</v>
      </c>
    </row>
    <row r="2" spans="1:5" s="13" customFormat="1" ht="26.4" x14ac:dyDescent="0.7">
      <c r="A2" s="17" t="s">
        <v>44</v>
      </c>
      <c r="B2" s="17" t="s">
        <v>45</v>
      </c>
      <c r="C2" s="17" t="s">
        <v>58</v>
      </c>
      <c r="D2" s="17" t="s">
        <v>59</v>
      </c>
      <c r="E2" s="17" t="s">
        <v>62</v>
      </c>
    </row>
    <row r="3" spans="1:5" x14ac:dyDescent="0.6">
      <c r="A3" s="4">
        <v>1</v>
      </c>
      <c r="B3" s="4" t="s">
        <v>46</v>
      </c>
      <c r="C3" s="15">
        <f>+วัสดุสิ้นเปลือง!H1</f>
        <v>8132</v>
      </c>
      <c r="D3" s="16">
        <f>+วัสดุสิ้นเปลือง!I1</f>
        <v>206388.72</v>
      </c>
    </row>
    <row r="4" spans="1:5" x14ac:dyDescent="0.6">
      <c r="A4" s="4">
        <v>2</v>
      </c>
      <c r="B4" s="4" t="s">
        <v>47</v>
      </c>
      <c r="C4" s="15">
        <f>+วัสดุสิ้นเปลือง!J1</f>
        <v>6797</v>
      </c>
      <c r="D4" s="16">
        <f>+วัสดุสิ้นเปลือง!K1</f>
        <v>39653.839999999997</v>
      </c>
    </row>
    <row r="5" spans="1:5" x14ac:dyDescent="0.6">
      <c r="A5" s="4">
        <v>3</v>
      </c>
      <c r="B5" s="4" t="s">
        <v>48</v>
      </c>
      <c r="C5" s="15">
        <f>+วัสดุสิ้นเปลือง!L1</f>
        <v>12368</v>
      </c>
      <c r="D5" s="16">
        <f>+วัสดุสิ้นเปลือง!M1</f>
        <v>79340.350000000006</v>
      </c>
    </row>
    <row r="6" spans="1:5" x14ac:dyDescent="0.6">
      <c r="A6" s="4">
        <v>4</v>
      </c>
      <c r="B6" s="4" t="s">
        <v>49</v>
      </c>
      <c r="C6" s="15">
        <f>+วัสดุสิ้นเปลือง!N1</f>
        <v>9203</v>
      </c>
      <c r="D6" s="16">
        <f>+วัสดุสิ้นเปลือง!O1</f>
        <v>50072.08</v>
      </c>
    </row>
    <row r="7" spans="1:5" x14ac:dyDescent="0.6">
      <c r="A7" s="4">
        <v>5</v>
      </c>
      <c r="B7" s="4" t="s">
        <v>50</v>
      </c>
      <c r="C7" s="15">
        <f>+วัสดุสิ้นเปลือง!P1</f>
        <v>9846</v>
      </c>
      <c r="D7" s="16">
        <f>+วัสดุสิ้นเปลือง!Q1</f>
        <v>56382.84</v>
      </c>
    </row>
    <row r="8" spans="1:5" x14ac:dyDescent="0.6">
      <c r="A8" s="4">
        <v>6</v>
      </c>
      <c r="B8" s="4" t="s">
        <v>51</v>
      </c>
      <c r="C8" s="15">
        <f>+วัสดุสิ้นเปลือง!R1</f>
        <v>7643</v>
      </c>
      <c r="D8" s="16">
        <f>+วัสดุสิ้นเปลือง!S1</f>
        <v>166583.48000000001</v>
      </c>
    </row>
    <row r="9" spans="1:5" x14ac:dyDescent="0.6">
      <c r="A9" s="4">
        <v>7</v>
      </c>
      <c r="B9" s="4" t="s">
        <v>52</v>
      </c>
      <c r="C9" s="15">
        <f>+วัสดุสิ้นเปลือง!T1</f>
        <v>0</v>
      </c>
      <c r="D9" s="16">
        <f>+วัสดุสิ้นเปลือง!U1</f>
        <v>0</v>
      </c>
    </row>
    <row r="10" spans="1:5" x14ac:dyDescent="0.6">
      <c r="A10" s="4">
        <v>8</v>
      </c>
      <c r="B10" s="4" t="s">
        <v>53</v>
      </c>
      <c r="C10" s="15">
        <f>+วัสดุสิ้นเปลือง!V1</f>
        <v>0</v>
      </c>
      <c r="D10" s="16">
        <f>+วัสดุสิ้นเปลือง!W1</f>
        <v>0</v>
      </c>
    </row>
    <row r="11" spans="1:5" x14ac:dyDescent="0.6">
      <c r="A11" s="4">
        <v>9</v>
      </c>
      <c r="B11" s="4" t="s">
        <v>54</v>
      </c>
      <c r="C11" s="15">
        <f>+วัสดุสิ้นเปลือง!X1</f>
        <v>0</v>
      </c>
      <c r="D11" s="16">
        <f>+วัสดุสิ้นเปลือง!Y1</f>
        <v>0</v>
      </c>
    </row>
    <row r="12" spans="1:5" x14ac:dyDescent="0.6">
      <c r="A12" s="4">
        <v>10</v>
      </c>
      <c r="B12" s="4" t="s">
        <v>55</v>
      </c>
      <c r="C12" s="15">
        <f>+วัสดุสิ้นเปลือง!Z1</f>
        <v>0</v>
      </c>
      <c r="D12" s="16">
        <f>+วัสดุสิ้นเปลือง!AA1</f>
        <v>0</v>
      </c>
    </row>
    <row r="13" spans="1:5" x14ac:dyDescent="0.6">
      <c r="A13" s="4">
        <v>11</v>
      </c>
      <c r="B13" s="4" t="s">
        <v>56</v>
      </c>
      <c r="C13" s="15">
        <f>+วัสดุสิ้นเปลือง!AB1</f>
        <v>0</v>
      </c>
      <c r="D13" s="16">
        <f>+วัสดุสิ้นเปลือง!AC1</f>
        <v>0</v>
      </c>
    </row>
    <row r="14" spans="1:5" x14ac:dyDescent="0.6">
      <c r="A14" s="4">
        <v>12</v>
      </c>
      <c r="B14" s="4" t="s">
        <v>57</v>
      </c>
      <c r="C14" s="15">
        <f>+วัสดุสิ้นเปลือง!AD1</f>
        <v>0</v>
      </c>
      <c r="D14" s="16">
        <f>+วัสดุสิ้นเปลือง!AE1</f>
        <v>0</v>
      </c>
    </row>
    <row r="15" spans="1:5" ht="24" thickBot="1" x14ac:dyDescent="0.65">
      <c r="A15" s="27" t="s">
        <v>61</v>
      </c>
      <c r="B15" s="27"/>
      <c r="C15" s="18">
        <f>SUM(C3:C14)</f>
        <v>53989</v>
      </c>
      <c r="D15" s="18">
        <f>SUM(D3:D14)</f>
        <v>598421.31000000006</v>
      </c>
      <c r="E15" s="19" t="s">
        <v>60</v>
      </c>
    </row>
    <row r="16" spans="1:5" ht="24" thickTop="1" x14ac:dyDescent="0.6"/>
  </sheetData>
  <mergeCells count="1">
    <mergeCell ref="A15:B1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F9D2-3C84-4A26-AE03-CCE182EC5685}">
  <sheetPr>
    <tabColor rgb="FF92D050"/>
  </sheetPr>
  <dimension ref="A1:AE24"/>
  <sheetViews>
    <sheetView tabSelected="1" zoomScale="70" zoomScaleNormal="7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F17" sqref="F17"/>
    </sheetView>
  </sheetViews>
  <sheetFormatPr defaultColWidth="8.69921875" defaultRowHeight="23.4" x14ac:dyDescent="0.6"/>
  <cols>
    <col min="1" max="1" width="13.3984375" style="21" customWidth="1"/>
    <col min="2" max="2" width="41.69921875" style="1" bestFit="1" customWidth="1"/>
    <col min="3" max="4" width="8.69921875" style="1" customWidth="1"/>
    <col min="5" max="5" width="11" style="7" customWidth="1"/>
    <col min="6" max="6" width="14.09765625" style="10" customWidth="1"/>
    <col min="7" max="7" width="10.19921875" style="12" customWidth="1"/>
    <col min="8" max="8" width="11.796875" style="7" customWidth="1"/>
    <col min="9" max="9" width="12.69921875" style="10" customWidth="1"/>
    <col min="10" max="10" width="11.796875" style="7" customWidth="1"/>
    <col min="11" max="11" width="11.5" style="10" customWidth="1"/>
    <col min="12" max="12" width="11.796875" style="7" customWidth="1"/>
    <col min="13" max="13" width="11.5" style="10" customWidth="1"/>
    <col min="14" max="14" width="11.796875" style="7" customWidth="1"/>
    <col min="15" max="15" width="11.5" style="10" customWidth="1"/>
    <col min="16" max="16" width="11" style="7" customWidth="1"/>
    <col min="17" max="17" width="15.09765625" style="10" customWidth="1"/>
    <col min="18" max="18" width="8.8984375" style="7" customWidth="1"/>
    <col min="19" max="19" width="14.5" style="10" bestFit="1" customWidth="1"/>
    <col min="20" max="20" width="11" style="7" customWidth="1"/>
    <col min="21" max="21" width="12.09765625" style="10" customWidth="1"/>
    <col min="22" max="22" width="8.8984375" style="7" customWidth="1"/>
    <col min="23" max="23" width="12.09765625" style="10" customWidth="1"/>
    <col min="24" max="24" width="11" style="7" customWidth="1"/>
    <col min="25" max="25" width="12.69921875" style="10" customWidth="1"/>
    <col min="26" max="26" width="8.8984375" style="7" customWidth="1"/>
    <col min="27" max="27" width="12.69921875" style="10" customWidth="1"/>
    <col min="28" max="28" width="11" style="7" customWidth="1"/>
    <col min="29" max="29" width="12.09765625" style="10" customWidth="1"/>
    <col min="30" max="30" width="8.8984375" style="7" bestFit="1" customWidth="1"/>
    <col min="31" max="31" width="12.69921875" style="10" bestFit="1" customWidth="1"/>
    <col min="32" max="35" width="8.69921875" style="1"/>
    <col min="36" max="36" width="9.19921875" style="1" bestFit="1" customWidth="1"/>
    <col min="37" max="16384" width="8.69921875" style="1"/>
  </cols>
  <sheetData>
    <row r="1" spans="1:31" s="2" customFormat="1" ht="29.4" thickBot="1" x14ac:dyDescent="0.3">
      <c r="A1" s="20" t="s">
        <v>68</v>
      </c>
      <c r="E1" s="5">
        <f>SUBTOTAL(9,E4:E1048576)</f>
        <v>53989</v>
      </c>
      <c r="F1" s="8">
        <f>SUBTOTAL(9,F4:F1048576)</f>
        <v>598421.31000000006</v>
      </c>
      <c r="G1" s="11"/>
      <c r="H1" s="5">
        <f t="shared" ref="H1:AE1" si="0">SUBTOTAL(9,H4:H1048576)</f>
        <v>8132</v>
      </c>
      <c r="I1" s="8">
        <f t="shared" si="0"/>
        <v>206388.72</v>
      </c>
      <c r="J1" s="5">
        <f t="shared" si="0"/>
        <v>6797</v>
      </c>
      <c r="K1" s="8">
        <f t="shared" si="0"/>
        <v>39653.839999999997</v>
      </c>
      <c r="L1" s="5">
        <f t="shared" si="0"/>
        <v>12368</v>
      </c>
      <c r="M1" s="8">
        <f t="shared" si="0"/>
        <v>79340.350000000006</v>
      </c>
      <c r="N1" s="5">
        <f t="shared" si="0"/>
        <v>9203</v>
      </c>
      <c r="O1" s="8">
        <f t="shared" si="0"/>
        <v>50072.08</v>
      </c>
      <c r="P1" s="5">
        <f t="shared" si="0"/>
        <v>9846</v>
      </c>
      <c r="Q1" s="8">
        <f t="shared" si="0"/>
        <v>56382.84</v>
      </c>
      <c r="R1" s="5">
        <f t="shared" si="0"/>
        <v>7643</v>
      </c>
      <c r="S1" s="8">
        <f t="shared" si="0"/>
        <v>166583.48000000001</v>
      </c>
      <c r="T1" s="5">
        <f t="shared" si="0"/>
        <v>0</v>
      </c>
      <c r="U1" s="8">
        <f t="shared" si="0"/>
        <v>0</v>
      </c>
      <c r="V1" s="5">
        <f t="shared" si="0"/>
        <v>0</v>
      </c>
      <c r="W1" s="8">
        <f t="shared" si="0"/>
        <v>0</v>
      </c>
      <c r="X1" s="5">
        <f t="shared" si="0"/>
        <v>0</v>
      </c>
      <c r="Y1" s="8">
        <f t="shared" si="0"/>
        <v>0</v>
      </c>
      <c r="Z1" s="5">
        <f t="shared" si="0"/>
        <v>0</v>
      </c>
      <c r="AA1" s="8">
        <f t="shared" si="0"/>
        <v>0</v>
      </c>
      <c r="AB1" s="5">
        <f t="shared" si="0"/>
        <v>0</v>
      </c>
      <c r="AC1" s="8">
        <f t="shared" si="0"/>
        <v>0</v>
      </c>
      <c r="AD1" s="5">
        <f t="shared" si="0"/>
        <v>0</v>
      </c>
      <c r="AE1" s="8">
        <f t="shared" si="0"/>
        <v>0</v>
      </c>
    </row>
    <row r="2" spans="1:31" s="2" customFormat="1" ht="29.4" thickTop="1" x14ac:dyDescent="0.25">
      <c r="A2" s="22" t="s">
        <v>0</v>
      </c>
      <c r="B2" s="22" t="s">
        <v>22</v>
      </c>
      <c r="C2" s="22" t="s">
        <v>13</v>
      </c>
      <c r="D2" s="22" t="s">
        <v>11</v>
      </c>
      <c r="E2" s="24" t="s">
        <v>25</v>
      </c>
      <c r="F2" s="24"/>
      <c r="G2" s="23" t="s">
        <v>24</v>
      </c>
      <c r="H2" s="25">
        <v>244350</v>
      </c>
      <c r="I2" s="26"/>
      <c r="J2" s="25">
        <v>244381</v>
      </c>
      <c r="K2" s="26"/>
      <c r="L2" s="25">
        <v>244409</v>
      </c>
      <c r="M2" s="26"/>
      <c r="N2" s="25">
        <v>244440</v>
      </c>
      <c r="O2" s="26"/>
      <c r="P2" s="25">
        <v>244470</v>
      </c>
      <c r="Q2" s="26"/>
      <c r="R2" s="25">
        <v>244501</v>
      </c>
      <c r="S2" s="26"/>
      <c r="T2" s="25">
        <v>244531</v>
      </c>
      <c r="U2" s="26"/>
      <c r="V2" s="25">
        <v>244562</v>
      </c>
      <c r="W2" s="26"/>
      <c r="X2" s="25">
        <v>244593</v>
      </c>
      <c r="Y2" s="26"/>
      <c r="Z2" s="25">
        <v>244623</v>
      </c>
      <c r="AA2" s="26"/>
      <c r="AB2" s="25">
        <v>244654</v>
      </c>
      <c r="AC2" s="26"/>
      <c r="AD2" s="25">
        <v>244684</v>
      </c>
      <c r="AE2" s="26"/>
    </row>
    <row r="3" spans="1:31" s="3" customFormat="1" ht="26.4" x14ac:dyDescent="0.25">
      <c r="A3" s="22"/>
      <c r="B3" s="22"/>
      <c r="C3" s="22"/>
      <c r="D3" s="22"/>
      <c r="E3" s="6" t="s">
        <v>12</v>
      </c>
      <c r="F3" s="9" t="s">
        <v>23</v>
      </c>
      <c r="G3" s="23"/>
      <c r="H3" s="6" t="s">
        <v>12</v>
      </c>
      <c r="I3" s="9" t="s">
        <v>23</v>
      </c>
      <c r="J3" s="6" t="s">
        <v>12</v>
      </c>
      <c r="K3" s="9" t="s">
        <v>23</v>
      </c>
      <c r="L3" s="6" t="s">
        <v>12</v>
      </c>
      <c r="M3" s="9" t="s">
        <v>23</v>
      </c>
      <c r="N3" s="6" t="s">
        <v>12</v>
      </c>
      <c r="O3" s="9" t="s">
        <v>23</v>
      </c>
      <c r="P3" s="6" t="s">
        <v>12</v>
      </c>
      <c r="Q3" s="9" t="s">
        <v>23</v>
      </c>
      <c r="R3" s="6" t="s">
        <v>12</v>
      </c>
      <c r="S3" s="9" t="s">
        <v>23</v>
      </c>
      <c r="T3" s="6" t="s">
        <v>12</v>
      </c>
      <c r="U3" s="9" t="s">
        <v>23</v>
      </c>
      <c r="V3" s="6" t="s">
        <v>12</v>
      </c>
      <c r="W3" s="9" t="s">
        <v>23</v>
      </c>
      <c r="X3" s="6" t="s">
        <v>12</v>
      </c>
      <c r="Y3" s="9" t="s">
        <v>23</v>
      </c>
      <c r="Z3" s="6" t="s">
        <v>12</v>
      </c>
      <c r="AA3" s="9" t="s">
        <v>23</v>
      </c>
      <c r="AB3" s="6" t="s">
        <v>12</v>
      </c>
      <c r="AC3" s="9" t="s">
        <v>23</v>
      </c>
      <c r="AD3" s="6" t="s">
        <v>12</v>
      </c>
      <c r="AE3" s="9" t="s">
        <v>23</v>
      </c>
    </row>
    <row r="4" spans="1:31" x14ac:dyDescent="0.6">
      <c r="A4" s="21" t="s">
        <v>1</v>
      </c>
      <c r="B4" s="1" t="s">
        <v>14</v>
      </c>
      <c r="C4" s="4" t="s">
        <v>26</v>
      </c>
      <c r="E4" s="7">
        <f>+H4+J4+L4+N4+P4+R4+T4+V4+X4+Z4+AB4+AD4</f>
        <v>3880</v>
      </c>
      <c r="F4" s="10">
        <f>+E4*G4</f>
        <v>8148</v>
      </c>
      <c r="G4" s="12">
        <v>2.1</v>
      </c>
      <c r="H4" s="7">
        <v>500</v>
      </c>
      <c r="I4" s="10">
        <f>+H4*G4</f>
        <v>1050</v>
      </c>
      <c r="J4" s="7">
        <v>400</v>
      </c>
      <c r="K4" s="10">
        <f>+J4*G4</f>
        <v>840</v>
      </c>
      <c r="L4" s="7">
        <f>VLOOKUP(A4,'[1]รับ-จ่าย ประจำวัน'!$A:$BT,72,0)</f>
        <v>837</v>
      </c>
      <c r="M4" s="10">
        <f>+L4*G4</f>
        <v>1757.7</v>
      </c>
      <c r="N4" s="7">
        <v>1000</v>
      </c>
      <c r="O4" s="10">
        <f>+N4*G4</f>
        <v>2100</v>
      </c>
      <c r="P4" s="7">
        <v>1143</v>
      </c>
      <c r="Q4" s="10">
        <f>+P4*G4</f>
        <v>2400.3000000000002</v>
      </c>
      <c r="R4" s="7">
        <v>0</v>
      </c>
      <c r="S4" s="10">
        <f>+R4*G4</f>
        <v>0</v>
      </c>
      <c r="U4" s="10">
        <f t="shared" ref="U4:U21" si="1">+T4*S4</f>
        <v>0</v>
      </c>
      <c r="W4" s="10">
        <f t="shared" ref="W4:W21" si="2">+V4*U4</f>
        <v>0</v>
      </c>
      <c r="Y4" s="10">
        <f t="shared" ref="Y4:Y21" si="3">+X4*W4</f>
        <v>0</v>
      </c>
      <c r="AA4" s="10">
        <f t="shared" ref="AA4:AA21" si="4">+Z4*Y4</f>
        <v>0</v>
      </c>
      <c r="AC4" s="10">
        <f t="shared" ref="AC4:AC21" si="5">+AB4*AA4</f>
        <v>0</v>
      </c>
      <c r="AE4" s="10">
        <f t="shared" ref="AE4:AE21" si="6">+AD4*AC4</f>
        <v>0</v>
      </c>
    </row>
    <row r="5" spans="1:31" x14ac:dyDescent="0.6">
      <c r="A5" s="21" t="s">
        <v>42</v>
      </c>
      <c r="B5" s="1" t="s">
        <v>41</v>
      </c>
      <c r="C5" s="4" t="s">
        <v>26</v>
      </c>
      <c r="E5" s="7">
        <f t="shared" ref="E5" si="7">+H5+J5+L5+N5+P5+R5+T5+V5+X5+Z5+AB5+AD5</f>
        <v>0</v>
      </c>
      <c r="F5" s="10">
        <f t="shared" ref="F5" si="8">+E5*G5</f>
        <v>0</v>
      </c>
      <c r="G5" s="12">
        <v>6</v>
      </c>
      <c r="H5" s="7">
        <v>0</v>
      </c>
      <c r="I5" s="10">
        <f t="shared" ref="I5:I24" si="9">+H5*G5</f>
        <v>0</v>
      </c>
      <c r="J5" s="7">
        <v>0</v>
      </c>
      <c r="K5" s="10">
        <f t="shared" ref="K5:K24" si="10">+J5*G5</f>
        <v>0</v>
      </c>
      <c r="L5" s="7">
        <v>0</v>
      </c>
      <c r="M5" s="10">
        <f t="shared" ref="M5:M24" si="11">+L5*G5</f>
        <v>0</v>
      </c>
      <c r="N5" s="7">
        <v>0</v>
      </c>
      <c r="O5" s="10">
        <f t="shared" ref="O5:O24" si="12">+N5*G5</f>
        <v>0</v>
      </c>
      <c r="P5" s="7">
        <v>0</v>
      </c>
      <c r="Q5" s="10">
        <f t="shared" ref="Q5:Q24" si="13">+P5*G5</f>
        <v>0</v>
      </c>
      <c r="R5" s="7">
        <v>0</v>
      </c>
      <c r="S5" s="10">
        <f t="shared" ref="S5:S24" si="14">+R5*G5</f>
        <v>0</v>
      </c>
      <c r="U5" s="10">
        <f t="shared" si="1"/>
        <v>0</v>
      </c>
      <c r="W5" s="10">
        <f t="shared" si="2"/>
        <v>0</v>
      </c>
      <c r="Y5" s="10">
        <f t="shared" si="3"/>
        <v>0</v>
      </c>
      <c r="AA5" s="10">
        <f t="shared" si="4"/>
        <v>0</v>
      </c>
      <c r="AC5" s="10">
        <f t="shared" si="5"/>
        <v>0</v>
      </c>
      <c r="AE5" s="10">
        <f t="shared" si="6"/>
        <v>0</v>
      </c>
    </row>
    <row r="6" spans="1:31" x14ac:dyDescent="0.6">
      <c r="A6" s="21" t="s">
        <v>2</v>
      </c>
      <c r="B6" s="1" t="s">
        <v>15</v>
      </c>
      <c r="C6" s="4" t="s">
        <v>26</v>
      </c>
      <c r="E6" s="7">
        <f t="shared" ref="E6:E20" si="15">+H6+J6+L6+N6+P6+R6+T6+V6+X6+Z6+AB6+AD6</f>
        <v>1146</v>
      </c>
      <c r="F6" s="10">
        <f t="shared" ref="F6:F20" si="16">+E6*G6</f>
        <v>17877.599999999999</v>
      </c>
      <c r="G6" s="12">
        <v>15.6</v>
      </c>
      <c r="H6" s="7">
        <v>820</v>
      </c>
      <c r="I6" s="10">
        <f t="shared" si="9"/>
        <v>12792</v>
      </c>
      <c r="J6" s="7">
        <v>70</v>
      </c>
      <c r="K6" s="10">
        <f t="shared" si="10"/>
        <v>1092</v>
      </c>
      <c r="L6" s="7">
        <f>VLOOKUP(A6,'[1]รับ-จ่าย ประจำวัน'!$A:$BT,72,0)</f>
        <v>40</v>
      </c>
      <c r="M6" s="10">
        <f t="shared" si="11"/>
        <v>624</v>
      </c>
      <c r="N6" s="7">
        <v>166</v>
      </c>
      <c r="O6" s="10">
        <f t="shared" si="12"/>
        <v>2589.6</v>
      </c>
      <c r="P6" s="7">
        <v>30</v>
      </c>
      <c r="Q6" s="10">
        <f t="shared" si="13"/>
        <v>468</v>
      </c>
      <c r="R6" s="7">
        <v>20</v>
      </c>
      <c r="S6" s="10">
        <f t="shared" si="14"/>
        <v>312</v>
      </c>
      <c r="U6" s="10">
        <f t="shared" si="1"/>
        <v>0</v>
      </c>
      <c r="W6" s="10">
        <f t="shared" si="2"/>
        <v>0</v>
      </c>
      <c r="Y6" s="10">
        <f t="shared" si="3"/>
        <v>0</v>
      </c>
      <c r="AA6" s="10">
        <f t="shared" si="4"/>
        <v>0</v>
      </c>
      <c r="AC6" s="10">
        <f t="shared" si="5"/>
        <v>0</v>
      </c>
      <c r="AE6" s="10">
        <f t="shared" si="6"/>
        <v>0</v>
      </c>
    </row>
    <row r="7" spans="1:31" x14ac:dyDescent="0.6">
      <c r="A7" s="21" t="s">
        <v>3</v>
      </c>
      <c r="B7" s="1" t="s">
        <v>27</v>
      </c>
      <c r="C7" s="4" t="s">
        <v>26</v>
      </c>
      <c r="E7" s="7">
        <f t="shared" si="15"/>
        <v>3282</v>
      </c>
      <c r="F7" s="10">
        <f t="shared" si="16"/>
        <v>28619.040000000001</v>
      </c>
      <c r="G7" s="12">
        <v>8.7200000000000006</v>
      </c>
      <c r="H7" s="7">
        <v>0</v>
      </c>
      <c r="I7" s="10">
        <f t="shared" si="9"/>
        <v>0</v>
      </c>
      <c r="J7" s="7">
        <v>0</v>
      </c>
      <c r="K7" s="10">
        <f t="shared" si="10"/>
        <v>0</v>
      </c>
      <c r="L7" s="7">
        <f>VLOOKUP(A7,'[1]รับ-จ่าย ประจำวัน'!$A:$BT,72,0)</f>
        <v>1060</v>
      </c>
      <c r="M7" s="10">
        <f t="shared" si="11"/>
        <v>9243.2000000000007</v>
      </c>
      <c r="N7" s="7">
        <v>790</v>
      </c>
      <c r="O7" s="10">
        <f t="shared" si="12"/>
        <v>6888.8</v>
      </c>
      <c r="P7" s="7">
        <v>720</v>
      </c>
      <c r="Q7" s="10">
        <f t="shared" si="13"/>
        <v>6278.4000000000005</v>
      </c>
      <c r="R7" s="7">
        <v>712</v>
      </c>
      <c r="S7" s="10">
        <f t="shared" si="14"/>
        <v>6208.64</v>
      </c>
      <c r="U7" s="10">
        <f t="shared" si="1"/>
        <v>0</v>
      </c>
      <c r="W7" s="10">
        <f t="shared" si="2"/>
        <v>0</v>
      </c>
      <c r="Y7" s="10">
        <f t="shared" si="3"/>
        <v>0</v>
      </c>
      <c r="AA7" s="10">
        <f t="shared" si="4"/>
        <v>0</v>
      </c>
      <c r="AC7" s="10">
        <f t="shared" si="5"/>
        <v>0</v>
      </c>
      <c r="AE7" s="10">
        <f t="shared" si="6"/>
        <v>0</v>
      </c>
    </row>
    <row r="8" spans="1:31" x14ac:dyDescent="0.6">
      <c r="A8" s="21" t="s">
        <v>4</v>
      </c>
      <c r="B8" s="1" t="s">
        <v>16</v>
      </c>
      <c r="C8" s="4" t="s">
        <v>26</v>
      </c>
      <c r="E8" s="7">
        <f t="shared" si="15"/>
        <v>1440</v>
      </c>
      <c r="F8" s="10">
        <f t="shared" si="16"/>
        <v>4392</v>
      </c>
      <c r="G8" s="12">
        <v>3.05</v>
      </c>
      <c r="H8" s="7">
        <v>60</v>
      </c>
      <c r="I8" s="10">
        <f t="shared" si="9"/>
        <v>183</v>
      </c>
      <c r="J8" s="7">
        <v>120</v>
      </c>
      <c r="K8" s="10">
        <f t="shared" si="10"/>
        <v>366</v>
      </c>
      <c r="L8" s="7">
        <f>VLOOKUP(A8,'[1]รับ-จ่าย ประจำวัน'!$A:$BT,72,0)</f>
        <v>160</v>
      </c>
      <c r="M8" s="10">
        <f t="shared" si="11"/>
        <v>488</v>
      </c>
      <c r="N8" s="7">
        <v>240</v>
      </c>
      <c r="O8" s="10">
        <f t="shared" si="12"/>
        <v>732</v>
      </c>
      <c r="P8" s="7">
        <v>300</v>
      </c>
      <c r="Q8" s="10">
        <f t="shared" si="13"/>
        <v>915</v>
      </c>
      <c r="R8" s="7">
        <v>560</v>
      </c>
      <c r="S8" s="10">
        <f t="shared" si="14"/>
        <v>1708</v>
      </c>
      <c r="U8" s="10">
        <f t="shared" si="1"/>
        <v>0</v>
      </c>
      <c r="W8" s="10">
        <f t="shared" si="2"/>
        <v>0</v>
      </c>
      <c r="Y8" s="10">
        <f t="shared" si="3"/>
        <v>0</v>
      </c>
      <c r="AA8" s="10">
        <f t="shared" si="4"/>
        <v>0</v>
      </c>
      <c r="AC8" s="10">
        <f t="shared" si="5"/>
        <v>0</v>
      </c>
      <c r="AE8" s="10">
        <f t="shared" si="6"/>
        <v>0</v>
      </c>
    </row>
    <row r="9" spans="1:31" x14ac:dyDescent="0.6">
      <c r="A9" s="21" t="s">
        <v>5</v>
      </c>
      <c r="B9" s="1" t="s">
        <v>17</v>
      </c>
      <c r="C9" s="4" t="s">
        <v>26</v>
      </c>
      <c r="E9" s="7">
        <f t="shared" si="15"/>
        <v>11990</v>
      </c>
      <c r="F9" s="10">
        <f t="shared" si="16"/>
        <v>66904.2</v>
      </c>
      <c r="G9" s="12">
        <v>5.58</v>
      </c>
      <c r="H9" s="7">
        <v>2800</v>
      </c>
      <c r="I9" s="10">
        <f t="shared" si="9"/>
        <v>15624</v>
      </c>
      <c r="J9" s="7">
        <v>1800</v>
      </c>
      <c r="K9" s="10">
        <f t="shared" si="10"/>
        <v>10044</v>
      </c>
      <c r="L9" s="7">
        <f>VLOOKUP(A9,'[1]รับ-จ่าย ประจำวัน'!$A:$BT,72,0)</f>
        <v>4390</v>
      </c>
      <c r="M9" s="10">
        <f t="shared" si="11"/>
        <v>24496.2</v>
      </c>
      <c r="N9" s="7">
        <v>700</v>
      </c>
      <c r="O9" s="10">
        <f t="shared" si="12"/>
        <v>3906</v>
      </c>
      <c r="P9" s="7">
        <v>1500</v>
      </c>
      <c r="Q9" s="10">
        <f t="shared" si="13"/>
        <v>8370</v>
      </c>
      <c r="R9" s="7">
        <v>800</v>
      </c>
      <c r="S9" s="10">
        <f t="shared" si="14"/>
        <v>4464</v>
      </c>
      <c r="U9" s="10">
        <f t="shared" si="1"/>
        <v>0</v>
      </c>
      <c r="W9" s="10">
        <f t="shared" si="2"/>
        <v>0</v>
      </c>
      <c r="Y9" s="10">
        <f t="shared" si="3"/>
        <v>0</v>
      </c>
      <c r="AA9" s="10">
        <f t="shared" si="4"/>
        <v>0</v>
      </c>
      <c r="AC9" s="10">
        <f t="shared" si="5"/>
        <v>0</v>
      </c>
      <c r="AE9" s="10">
        <f t="shared" si="6"/>
        <v>0</v>
      </c>
    </row>
    <row r="10" spans="1:31" x14ac:dyDescent="0.6">
      <c r="A10" s="21" t="s">
        <v>6</v>
      </c>
      <c r="B10" s="1" t="s">
        <v>18</v>
      </c>
      <c r="C10" s="4" t="s">
        <v>26</v>
      </c>
      <c r="E10" s="7">
        <f t="shared" si="15"/>
        <v>14200</v>
      </c>
      <c r="F10" s="10">
        <f t="shared" si="16"/>
        <v>71000</v>
      </c>
      <c r="G10" s="12">
        <v>5</v>
      </c>
      <c r="H10" s="7">
        <v>90</v>
      </c>
      <c r="I10" s="10">
        <f t="shared" si="9"/>
        <v>450</v>
      </c>
      <c r="J10" s="7">
        <v>2520</v>
      </c>
      <c r="K10" s="10">
        <f t="shared" si="10"/>
        <v>12600</v>
      </c>
      <c r="L10" s="7">
        <f>VLOOKUP(A10,'[1]รับ-จ่าย ประจำวัน'!$A:$BT,72,0)</f>
        <v>4030</v>
      </c>
      <c r="M10" s="10">
        <f t="shared" si="11"/>
        <v>20150</v>
      </c>
      <c r="N10" s="7">
        <v>1820</v>
      </c>
      <c r="O10" s="10">
        <f t="shared" si="12"/>
        <v>9100</v>
      </c>
      <c r="P10" s="7">
        <v>3300</v>
      </c>
      <c r="Q10" s="10">
        <f t="shared" si="13"/>
        <v>16500</v>
      </c>
      <c r="R10" s="7">
        <v>2440</v>
      </c>
      <c r="S10" s="10">
        <f t="shared" si="14"/>
        <v>12200</v>
      </c>
      <c r="U10" s="10">
        <f t="shared" si="1"/>
        <v>0</v>
      </c>
      <c r="W10" s="10">
        <f t="shared" si="2"/>
        <v>0</v>
      </c>
      <c r="Y10" s="10">
        <f t="shared" si="3"/>
        <v>0</v>
      </c>
      <c r="AA10" s="10">
        <f t="shared" si="4"/>
        <v>0</v>
      </c>
      <c r="AC10" s="10">
        <f t="shared" si="5"/>
        <v>0</v>
      </c>
      <c r="AE10" s="10">
        <f t="shared" si="6"/>
        <v>0</v>
      </c>
    </row>
    <row r="11" spans="1:31" x14ac:dyDescent="0.6">
      <c r="A11" s="21" t="s">
        <v>7</v>
      </c>
      <c r="B11" s="1" t="s">
        <v>19</v>
      </c>
      <c r="C11" s="4" t="s">
        <v>26</v>
      </c>
      <c r="E11" s="7">
        <f t="shared" si="15"/>
        <v>9940</v>
      </c>
      <c r="F11" s="10">
        <f t="shared" si="16"/>
        <v>38766</v>
      </c>
      <c r="G11" s="12">
        <v>3.9</v>
      </c>
      <c r="H11" s="7">
        <v>2500</v>
      </c>
      <c r="I11" s="10">
        <f t="shared" si="9"/>
        <v>9750</v>
      </c>
      <c r="J11" s="7">
        <v>1200</v>
      </c>
      <c r="K11" s="10">
        <f t="shared" si="10"/>
        <v>4680</v>
      </c>
      <c r="L11" s="7">
        <f>VLOOKUP(A11,'[1]รับ-จ่าย ประจำวัน'!$A:$BT,72,0)</f>
        <v>1020</v>
      </c>
      <c r="M11" s="10">
        <f t="shared" si="11"/>
        <v>3978</v>
      </c>
      <c r="N11" s="7">
        <v>2300</v>
      </c>
      <c r="O11" s="10">
        <f t="shared" si="12"/>
        <v>8970</v>
      </c>
      <c r="P11" s="7">
        <v>1600</v>
      </c>
      <c r="Q11" s="10">
        <f t="shared" si="13"/>
        <v>6240</v>
      </c>
      <c r="R11" s="7">
        <v>1320</v>
      </c>
      <c r="S11" s="10">
        <f t="shared" si="14"/>
        <v>5148</v>
      </c>
      <c r="U11" s="10">
        <f t="shared" si="1"/>
        <v>0</v>
      </c>
      <c r="W11" s="10">
        <f t="shared" si="2"/>
        <v>0</v>
      </c>
      <c r="Y11" s="10">
        <f t="shared" si="3"/>
        <v>0</v>
      </c>
      <c r="AA11" s="10">
        <f t="shared" si="4"/>
        <v>0</v>
      </c>
      <c r="AC11" s="10">
        <f t="shared" si="5"/>
        <v>0</v>
      </c>
      <c r="AE11" s="10">
        <f t="shared" si="6"/>
        <v>0</v>
      </c>
    </row>
    <row r="12" spans="1:31" x14ac:dyDescent="0.6">
      <c r="A12" s="21" t="s">
        <v>8</v>
      </c>
      <c r="B12" s="1" t="s">
        <v>20</v>
      </c>
      <c r="C12" s="4" t="s">
        <v>26</v>
      </c>
      <c r="E12" s="7">
        <f t="shared" si="15"/>
        <v>430</v>
      </c>
      <c r="F12" s="10">
        <f t="shared" si="16"/>
        <v>7095</v>
      </c>
      <c r="G12" s="12">
        <v>16.5</v>
      </c>
      <c r="H12" s="7">
        <v>260</v>
      </c>
      <c r="I12" s="10">
        <f t="shared" si="9"/>
        <v>4290</v>
      </c>
      <c r="J12" s="7">
        <v>0</v>
      </c>
      <c r="K12" s="10">
        <f t="shared" si="10"/>
        <v>0</v>
      </c>
      <c r="L12" s="7">
        <f>VLOOKUP(A12,'[1]รับ-จ่าย ประจำวัน'!$A:$BT,72,0)</f>
        <v>20</v>
      </c>
      <c r="M12" s="10">
        <f t="shared" si="11"/>
        <v>330</v>
      </c>
      <c r="N12" s="7">
        <v>70</v>
      </c>
      <c r="O12" s="10">
        <f t="shared" si="12"/>
        <v>1155</v>
      </c>
      <c r="P12" s="7">
        <v>40</v>
      </c>
      <c r="Q12" s="10">
        <f t="shared" si="13"/>
        <v>660</v>
      </c>
      <c r="R12" s="7">
        <v>40</v>
      </c>
      <c r="S12" s="10">
        <f t="shared" si="14"/>
        <v>660</v>
      </c>
      <c r="U12" s="10">
        <f t="shared" si="1"/>
        <v>0</v>
      </c>
      <c r="W12" s="10">
        <f t="shared" si="2"/>
        <v>0</v>
      </c>
      <c r="Y12" s="10">
        <f t="shared" si="3"/>
        <v>0</v>
      </c>
      <c r="AA12" s="10">
        <f t="shared" si="4"/>
        <v>0</v>
      </c>
      <c r="AC12" s="10">
        <f t="shared" si="5"/>
        <v>0</v>
      </c>
      <c r="AE12" s="10">
        <f t="shared" si="6"/>
        <v>0</v>
      </c>
    </row>
    <row r="13" spans="1:31" ht="27" customHeight="1" x14ac:dyDescent="0.6">
      <c r="A13" s="21" t="s">
        <v>37</v>
      </c>
      <c r="B13" s="1" t="s">
        <v>38</v>
      </c>
      <c r="C13" s="4" t="s">
        <v>26</v>
      </c>
      <c r="E13" s="7">
        <f t="shared" ref="E13" si="17">+H13+J13+L13+N13+P13+R13+T13+V13+X13+Z13+AB13+AD13</f>
        <v>0</v>
      </c>
      <c r="F13" s="10">
        <f t="shared" ref="F13" si="18">+E13*G13</f>
        <v>0</v>
      </c>
      <c r="G13" s="12">
        <v>6.6</v>
      </c>
      <c r="H13" s="7">
        <v>0</v>
      </c>
      <c r="I13" s="10">
        <f t="shared" si="9"/>
        <v>0</v>
      </c>
      <c r="J13" s="7">
        <v>0</v>
      </c>
      <c r="K13" s="10">
        <f t="shared" si="10"/>
        <v>0</v>
      </c>
      <c r="L13" s="7">
        <v>0</v>
      </c>
      <c r="M13" s="10">
        <f t="shared" si="11"/>
        <v>0</v>
      </c>
      <c r="N13" s="7">
        <v>0</v>
      </c>
      <c r="O13" s="10">
        <f t="shared" si="12"/>
        <v>0</v>
      </c>
      <c r="P13" s="7">
        <v>0</v>
      </c>
      <c r="Q13" s="10">
        <f t="shared" si="13"/>
        <v>0</v>
      </c>
      <c r="R13" s="7">
        <v>0</v>
      </c>
      <c r="S13" s="10">
        <f t="shared" si="14"/>
        <v>0</v>
      </c>
      <c r="U13" s="10">
        <f t="shared" si="1"/>
        <v>0</v>
      </c>
      <c r="W13" s="10">
        <f t="shared" si="2"/>
        <v>0</v>
      </c>
      <c r="Y13" s="10">
        <f t="shared" si="3"/>
        <v>0</v>
      </c>
      <c r="AA13" s="10">
        <f t="shared" si="4"/>
        <v>0</v>
      </c>
      <c r="AC13" s="10">
        <f t="shared" si="5"/>
        <v>0</v>
      </c>
      <c r="AE13" s="10">
        <f t="shared" si="6"/>
        <v>0</v>
      </c>
    </row>
    <row r="14" spans="1:31" x14ac:dyDescent="0.6">
      <c r="A14" s="21" t="s">
        <v>9</v>
      </c>
      <c r="B14" s="1" t="s">
        <v>21</v>
      </c>
      <c r="C14" s="4" t="s">
        <v>26</v>
      </c>
      <c r="E14" s="7">
        <f t="shared" si="15"/>
        <v>2530</v>
      </c>
      <c r="F14" s="10">
        <f t="shared" si="16"/>
        <v>24920.5</v>
      </c>
      <c r="G14" s="12">
        <v>9.85</v>
      </c>
      <c r="H14" s="7">
        <v>660</v>
      </c>
      <c r="I14" s="10">
        <f t="shared" si="9"/>
        <v>6501</v>
      </c>
      <c r="J14" s="7">
        <v>640</v>
      </c>
      <c r="K14" s="10">
        <f t="shared" si="10"/>
        <v>6304</v>
      </c>
      <c r="L14" s="7">
        <f>VLOOKUP(A14,'[1]รับ-จ่าย ประจำวัน'!$A:$BT,72,0)</f>
        <v>640</v>
      </c>
      <c r="M14" s="10">
        <f t="shared" si="11"/>
        <v>6304</v>
      </c>
      <c r="N14" s="7">
        <v>160</v>
      </c>
      <c r="O14" s="10">
        <f t="shared" si="12"/>
        <v>1576</v>
      </c>
      <c r="P14" s="7">
        <v>270</v>
      </c>
      <c r="Q14" s="10">
        <f t="shared" si="13"/>
        <v>2659.5</v>
      </c>
      <c r="R14" s="7">
        <v>160</v>
      </c>
      <c r="S14" s="10">
        <f t="shared" si="14"/>
        <v>1576</v>
      </c>
      <c r="U14" s="10">
        <f t="shared" si="1"/>
        <v>0</v>
      </c>
      <c r="W14" s="10">
        <f t="shared" si="2"/>
        <v>0</v>
      </c>
      <c r="Y14" s="10">
        <f t="shared" si="3"/>
        <v>0</v>
      </c>
      <c r="AA14" s="10">
        <f t="shared" si="4"/>
        <v>0</v>
      </c>
      <c r="AC14" s="10">
        <f t="shared" si="5"/>
        <v>0</v>
      </c>
      <c r="AE14" s="10">
        <f t="shared" si="6"/>
        <v>0</v>
      </c>
    </row>
    <row r="15" spans="1:31" x14ac:dyDescent="0.6">
      <c r="A15" s="21">
        <v>1020501042</v>
      </c>
      <c r="B15" s="1" t="s">
        <v>63</v>
      </c>
      <c r="C15" s="4" t="s">
        <v>26</v>
      </c>
      <c r="E15" s="7">
        <f t="shared" ref="E15" si="19">+H15+J15+L15+N15+P15+R15+T15+V15+X15+Z15+AB15+AD15</f>
        <v>3900</v>
      </c>
      <c r="F15" s="10">
        <f t="shared" ref="F15" si="20">+E15*G15</f>
        <v>17160</v>
      </c>
      <c r="G15" s="12">
        <v>4.4000000000000004</v>
      </c>
      <c r="H15" s="7">
        <v>0</v>
      </c>
      <c r="I15" s="10">
        <f t="shared" si="9"/>
        <v>0</v>
      </c>
      <c r="J15" s="7">
        <v>0</v>
      </c>
      <c r="K15" s="10">
        <f t="shared" si="10"/>
        <v>0</v>
      </c>
      <c r="L15" s="7">
        <f>VLOOKUP(A15,'[1]รับ-จ่าย ประจำวัน'!$A:$BT,72,0)</f>
        <v>0</v>
      </c>
      <c r="M15" s="10">
        <f t="shared" si="11"/>
        <v>0</v>
      </c>
      <c r="N15" s="7">
        <v>1900</v>
      </c>
      <c r="O15" s="10">
        <f t="shared" si="12"/>
        <v>8360</v>
      </c>
      <c r="P15" s="7">
        <v>800</v>
      </c>
      <c r="Q15" s="10">
        <f t="shared" si="13"/>
        <v>3520.0000000000005</v>
      </c>
      <c r="R15" s="7">
        <v>1200</v>
      </c>
      <c r="S15" s="10">
        <f t="shared" si="14"/>
        <v>5280</v>
      </c>
      <c r="U15" s="10">
        <f t="shared" si="1"/>
        <v>0</v>
      </c>
      <c r="W15" s="10">
        <f t="shared" si="2"/>
        <v>0</v>
      </c>
      <c r="Y15" s="10">
        <f t="shared" si="3"/>
        <v>0</v>
      </c>
      <c r="AA15" s="10">
        <f t="shared" si="4"/>
        <v>0</v>
      </c>
      <c r="AC15" s="10">
        <f t="shared" si="5"/>
        <v>0</v>
      </c>
      <c r="AE15" s="10">
        <f t="shared" si="6"/>
        <v>0</v>
      </c>
    </row>
    <row r="16" spans="1:31" x14ac:dyDescent="0.6">
      <c r="A16" s="21" t="s">
        <v>10</v>
      </c>
      <c r="B16" s="1" t="s">
        <v>40</v>
      </c>
      <c r="C16" s="4" t="s">
        <v>31</v>
      </c>
      <c r="E16" s="7">
        <f t="shared" si="15"/>
        <v>94</v>
      </c>
      <c r="F16" s="10">
        <f t="shared" si="16"/>
        <v>7050</v>
      </c>
      <c r="G16" s="12">
        <v>75</v>
      </c>
      <c r="H16" s="7">
        <v>6</v>
      </c>
      <c r="I16" s="10">
        <f t="shared" si="9"/>
        <v>450</v>
      </c>
      <c r="J16" s="7">
        <v>0</v>
      </c>
      <c r="K16" s="10">
        <f t="shared" si="10"/>
        <v>0</v>
      </c>
      <c r="L16" s="7">
        <v>0</v>
      </c>
      <c r="M16" s="10">
        <f t="shared" si="11"/>
        <v>0</v>
      </c>
      <c r="N16" s="7">
        <v>16</v>
      </c>
      <c r="O16" s="10">
        <f t="shared" si="12"/>
        <v>1200</v>
      </c>
      <c r="P16" s="7">
        <v>24</v>
      </c>
      <c r="Q16" s="10">
        <f t="shared" si="13"/>
        <v>1800</v>
      </c>
      <c r="R16" s="7">
        <v>48</v>
      </c>
      <c r="S16" s="10">
        <f t="shared" si="14"/>
        <v>3600</v>
      </c>
      <c r="U16" s="10">
        <f t="shared" si="1"/>
        <v>0</v>
      </c>
      <c r="W16" s="10">
        <f t="shared" si="2"/>
        <v>0</v>
      </c>
      <c r="Y16" s="10">
        <f t="shared" si="3"/>
        <v>0</v>
      </c>
      <c r="AA16" s="10">
        <f t="shared" si="4"/>
        <v>0</v>
      </c>
      <c r="AC16" s="10">
        <f t="shared" si="5"/>
        <v>0</v>
      </c>
      <c r="AE16" s="10">
        <f t="shared" si="6"/>
        <v>0</v>
      </c>
    </row>
    <row r="17" spans="1:31" x14ac:dyDescent="0.6">
      <c r="A17" s="21" t="s">
        <v>43</v>
      </c>
      <c r="B17" s="1" t="s">
        <v>39</v>
      </c>
      <c r="C17" s="4" t="s">
        <v>31</v>
      </c>
      <c r="E17" s="7">
        <f t="shared" ref="E17" si="21">+H17+J17+L17+N17+P17+R17+T17+V17+X17+Z17+AB17+AD17</f>
        <v>13</v>
      </c>
      <c r="F17" s="10">
        <f t="shared" ref="F17" si="22">+E17*G17</f>
        <v>2369.12</v>
      </c>
      <c r="G17" s="12">
        <v>182.24</v>
      </c>
      <c r="H17" s="7">
        <v>0</v>
      </c>
      <c r="I17" s="10">
        <f t="shared" si="9"/>
        <v>0</v>
      </c>
      <c r="K17" s="10">
        <f t="shared" si="10"/>
        <v>0</v>
      </c>
      <c r="L17" s="7">
        <f>VLOOKUP(A17,'[1]รับ-จ่าย ประจำวัน'!$A:$BT,72,0)</f>
        <v>0</v>
      </c>
      <c r="M17" s="10">
        <f t="shared" si="11"/>
        <v>0</v>
      </c>
      <c r="N17" s="7">
        <v>0</v>
      </c>
      <c r="O17" s="10">
        <f t="shared" si="12"/>
        <v>0</v>
      </c>
      <c r="Q17" s="10">
        <f t="shared" si="13"/>
        <v>0</v>
      </c>
      <c r="R17" s="7">
        <v>13</v>
      </c>
      <c r="S17" s="10">
        <f t="shared" si="14"/>
        <v>2369.12</v>
      </c>
      <c r="U17" s="10">
        <f t="shared" si="1"/>
        <v>0</v>
      </c>
      <c r="W17" s="10">
        <f t="shared" si="2"/>
        <v>0</v>
      </c>
      <c r="Y17" s="10">
        <f t="shared" si="3"/>
        <v>0</v>
      </c>
      <c r="AA17" s="10">
        <f t="shared" si="4"/>
        <v>0</v>
      </c>
      <c r="AC17" s="10">
        <f t="shared" si="5"/>
        <v>0</v>
      </c>
      <c r="AE17" s="10">
        <f t="shared" si="6"/>
        <v>0</v>
      </c>
    </row>
    <row r="18" spans="1:31" x14ac:dyDescent="0.6">
      <c r="A18" s="21" t="s">
        <v>28</v>
      </c>
      <c r="B18" s="1" t="s">
        <v>32</v>
      </c>
      <c r="C18" s="4" t="s">
        <v>31</v>
      </c>
      <c r="E18" s="7">
        <f t="shared" si="15"/>
        <v>68</v>
      </c>
      <c r="F18" s="10">
        <f t="shared" si="16"/>
        <v>4760</v>
      </c>
      <c r="G18" s="12">
        <v>70</v>
      </c>
      <c r="H18" s="7">
        <v>0</v>
      </c>
      <c r="I18" s="10">
        <f t="shared" si="9"/>
        <v>0</v>
      </c>
      <c r="K18" s="10">
        <f t="shared" si="10"/>
        <v>0</v>
      </c>
      <c r="L18" s="7">
        <f>VLOOKUP(A18,'[1]รับ-จ่าย ประจำวัน'!$A:$BT,72,0)</f>
        <v>4</v>
      </c>
      <c r="M18" s="10">
        <f t="shared" si="11"/>
        <v>280</v>
      </c>
      <c r="N18" s="7">
        <v>6</v>
      </c>
      <c r="O18" s="10">
        <f t="shared" si="12"/>
        <v>420</v>
      </c>
      <c r="P18" s="7">
        <v>42</v>
      </c>
      <c r="Q18" s="10">
        <f t="shared" si="13"/>
        <v>2940</v>
      </c>
      <c r="R18" s="7">
        <v>16</v>
      </c>
      <c r="S18" s="10">
        <f t="shared" si="14"/>
        <v>1120</v>
      </c>
      <c r="U18" s="10">
        <f t="shared" si="1"/>
        <v>0</v>
      </c>
      <c r="W18" s="10">
        <f t="shared" si="2"/>
        <v>0</v>
      </c>
      <c r="Y18" s="10">
        <f t="shared" si="3"/>
        <v>0</v>
      </c>
      <c r="AA18" s="10">
        <f t="shared" si="4"/>
        <v>0</v>
      </c>
      <c r="AC18" s="10">
        <f t="shared" si="5"/>
        <v>0</v>
      </c>
      <c r="AE18" s="10">
        <f t="shared" si="6"/>
        <v>0</v>
      </c>
    </row>
    <row r="19" spans="1:31" x14ac:dyDescent="0.6">
      <c r="A19" s="21" t="s">
        <v>29</v>
      </c>
      <c r="B19" s="1" t="s">
        <v>33</v>
      </c>
      <c r="C19" s="4" t="s">
        <v>31</v>
      </c>
      <c r="E19" s="7">
        <f t="shared" si="15"/>
        <v>106</v>
      </c>
      <c r="F19" s="10">
        <f t="shared" si="16"/>
        <v>10600</v>
      </c>
      <c r="G19" s="12">
        <v>100</v>
      </c>
      <c r="H19" s="7">
        <v>20</v>
      </c>
      <c r="I19" s="10">
        <f t="shared" si="9"/>
        <v>2000</v>
      </c>
      <c r="J19" s="7">
        <v>15</v>
      </c>
      <c r="K19" s="10">
        <f t="shared" si="10"/>
        <v>1500</v>
      </c>
      <c r="L19" s="7">
        <f>VLOOKUP(A19,'[1]รับ-จ่าย ประจำวัน'!$A:$BT,72,0)</f>
        <v>15</v>
      </c>
      <c r="M19" s="10">
        <f t="shared" si="11"/>
        <v>1500</v>
      </c>
      <c r="N19" s="7">
        <v>21</v>
      </c>
      <c r="O19" s="10">
        <f t="shared" si="12"/>
        <v>2100</v>
      </c>
      <c r="P19" s="7">
        <v>15</v>
      </c>
      <c r="Q19" s="10">
        <f t="shared" si="13"/>
        <v>1500</v>
      </c>
      <c r="R19" s="7">
        <v>20</v>
      </c>
      <c r="S19" s="10">
        <f t="shared" si="14"/>
        <v>2000</v>
      </c>
      <c r="U19" s="10">
        <f t="shared" si="1"/>
        <v>0</v>
      </c>
      <c r="W19" s="10">
        <f t="shared" si="2"/>
        <v>0</v>
      </c>
      <c r="Y19" s="10">
        <f t="shared" si="3"/>
        <v>0</v>
      </c>
      <c r="AA19" s="10">
        <f t="shared" si="4"/>
        <v>0</v>
      </c>
      <c r="AC19" s="10">
        <f t="shared" si="5"/>
        <v>0</v>
      </c>
      <c r="AE19" s="10">
        <f t="shared" si="6"/>
        <v>0</v>
      </c>
    </row>
    <row r="20" spans="1:31" x14ac:dyDescent="0.6">
      <c r="A20" s="21" t="s">
        <v>30</v>
      </c>
      <c r="B20" s="1" t="s">
        <v>34</v>
      </c>
      <c r="C20" s="4" t="s">
        <v>31</v>
      </c>
      <c r="E20" s="7">
        <f t="shared" si="15"/>
        <v>198</v>
      </c>
      <c r="F20" s="10">
        <f t="shared" si="16"/>
        <v>13784.76</v>
      </c>
      <c r="G20" s="12">
        <v>69.62</v>
      </c>
      <c r="H20" s="7">
        <v>56</v>
      </c>
      <c r="I20" s="10">
        <f t="shared" si="9"/>
        <v>3898.7200000000003</v>
      </c>
      <c r="J20" s="7">
        <v>32</v>
      </c>
      <c r="K20" s="10">
        <f t="shared" si="10"/>
        <v>2227.84</v>
      </c>
      <c r="L20" s="7">
        <f>VLOOKUP(A20,'[1]รับ-จ่าย ประจำวัน'!$A:$BT,72,0)</f>
        <v>68</v>
      </c>
      <c r="M20" s="10">
        <f t="shared" si="11"/>
        <v>4734.16</v>
      </c>
      <c r="N20" s="7">
        <v>14</v>
      </c>
      <c r="O20" s="10">
        <f t="shared" si="12"/>
        <v>974.68000000000006</v>
      </c>
      <c r="P20" s="7">
        <v>22</v>
      </c>
      <c r="Q20" s="10">
        <f t="shared" si="13"/>
        <v>1531.64</v>
      </c>
      <c r="R20" s="7">
        <v>6</v>
      </c>
      <c r="S20" s="10">
        <f t="shared" si="14"/>
        <v>417.72</v>
      </c>
      <c r="U20" s="10">
        <f t="shared" si="1"/>
        <v>0</v>
      </c>
      <c r="W20" s="10">
        <f t="shared" si="2"/>
        <v>0</v>
      </c>
      <c r="Y20" s="10">
        <f t="shared" si="3"/>
        <v>0</v>
      </c>
      <c r="AA20" s="10">
        <f t="shared" si="4"/>
        <v>0</v>
      </c>
      <c r="AC20" s="10">
        <f t="shared" si="5"/>
        <v>0</v>
      </c>
      <c r="AE20" s="10">
        <f t="shared" si="6"/>
        <v>0</v>
      </c>
    </row>
    <row r="21" spans="1:31" x14ac:dyDescent="0.6">
      <c r="A21" s="21" t="s">
        <v>35</v>
      </c>
      <c r="B21" s="1" t="s">
        <v>36</v>
      </c>
      <c r="C21" s="4" t="s">
        <v>31</v>
      </c>
      <c r="E21" s="7">
        <f t="shared" ref="E21:E22" si="23">+H21+J21+L21+N21+P21+R21+T21+V21+X21+Z21+AB21+AD21</f>
        <v>80</v>
      </c>
      <c r="F21" s="10">
        <f t="shared" ref="F21:F22" si="24">+E21*G21</f>
        <v>1200</v>
      </c>
      <c r="G21" s="12">
        <v>15</v>
      </c>
      <c r="H21" s="7">
        <v>0</v>
      </c>
      <c r="I21" s="10">
        <f t="shared" si="9"/>
        <v>0</v>
      </c>
      <c r="J21" s="7">
        <v>0</v>
      </c>
      <c r="K21" s="10">
        <f t="shared" si="10"/>
        <v>0</v>
      </c>
      <c r="L21" s="7">
        <f>VLOOKUP(A21,'[1]รับ-จ่าย ประจำวัน'!$A:$BT,72,0)</f>
        <v>40</v>
      </c>
      <c r="M21" s="10">
        <f t="shared" si="11"/>
        <v>600</v>
      </c>
      <c r="N21" s="7">
        <v>0</v>
      </c>
      <c r="O21" s="10">
        <f t="shared" si="12"/>
        <v>0</v>
      </c>
      <c r="P21" s="7">
        <v>40</v>
      </c>
      <c r="Q21" s="10">
        <f t="shared" si="13"/>
        <v>600</v>
      </c>
      <c r="R21" s="7">
        <v>0</v>
      </c>
      <c r="S21" s="10">
        <f t="shared" si="14"/>
        <v>0</v>
      </c>
      <c r="U21" s="10">
        <f t="shared" si="1"/>
        <v>0</v>
      </c>
      <c r="W21" s="10">
        <f t="shared" si="2"/>
        <v>0</v>
      </c>
      <c r="Y21" s="10">
        <f t="shared" si="3"/>
        <v>0</v>
      </c>
      <c r="AA21" s="10">
        <f t="shared" si="4"/>
        <v>0</v>
      </c>
      <c r="AC21" s="10">
        <f t="shared" si="5"/>
        <v>0</v>
      </c>
      <c r="AE21" s="10">
        <f t="shared" si="6"/>
        <v>0</v>
      </c>
    </row>
    <row r="22" spans="1:31" x14ac:dyDescent="0.6">
      <c r="A22" s="21">
        <v>1023101040</v>
      </c>
      <c r="B22" s="1" t="s">
        <v>64</v>
      </c>
      <c r="C22" s="4" t="s">
        <v>31</v>
      </c>
      <c r="E22" s="7">
        <f t="shared" si="23"/>
        <v>25</v>
      </c>
      <c r="F22" s="10">
        <f t="shared" si="24"/>
        <v>2102.75</v>
      </c>
      <c r="G22" s="12">
        <v>84.11</v>
      </c>
      <c r="H22" s="7">
        <v>0</v>
      </c>
      <c r="I22" s="10">
        <f t="shared" si="9"/>
        <v>0</v>
      </c>
      <c r="J22" s="7">
        <v>0</v>
      </c>
      <c r="K22" s="10">
        <f t="shared" si="10"/>
        <v>0</v>
      </c>
      <c r="L22" s="7">
        <f>VLOOKUP(A22,'[1]รับ-จ่าย ประจำวัน'!$A:$BT,72,0)</f>
        <v>25</v>
      </c>
      <c r="M22" s="10">
        <f t="shared" si="11"/>
        <v>2102.75</v>
      </c>
      <c r="N22" s="7">
        <v>0</v>
      </c>
      <c r="O22" s="10">
        <f t="shared" si="12"/>
        <v>0</v>
      </c>
      <c r="P22" s="7">
        <v>0</v>
      </c>
      <c r="Q22" s="10">
        <f t="shared" si="13"/>
        <v>0</v>
      </c>
      <c r="R22" s="7">
        <v>0</v>
      </c>
      <c r="S22" s="10">
        <f t="shared" si="14"/>
        <v>0</v>
      </c>
      <c r="U22" s="10">
        <f t="shared" ref="U22:U24" si="25">+T22*Q22</f>
        <v>0</v>
      </c>
      <c r="W22" s="10">
        <f t="shared" ref="W22:W24" si="26">+V22*S22</f>
        <v>0</v>
      </c>
      <c r="Y22" s="10">
        <f t="shared" ref="Y22:Y24" si="27">+X22*U22</f>
        <v>0</v>
      </c>
      <c r="AA22" s="10">
        <f t="shared" ref="AA22:AA24" si="28">+Z22*W22</f>
        <v>0</v>
      </c>
      <c r="AC22" s="10">
        <f t="shared" ref="AC22:AC24" si="29">+AB22*Y22</f>
        <v>0</v>
      </c>
      <c r="AE22" s="10">
        <f t="shared" ref="AE22:AE24" si="30">+AD22*AA22</f>
        <v>0</v>
      </c>
    </row>
    <row r="23" spans="1:31" x14ac:dyDescent="0.6">
      <c r="A23" s="21">
        <v>1023101046</v>
      </c>
      <c r="B23" s="1" t="s">
        <v>65</v>
      </c>
      <c r="C23" s="4" t="s">
        <v>31</v>
      </c>
      <c r="E23" s="7">
        <f>+H23+J23+L23+N23+P23+R23+T23+V23+X23+Z23+AB23+AD23</f>
        <v>19</v>
      </c>
      <c r="F23" s="10">
        <f t="shared" ref="F23" si="31">+E23*G23</f>
        <v>2752.34</v>
      </c>
      <c r="G23" s="12">
        <v>144.86000000000001</v>
      </c>
      <c r="H23" s="7">
        <v>0</v>
      </c>
      <c r="I23" s="10">
        <f t="shared" si="9"/>
        <v>0</v>
      </c>
      <c r="J23" s="7">
        <v>0</v>
      </c>
      <c r="K23" s="10">
        <f t="shared" si="10"/>
        <v>0</v>
      </c>
      <c r="L23" s="7">
        <f>VLOOKUP(A23,'[1]รับ-จ่าย ประจำวัน'!$A:$BT,72,0)</f>
        <v>19</v>
      </c>
      <c r="M23" s="10">
        <f t="shared" si="11"/>
        <v>2752.34</v>
      </c>
      <c r="N23" s="7">
        <v>0</v>
      </c>
      <c r="O23" s="10">
        <f t="shared" si="12"/>
        <v>0</v>
      </c>
      <c r="P23" s="7">
        <v>0</v>
      </c>
      <c r="Q23" s="10">
        <f t="shared" si="13"/>
        <v>0</v>
      </c>
      <c r="R23" s="7">
        <v>0</v>
      </c>
      <c r="S23" s="10">
        <f t="shared" si="14"/>
        <v>0</v>
      </c>
      <c r="U23" s="10">
        <f t="shared" si="25"/>
        <v>0</v>
      </c>
      <c r="W23" s="10">
        <f t="shared" si="26"/>
        <v>0</v>
      </c>
      <c r="Y23" s="10">
        <f t="shared" si="27"/>
        <v>0</v>
      </c>
      <c r="AA23" s="10">
        <f t="shared" si="28"/>
        <v>0</v>
      </c>
      <c r="AC23" s="10">
        <f t="shared" si="29"/>
        <v>0</v>
      </c>
      <c r="AE23" s="10">
        <f t="shared" si="30"/>
        <v>0</v>
      </c>
    </row>
    <row r="24" spans="1:31" x14ac:dyDescent="0.6">
      <c r="A24" s="21" t="s">
        <v>66</v>
      </c>
      <c r="B24" s="1" t="s">
        <v>67</v>
      </c>
      <c r="C24" s="4" t="s">
        <v>31</v>
      </c>
      <c r="E24" s="7">
        <f>+H24+J24+L24+N24+P24+R24+T24+V24+X24+Z24+AB24+AD24</f>
        <v>648</v>
      </c>
      <c r="F24" s="10">
        <f t="shared" ref="F24" si="32">+E24*G24</f>
        <v>268920</v>
      </c>
      <c r="G24" s="12">
        <v>415</v>
      </c>
      <c r="H24" s="7">
        <v>360</v>
      </c>
      <c r="I24" s="10">
        <f t="shared" si="9"/>
        <v>149400</v>
      </c>
      <c r="J24" s="7">
        <v>0</v>
      </c>
      <c r="K24" s="10">
        <f t="shared" si="10"/>
        <v>0</v>
      </c>
      <c r="L24" s="7">
        <f>VLOOKUP(A24,'[1]รับ-จ่าย ประจำวัน'!$A:$BT,72,0)</f>
        <v>0</v>
      </c>
      <c r="M24" s="10">
        <f t="shared" si="11"/>
        <v>0</v>
      </c>
      <c r="N24" s="7">
        <v>0</v>
      </c>
      <c r="O24" s="10">
        <f t="shared" si="12"/>
        <v>0</v>
      </c>
      <c r="P24" s="7">
        <v>0</v>
      </c>
      <c r="Q24" s="10">
        <f t="shared" si="13"/>
        <v>0</v>
      </c>
      <c r="R24" s="7">
        <v>288</v>
      </c>
      <c r="S24" s="10">
        <f t="shared" si="14"/>
        <v>119520</v>
      </c>
      <c r="U24" s="10">
        <f t="shared" si="25"/>
        <v>0</v>
      </c>
      <c r="W24" s="10">
        <f t="shared" si="26"/>
        <v>0</v>
      </c>
      <c r="Y24" s="10">
        <f t="shared" si="27"/>
        <v>0</v>
      </c>
      <c r="AA24" s="10">
        <f t="shared" si="28"/>
        <v>0</v>
      </c>
      <c r="AC24" s="10">
        <f t="shared" si="29"/>
        <v>0</v>
      </c>
      <c r="AE24" s="10">
        <f t="shared" si="30"/>
        <v>0</v>
      </c>
    </row>
  </sheetData>
  <autoFilter ref="A3:AE24" xr:uid="{2F71F9D2-3C84-4A26-AE03-CCE182EC5685}"/>
  <mergeCells count="18">
    <mergeCell ref="H2:I2"/>
    <mergeCell ref="J2:K2"/>
    <mergeCell ref="L2:M2"/>
    <mergeCell ref="N2:O2"/>
    <mergeCell ref="AD2:AE2"/>
    <mergeCell ref="AB2:AC2"/>
    <mergeCell ref="X2:Y2"/>
    <mergeCell ref="Z2:AA2"/>
    <mergeCell ref="P2:Q2"/>
    <mergeCell ref="R2:S2"/>
    <mergeCell ref="T2:U2"/>
    <mergeCell ref="V2:W2"/>
    <mergeCell ref="A2:A3"/>
    <mergeCell ref="B2:B3"/>
    <mergeCell ref="C2:C3"/>
    <mergeCell ref="D2:D3"/>
    <mergeCell ref="G2:G3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All</vt:lpstr>
      <vt:lpstr>วัสดุสิ้นเปลือง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dcterms:created xsi:type="dcterms:W3CDTF">2024-12-01T09:32:57Z</dcterms:created>
  <dcterms:modified xsi:type="dcterms:W3CDTF">2026-07-04T08:48:09Z</dcterms:modified>
</cp:coreProperties>
</file>