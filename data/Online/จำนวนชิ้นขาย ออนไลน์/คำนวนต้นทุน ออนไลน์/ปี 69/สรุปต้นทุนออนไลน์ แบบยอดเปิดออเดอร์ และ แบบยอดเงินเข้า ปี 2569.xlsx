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E8296EEE-39F1-4793-8037-E2886F0671D0}" xr6:coauthVersionLast="47" xr6:coauthVersionMax="47" xr10:uidLastSave="{00000000-0000-0000-0000-000000000000}"/>
  <bookViews>
    <workbookView xWindow="-108" yWindow="-108" windowWidth="23256" windowHeight="13896" xr2:uid="{507F6CDB-0585-443E-9E92-6344E6D18CD9}"/>
  </bookViews>
  <sheets>
    <sheet name="เงินเข้า" sheetId="1" r:id="rId1"/>
    <sheet name="ยอดเปิดออเดอร์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C24" i="2" l="1"/>
  <c r="I21" i="1"/>
  <c r="G21" i="1"/>
  <c r="C21" i="1"/>
  <c r="C15" i="1"/>
  <c r="E15" i="2"/>
  <c r="C15" i="2"/>
  <c r="AC15" i="2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A21" i="1"/>
  <c r="AB21" i="1" s="1"/>
  <c r="Y21" i="1"/>
  <c r="Z21" i="1" s="1"/>
  <c r="W21" i="1"/>
  <c r="X21" i="1" s="1"/>
  <c r="U21" i="1"/>
  <c r="V21" i="1" s="1"/>
  <c r="S21" i="1"/>
  <c r="T21" i="1" s="1"/>
  <c r="Q21" i="1"/>
  <c r="R21" i="1" s="1"/>
  <c r="O21" i="1"/>
  <c r="P21" i="1" s="1"/>
  <c r="M21" i="1"/>
  <c r="N21" i="1" s="1"/>
  <c r="K21" i="1"/>
  <c r="L21" i="1" s="1"/>
  <c r="J21" i="1"/>
  <c r="H21" i="1"/>
  <c r="F21" i="1"/>
  <c r="AB20" i="1"/>
  <c r="Z20" i="1"/>
  <c r="X20" i="1"/>
  <c r="V20" i="1"/>
  <c r="T20" i="1"/>
  <c r="R20" i="1"/>
  <c r="P20" i="1"/>
  <c r="N20" i="1"/>
  <c r="L20" i="1"/>
  <c r="J20" i="1"/>
  <c r="H20" i="1"/>
  <c r="F20" i="1"/>
  <c r="C20" i="1"/>
  <c r="AB19" i="1"/>
  <c r="Z19" i="1"/>
  <c r="X19" i="1"/>
  <c r="V19" i="1"/>
  <c r="T19" i="1"/>
  <c r="R19" i="1"/>
  <c r="P19" i="1"/>
  <c r="N19" i="1"/>
  <c r="L19" i="1"/>
  <c r="J19" i="1"/>
  <c r="H19" i="1"/>
  <c r="F19" i="1"/>
  <c r="C19" i="1"/>
  <c r="C20" i="2"/>
  <c r="C21" i="2"/>
  <c r="C22" i="2"/>
  <c r="C23" i="2"/>
  <c r="C19" i="2"/>
  <c r="AA24" i="2"/>
  <c r="Y24" i="2"/>
  <c r="W24" i="2"/>
  <c r="U24" i="2"/>
  <c r="S24" i="2"/>
  <c r="Q24" i="2"/>
  <c r="O24" i="2"/>
  <c r="M24" i="2"/>
  <c r="K24" i="2"/>
  <c r="I24" i="2"/>
  <c r="G24" i="2"/>
  <c r="E24" i="2"/>
  <c r="K5" i="2" l="1"/>
  <c r="L5" i="2" s="1"/>
  <c r="L1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X24" i="2"/>
  <c r="T24" i="2"/>
  <c r="R24" i="2"/>
  <c r="P24" i="2"/>
  <c r="N24" i="2"/>
  <c r="L24" i="2"/>
  <c r="J24" i="2"/>
  <c r="H24" i="2"/>
  <c r="F24" i="2"/>
  <c r="AB24" i="2"/>
  <c r="Z24" i="2"/>
  <c r="V24" i="2"/>
  <c r="AB23" i="2"/>
  <c r="Z23" i="2"/>
  <c r="X23" i="2"/>
  <c r="V23" i="2"/>
  <c r="T23" i="2"/>
  <c r="R23" i="2"/>
  <c r="P23" i="2"/>
  <c r="N23" i="2"/>
  <c r="L23" i="2"/>
  <c r="J23" i="2"/>
  <c r="H23" i="2"/>
  <c r="AB22" i="2"/>
  <c r="Z22" i="2"/>
  <c r="X22" i="2"/>
  <c r="V22" i="2"/>
  <c r="T22" i="2"/>
  <c r="R22" i="2"/>
  <c r="P22" i="2"/>
  <c r="N22" i="2"/>
  <c r="L22" i="2"/>
  <c r="J22" i="2"/>
  <c r="H22" i="2"/>
  <c r="AB21" i="2"/>
  <c r="Z21" i="2"/>
  <c r="X21" i="2"/>
  <c r="V21" i="2"/>
  <c r="T21" i="2"/>
  <c r="R21" i="2"/>
  <c r="P21" i="2"/>
  <c r="N21" i="2"/>
  <c r="L21" i="2"/>
  <c r="J21" i="2"/>
  <c r="H21" i="2"/>
  <c r="AB20" i="2"/>
  <c r="Z20" i="2"/>
  <c r="X20" i="2"/>
  <c r="V20" i="2"/>
  <c r="T20" i="2"/>
  <c r="R20" i="2"/>
  <c r="P20" i="2"/>
  <c r="N20" i="2"/>
  <c r="L20" i="2"/>
  <c r="J20" i="2"/>
  <c r="H20" i="2"/>
  <c r="AB19" i="2"/>
  <c r="Z19" i="2"/>
  <c r="X19" i="2"/>
  <c r="V19" i="2"/>
  <c r="T19" i="2"/>
  <c r="R19" i="2"/>
  <c r="P19" i="2"/>
  <c r="N19" i="2"/>
  <c r="L19" i="2"/>
  <c r="J19" i="2"/>
  <c r="H19" i="2"/>
  <c r="F23" i="2"/>
  <c r="F22" i="2"/>
  <c r="F21" i="2"/>
  <c r="F20" i="2"/>
  <c r="F19" i="2"/>
  <c r="AA6" i="2"/>
  <c r="AB6" i="2" s="1"/>
  <c r="AA7" i="2"/>
  <c r="AB7" i="2" s="1"/>
  <c r="AA8" i="2"/>
  <c r="AB8" i="2" s="1"/>
  <c r="AA9" i="2"/>
  <c r="AB9" i="2" s="1"/>
  <c r="AA10" i="2"/>
  <c r="AA11" i="2"/>
  <c r="AB11" i="2" s="1"/>
  <c r="AA12" i="2"/>
  <c r="AB12" i="2" s="1"/>
  <c r="AA13" i="2"/>
  <c r="AB13" i="2" s="1"/>
  <c r="AA14" i="2"/>
  <c r="AB14" i="2" s="1"/>
  <c r="AA5" i="2"/>
  <c r="Y6" i="2"/>
  <c r="Z6" i="2" s="1"/>
  <c r="Y7" i="2"/>
  <c r="Z7" i="2" s="1"/>
  <c r="Y8" i="2"/>
  <c r="Z8" i="2" s="1"/>
  <c r="Y9" i="2"/>
  <c r="Z9" i="2" s="1"/>
  <c r="Y10" i="2"/>
  <c r="Z10" i="2" s="1"/>
  <c r="Y11" i="2"/>
  <c r="Z11" i="2" s="1"/>
  <c r="Y12" i="2"/>
  <c r="Z12" i="2" s="1"/>
  <c r="Y13" i="2"/>
  <c r="Z13" i="2" s="1"/>
  <c r="Y14" i="2"/>
  <c r="Z14" i="2" s="1"/>
  <c r="Y5" i="2"/>
  <c r="W6" i="2"/>
  <c r="X6" i="2" s="1"/>
  <c r="W7" i="2"/>
  <c r="X7" i="2" s="1"/>
  <c r="W8" i="2"/>
  <c r="X8" i="2" s="1"/>
  <c r="W9" i="2"/>
  <c r="X9" i="2" s="1"/>
  <c r="W10" i="2"/>
  <c r="X10" i="2" s="1"/>
  <c r="W11" i="2"/>
  <c r="X11" i="2" s="1"/>
  <c r="W12" i="2"/>
  <c r="X12" i="2" s="1"/>
  <c r="W13" i="2"/>
  <c r="X13" i="2" s="1"/>
  <c r="W14" i="2"/>
  <c r="X14" i="2" s="1"/>
  <c r="W5" i="2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5" i="2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T12" i="2" s="1"/>
  <c r="S13" i="2"/>
  <c r="T13" i="2" s="1"/>
  <c r="S14" i="2"/>
  <c r="T14" i="2" s="1"/>
  <c r="S5" i="2"/>
  <c r="Q6" i="2"/>
  <c r="R6" i="2" s="1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Q14" i="2"/>
  <c r="R14" i="2" s="1"/>
  <c r="Q5" i="2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5" i="2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5" i="2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5" i="2"/>
  <c r="G6" i="2"/>
  <c r="H6" i="2" s="1"/>
  <c r="G7" i="2"/>
  <c r="H7" i="2" s="1"/>
  <c r="G8" i="2"/>
  <c r="H8" i="2" s="1"/>
  <c r="G9" i="2"/>
  <c r="H9" i="2" s="1"/>
  <c r="G10" i="2"/>
  <c r="H10" i="2" s="1"/>
  <c r="G11" i="2"/>
  <c r="G12" i="2"/>
  <c r="H12" i="2" s="1"/>
  <c r="G13" i="2"/>
  <c r="H13" i="2" s="1"/>
  <c r="G14" i="2"/>
  <c r="H14" i="2" s="1"/>
  <c r="G5" i="2"/>
  <c r="E6" i="2"/>
  <c r="F6" i="2" s="1"/>
  <c r="E7" i="2"/>
  <c r="E8" i="2"/>
  <c r="E9" i="2"/>
  <c r="F9" i="2" s="1"/>
  <c r="E10" i="2"/>
  <c r="F10" i="2" s="1"/>
  <c r="E11" i="2"/>
  <c r="F11" i="2" s="1"/>
  <c r="E12" i="2"/>
  <c r="F12" i="2" s="1"/>
  <c r="E13" i="2"/>
  <c r="F13" i="2" s="1"/>
  <c r="E14" i="2"/>
  <c r="E5" i="2"/>
  <c r="H5" i="2"/>
  <c r="C2" i="2"/>
  <c r="C6" i="1"/>
  <c r="C7" i="1"/>
  <c r="C8" i="1"/>
  <c r="C9" i="1"/>
  <c r="C10" i="1"/>
  <c r="C11" i="1"/>
  <c r="C12" i="1"/>
  <c r="C13" i="1"/>
  <c r="C14" i="1"/>
  <c r="C5" i="1"/>
  <c r="C2" i="1"/>
  <c r="AB14" i="1"/>
  <c r="AB13" i="1"/>
  <c r="AB12" i="1"/>
  <c r="AB11" i="1"/>
  <c r="AB10" i="1"/>
  <c r="AB9" i="1"/>
  <c r="AB8" i="1"/>
  <c r="AB7" i="1"/>
  <c r="AB6" i="1"/>
  <c r="AB5" i="1"/>
  <c r="Z14" i="1"/>
  <c r="Z13" i="1"/>
  <c r="Z12" i="1"/>
  <c r="Z11" i="1"/>
  <c r="Z10" i="1"/>
  <c r="Z9" i="1"/>
  <c r="Z8" i="1"/>
  <c r="Z7" i="1"/>
  <c r="Z6" i="1"/>
  <c r="Z5" i="1"/>
  <c r="X14" i="1"/>
  <c r="X13" i="1"/>
  <c r="X12" i="1"/>
  <c r="X11" i="1"/>
  <c r="X10" i="1"/>
  <c r="X9" i="1"/>
  <c r="X8" i="1"/>
  <c r="X7" i="1"/>
  <c r="X6" i="1"/>
  <c r="X5" i="1"/>
  <c r="V14" i="1"/>
  <c r="V13" i="1"/>
  <c r="V12" i="1"/>
  <c r="V11" i="1"/>
  <c r="V10" i="1"/>
  <c r="V9" i="1"/>
  <c r="V8" i="1"/>
  <c r="V7" i="1"/>
  <c r="V6" i="1"/>
  <c r="V5" i="1"/>
  <c r="T14" i="1"/>
  <c r="T13" i="1"/>
  <c r="T12" i="1"/>
  <c r="T11" i="1"/>
  <c r="T10" i="1"/>
  <c r="T9" i="1"/>
  <c r="T8" i="1"/>
  <c r="T7" i="1"/>
  <c r="T6" i="1"/>
  <c r="T5" i="1"/>
  <c r="R14" i="1"/>
  <c r="R13" i="1"/>
  <c r="R12" i="1"/>
  <c r="R11" i="1"/>
  <c r="R10" i="1"/>
  <c r="R9" i="1"/>
  <c r="R8" i="1"/>
  <c r="R7" i="1"/>
  <c r="R6" i="1"/>
  <c r="R5" i="1"/>
  <c r="P14" i="1"/>
  <c r="P13" i="1"/>
  <c r="P12" i="1"/>
  <c r="P11" i="1"/>
  <c r="P10" i="1"/>
  <c r="P9" i="1"/>
  <c r="P8" i="1"/>
  <c r="P7" i="1"/>
  <c r="P6" i="1"/>
  <c r="P5" i="1"/>
  <c r="N14" i="1"/>
  <c r="N13" i="1"/>
  <c r="N12" i="1"/>
  <c r="N11" i="1"/>
  <c r="N10" i="1"/>
  <c r="N9" i="1"/>
  <c r="N8" i="1"/>
  <c r="N7" i="1"/>
  <c r="N6" i="1"/>
  <c r="N5" i="1"/>
  <c r="L14" i="1"/>
  <c r="L13" i="1"/>
  <c r="L12" i="1"/>
  <c r="L11" i="1"/>
  <c r="L10" i="1"/>
  <c r="L9" i="1"/>
  <c r="L8" i="1"/>
  <c r="L7" i="1"/>
  <c r="L6" i="1"/>
  <c r="L5" i="1"/>
  <c r="J14" i="1"/>
  <c r="J13" i="1"/>
  <c r="J12" i="1"/>
  <c r="J11" i="1"/>
  <c r="J10" i="1"/>
  <c r="J9" i="1"/>
  <c r="J8" i="1"/>
  <c r="J7" i="1"/>
  <c r="J6" i="1"/>
  <c r="J5" i="1"/>
  <c r="H14" i="1"/>
  <c r="H13" i="1"/>
  <c r="H12" i="1"/>
  <c r="H11" i="1"/>
  <c r="H10" i="1"/>
  <c r="H9" i="1"/>
  <c r="H8" i="1"/>
  <c r="H7" i="1"/>
  <c r="H6" i="1"/>
  <c r="H5" i="1"/>
  <c r="F14" i="1"/>
  <c r="F13" i="1"/>
  <c r="F12" i="1"/>
  <c r="F11" i="1"/>
  <c r="F10" i="1"/>
  <c r="F9" i="1"/>
  <c r="F8" i="1"/>
  <c r="F7" i="1"/>
  <c r="F6" i="1"/>
  <c r="F5" i="1"/>
  <c r="X5" i="2" l="1"/>
  <c r="X15" i="2" s="1"/>
  <c r="W15" i="2"/>
  <c r="P5" i="2"/>
  <c r="P15" i="2" s="1"/>
  <c r="O15" i="2"/>
  <c r="G15" i="2"/>
  <c r="Z5" i="2"/>
  <c r="Z15" i="2" s="1"/>
  <c r="Y15" i="2"/>
  <c r="T5" i="2"/>
  <c r="T15" i="2" s="1"/>
  <c r="S15" i="2"/>
  <c r="K15" i="2"/>
  <c r="R5" i="2"/>
  <c r="R15" i="2" s="1"/>
  <c r="Q15" i="2"/>
  <c r="J5" i="2"/>
  <c r="J15" i="2" s="1"/>
  <c r="I15" i="2"/>
  <c r="AB5" i="2"/>
  <c r="AB15" i="2" s="1"/>
  <c r="AA15" i="2"/>
  <c r="V5" i="2"/>
  <c r="V15" i="2" s="1"/>
  <c r="U15" i="2"/>
  <c r="N5" i="2"/>
  <c r="N15" i="2" s="1"/>
  <c r="M15" i="2"/>
  <c r="F5" i="2"/>
  <c r="D14" i="1"/>
  <c r="D20" i="1"/>
  <c r="D21" i="1"/>
  <c r="D19" i="1"/>
  <c r="D24" i="2"/>
  <c r="D10" i="1"/>
  <c r="D9" i="1"/>
  <c r="D20" i="2"/>
  <c r="D19" i="2"/>
  <c r="D21" i="2"/>
  <c r="D22" i="2"/>
  <c r="D23" i="2"/>
  <c r="D5" i="1"/>
  <c r="D7" i="1"/>
  <c r="D6" i="1"/>
  <c r="D8" i="1"/>
  <c r="D11" i="1"/>
  <c r="D12" i="1"/>
  <c r="D13" i="1"/>
  <c r="C6" i="2"/>
  <c r="D6" i="2" s="1"/>
  <c r="C10" i="2"/>
  <c r="D10" i="2" s="1"/>
  <c r="AB10" i="2"/>
  <c r="C8" i="2"/>
  <c r="D8" i="2" s="1"/>
  <c r="C9" i="2"/>
  <c r="D9" i="2" s="1"/>
  <c r="C12" i="2"/>
  <c r="D12" i="2" s="1"/>
  <c r="C5" i="2"/>
  <c r="C7" i="2"/>
  <c r="D7" i="2" s="1"/>
  <c r="C11" i="2"/>
  <c r="D11" i="2" s="1"/>
  <c r="H11" i="2"/>
  <c r="H15" i="2" s="1"/>
  <c r="C14" i="2"/>
  <c r="D14" i="2" s="1"/>
  <c r="F14" i="2"/>
  <c r="F8" i="2"/>
  <c r="C13" i="2"/>
  <c r="D13" i="2" s="1"/>
  <c r="F7" i="2"/>
  <c r="F15" i="2" l="1"/>
  <c r="D5" i="2"/>
  <c r="D15" i="2" s="1"/>
</calcChain>
</file>

<file path=xl/sharedStrings.xml><?xml version="1.0" encoding="utf-8"?>
<sst xmlns="http://schemas.openxmlformats.org/spreadsheetml/2006/main" count="195" uniqueCount="37">
  <si>
    <t>NO</t>
  </si>
  <si>
    <t>รายการ</t>
  </si>
  <si>
    <t>ยอดต้นทุน</t>
  </si>
  <si>
    <t>คิดเป็นกี่%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</si>
  <si>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</si>
  <si>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</si>
  <si>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</si>
  <si>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</si>
  <si>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ต้นทุนค่าขนส่ง (COD) , (ปณ.)</t>
  </si>
  <si>
    <t>ต้นทุนค่ากระตุ้นยอดขาย (ยิง ADS)</t>
  </si>
  <si>
    <t>ต้นทุนค่าจ้างอินฟลูเรนเซอร์</t>
  </si>
  <si>
    <t>ต้นทุนเบิกสินค้าไลฟ์สด</t>
  </si>
  <si>
    <t>ค่าโทรศัพท์ที่เกี่ยวข้องในแผนกออนไลน์</t>
  </si>
  <si>
    <t>วัสดุสิ้นเปลืองใช้จัดฉาก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</si>
  <si>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</si>
  <si>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</si>
  <si>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</si>
  <si>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</si>
  <si>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</si>
  <si>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</si>
  <si>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</si>
  <si>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</si>
  <si>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</si>
  <si>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</si>
  <si>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</si>
  <si>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</si>
  <si>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</si>
  <si>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สรุปต้นทุนออนไลน์ แบบเงินเข้าบัญชี ปี 2569</t>
  </si>
  <si>
    <t>ยอดเงินเข้า</t>
  </si>
  <si>
    <t>สรุปต้นทุนออนไลน์ แบบยอดเปิดออเดอร์ ปี 2569</t>
  </si>
  <si>
    <t>หักยกเลิกออเดอร์</t>
  </si>
  <si>
    <t>หักค่าใช้จ่ายแพลตฟอร์ม</t>
  </si>
  <si>
    <t>หักยอดส่วนลดผู้ขาย</t>
  </si>
  <si>
    <t>หักค่าใช้จ่ายบริหาร</t>
  </si>
  <si>
    <t>หักยอดเคลม + ตีกลับ + โอนเงินคืนลูกค้า</t>
  </si>
  <si>
    <t>คงเหลือกำไร</t>
  </si>
  <si>
    <t>รวมค่าใช้จ่าย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</si>
</sst>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8"/>
      <color theme="1"/>
      <name val="Angsana New"/>
      <family val="1"/>
    </font>
    <font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8"/>
      <name val="Tahoma"/>
      <family val="2"/>
      <charset val="222"/>
      <scheme val="minor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  <charset val="222"/>
    </font>
    <font>
      <b/>
      <sz val="16"/>
      <color rgb="FFFF0000"/>
      <name val="Angsana New"/>
      <family val="1"/>
      <charset val="22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/>
      <top style="double">
        <color rgb="FFFF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9" fontId="5" fillId="0" borderId="0" xfId="2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43" fontId="3" fillId="0" borderId="0" xfId="1" applyFont="1"/>
    <xf numFmtId="43" fontId="3" fillId="0" borderId="0" xfId="1" applyFont="1" applyAlignment="1">
      <alignment horizontal="right"/>
    </xf>
    <xf numFmtId="43" fontId="3" fillId="0" borderId="1" xfId="1" applyFont="1" applyBorder="1"/>
    <xf numFmtId="0" fontId="7" fillId="0" borderId="0" xfId="0" applyFont="1"/>
    <xf numFmtId="43" fontId="4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3" xfId="0" applyBorder="1"/>
    <xf numFmtId="43" fontId="3" fillId="0" borderId="1" xfId="1" applyFont="1" applyBorder="1" applyAlignment="1">
      <alignment horizontal="right"/>
    </xf>
    <xf numFmtId="9" fontId="5" fillId="0" borderId="0" xfId="2" applyFont="1" applyBorder="1" applyAlignment="1">
      <alignment horizontal="right"/>
    </xf>
    <xf numFmtId="0" fontId="0" fillId="0" borderId="3" xfId="0" applyBorder="1" applyAlignment="1">
      <alignment horizontal="right"/>
    </xf>
    <xf numFmtId="0" fontId="3" fillId="3" borderId="0" xfId="0" applyFont="1" applyFill="1" applyAlignment="1">
      <alignment horizontal="right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43" fontId="8" fillId="0" borderId="4" xfId="0" applyNumberFormat="1" applyFont="1" applyBorder="1" applyAlignment="1">
      <alignment horizontal="left"/>
    </xf>
    <xf numFmtId="9" fontId="9" fillId="0" borderId="4" xfId="2" applyFont="1" applyBorder="1" applyAlignment="1">
      <alignment horizontal="right"/>
    </xf>
    <xf numFmtId="43" fontId="8" fillId="0" borderId="0" xfId="0" applyNumberFormat="1" applyFont="1" applyAlignment="1">
      <alignment horizontal="left"/>
    </xf>
    <xf numFmtId="0" fontId="2" fillId="0" borderId="0" xfId="0" applyFont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5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right" vertical="center"/>
    </xf>
  </cellXfs>
  <cellStyles count="3">
    <cellStyle name="จุลภาค" xfId="1" builtinId="3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3317-8DEF-486B-9DB6-FD6A49996529}">
  <sheetPr>
    <tabColor theme="4" tint="0.39997558519241921"/>
  </sheetPr>
  <dimension ref="A1:AC22"/>
  <sheetViews>
    <sheetView tabSelected="1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G4" sqref="G4"/>
    </sheetView>
  </sheetViews>
  <sheetFormatPr defaultRowHeight="13.8" x14ac:dyDescent="0.25"/>
  <cols>
    <col min="2" max="2" width="30.69921875" bestFit="1" customWidth="1"/>
    <col min="3" max="3" width="12.796875" bestFit="1" customWidth="1"/>
    <col min="4" max="4" width="8.796875" style="7"/>
    <col min="5" max="5" width="12.796875" bestFit="1" customWidth="1"/>
    <col min="6" max="6" width="8.69921875" style="7" bestFit="1" customWidth="1"/>
    <col min="7" max="7" width="12.796875" bestFit="1" customWidth="1"/>
    <col min="8" max="8" width="8.796875" style="7"/>
    <col min="9" max="9" width="12.796875" bestFit="1" customWidth="1"/>
    <col min="10" max="10" width="8.796875" style="7"/>
    <col min="11" max="11" width="12.796875" bestFit="1" customWidth="1"/>
    <col min="12" max="12" width="8.796875" style="7"/>
    <col min="14" max="14" width="8.796875" style="7"/>
    <col min="16" max="16" width="8.796875" style="7"/>
    <col min="18" max="18" width="8.796875" style="7"/>
    <col min="20" max="20" width="8.796875" style="7"/>
    <col min="22" max="22" width="8.796875" style="7"/>
    <col min="24" max="24" width="8.796875" style="7"/>
    <col min="26" max="26" width="8.796875" style="7"/>
    <col min="28" max="28" width="8.796875" style="7"/>
  </cols>
  <sheetData>
    <row r="1" spans="1:29" ht="28.8" x14ac:dyDescent="0.75">
      <c r="A1" s="11" t="s">
        <v>27</v>
      </c>
    </row>
    <row r="2" spans="1:29" s="8" customFormat="1" ht="27" thickBot="1" x14ac:dyDescent="0.75">
      <c r="B2" s="9" t="s">
        <v>28</v>
      </c>
      <c r="C2" s="10">
        <f>SUM(E2:AB2)</f>
        <v>9183042.8900000006</v>
      </c>
      <c r="D2" s="17"/>
      <c r="E2" s="10">
        <v>4550855.79</v>
      </c>
      <c r="F2" s="17"/>
      <c r="G2" s="10">
        <v>1884425.0100000002</v>
      </c>
      <c r="H2" s="17"/>
      <c r="I2" s="10">
        <v>1432878.37</v>
      </c>
      <c r="J2" s="17"/>
      <c r="K2" s="10">
        <v>1314883.72</v>
      </c>
      <c r="L2" s="17"/>
      <c r="M2" s="10"/>
      <c r="N2" s="17"/>
      <c r="O2" s="10"/>
      <c r="P2" s="17"/>
      <c r="Q2" s="10"/>
      <c r="R2" s="17"/>
      <c r="S2" s="10"/>
      <c r="T2" s="17"/>
      <c r="U2" s="10"/>
      <c r="V2" s="17"/>
      <c r="W2" s="10"/>
      <c r="X2" s="17"/>
      <c r="Y2" s="10"/>
      <c r="Z2" s="17"/>
      <c r="AA2" s="10"/>
      <c r="AB2" s="17"/>
    </row>
    <row r="3" spans="1:29" ht="27" thickTop="1" x14ac:dyDescent="0.7">
      <c r="A3" s="28" t="s">
        <v>0</v>
      </c>
      <c r="B3" s="28" t="s">
        <v>1</v>
      </c>
      <c r="C3" s="29" t="s">
        <v>14</v>
      </c>
      <c r="D3" s="31" t="s">
        <v>3</v>
      </c>
      <c r="E3" s="27" t="s">
        <v>15</v>
      </c>
      <c r="F3" s="27"/>
      <c r="G3" s="27" t="s">
        <v>16</v>
      </c>
      <c r="H3" s="27"/>
      <c r="I3" s="27" t="s">
        <v>17</v>
      </c>
      <c r="J3" s="27"/>
      <c r="K3" s="27" t="s">
        <v>18</v>
      </c>
      <c r="L3" s="27"/>
      <c r="M3" s="27" t="s">
        <v>19</v>
      </c>
      <c r="N3" s="27"/>
      <c r="O3" s="27" t="s">
        <v>20</v>
      </c>
      <c r="P3" s="27"/>
      <c r="Q3" s="27" t="s">
        <v>21</v>
      </c>
      <c r="R3" s="27"/>
      <c r="S3" s="27" t="s">
        <v>22</v>
      </c>
      <c r="T3" s="27"/>
      <c r="U3" s="27" t="s">
        <v>23</v>
      </c>
      <c r="V3" s="27"/>
      <c r="W3" s="27" t="s">
        <v>24</v>
      </c>
      <c r="X3" s="27"/>
      <c r="Y3" s="27" t="s">
        <v>25</v>
      </c>
      <c r="Z3" s="27"/>
      <c r="AA3" s="27" t="s">
        <v>26</v>
      </c>
      <c r="AB3" s="27"/>
    </row>
    <row r="4" spans="1:29" s="13" customFormat="1" ht="52.8" x14ac:dyDescent="0.25">
      <c r="A4" s="28"/>
      <c r="B4" s="28"/>
      <c r="C4" s="28"/>
      <c r="D4" s="32"/>
      <c r="E4" s="14" t="s">
        <v>2</v>
      </c>
      <c r="F4" s="20" t="s">
        <v>3</v>
      </c>
      <c r="G4" s="14" t="s">
        <v>2</v>
      </c>
      <c r="H4" s="20" t="s">
        <v>3</v>
      </c>
      <c r="I4" s="14" t="s">
        <v>2</v>
      </c>
      <c r="J4" s="20" t="s">
        <v>3</v>
      </c>
      <c r="K4" s="14" t="s">
        <v>2</v>
      </c>
      <c r="L4" s="20" t="s">
        <v>3</v>
      </c>
      <c r="M4" s="14" t="s">
        <v>2</v>
      </c>
      <c r="N4" s="20" t="s">
        <v>3</v>
      </c>
      <c r="O4" s="14" t="s">
        <v>2</v>
      </c>
      <c r="P4" s="20" t="s">
        <v>3</v>
      </c>
      <c r="Q4" s="14" t="s">
        <v>2</v>
      </c>
      <c r="R4" s="20" t="s">
        <v>3</v>
      </c>
      <c r="S4" s="14" t="s">
        <v>2</v>
      </c>
      <c r="T4" s="20" t="s">
        <v>3</v>
      </c>
      <c r="U4" s="14" t="s">
        <v>2</v>
      </c>
      <c r="V4" s="20" t="s">
        <v>3</v>
      </c>
      <c r="W4" s="14" t="s">
        <v>2</v>
      </c>
      <c r="X4" s="20" t="s">
        <v>3</v>
      </c>
      <c r="Y4" s="14" t="s">
        <v>2</v>
      </c>
      <c r="Z4" s="20" t="s">
        <v>3</v>
      </c>
      <c r="AA4" s="14" t="s">
        <v>2</v>
      </c>
      <c r="AB4" s="20" t="s">
        <v>3</v>
      </c>
    </row>
    <row r="5" spans="1:29" ht="23.4" x14ac:dyDescent="0.6">
      <c r="A5" s="1">
        <v>1</v>
      </c>
      <c r="B5" s="2" t="s">
        <v>4</v>
      </c>
      <c r="C5" s="12">
        <f>+E5+G5+I5+K5+M5+O5+Q5+S5+U5+W5+Y5+AA5</f>
        <v>3049540.0699999994</v>
      </c>
      <c r="D5" s="18">
        <f>+C5/C2</f>
        <v>0.33208383174610212</v>
      </c>
      <c r="E5" s="3">
        <v>1035195.7200000001</v>
      </c>
      <c r="F5" s="18">
        <f>+E5/E2</f>
        <v>0.22747275848088347</v>
      </c>
      <c r="G5" s="3">
        <v>620244.71</v>
      </c>
      <c r="H5" s="18">
        <f>+G5/G2</f>
        <v>0.32914268634123034</v>
      </c>
      <c r="I5" s="3">
        <v>737683.74999999977</v>
      </c>
      <c r="J5" s="18">
        <f>+I5/I2</f>
        <v>0.51482649570598216</v>
      </c>
      <c r="K5" s="3">
        <v>656415.88999999978</v>
      </c>
      <c r="L5" s="18">
        <f>+K5/K2</f>
        <v>0.4992197256803817</v>
      </c>
      <c r="M5" s="3"/>
      <c r="N5" s="18" t="e">
        <f>+M5/M2</f>
        <v>#DIV/0!</v>
      </c>
      <c r="O5" s="3"/>
      <c r="P5" s="18" t="e">
        <f>+O5/O2</f>
        <v>#DIV/0!</v>
      </c>
      <c r="Q5" s="3"/>
      <c r="R5" s="18" t="e">
        <f>+Q5/Q2</f>
        <v>#DIV/0!</v>
      </c>
      <c r="S5" s="3"/>
      <c r="T5" s="18" t="e">
        <f>+S5/S2</f>
        <v>#DIV/0!</v>
      </c>
      <c r="U5" s="3"/>
      <c r="V5" s="18" t="e">
        <f>+U5/U2</f>
        <v>#DIV/0!</v>
      </c>
      <c r="W5" s="3"/>
      <c r="X5" s="18" t="e">
        <f>+W5/W2</f>
        <v>#DIV/0!</v>
      </c>
      <c r="Y5" s="3"/>
      <c r="Z5" s="18" t="e">
        <f>+Y5/Y2</f>
        <v>#DIV/0!</v>
      </c>
      <c r="AA5" s="3"/>
      <c r="AB5" s="18" t="e">
        <f>+AA5/AA2</f>
        <v>#DIV/0!</v>
      </c>
    </row>
    <row r="6" spans="1:29" ht="23.4" x14ac:dyDescent="0.6">
      <c r="A6" s="1">
        <v>2</v>
      </c>
      <c r="B6" s="2" t="s">
        <v>5</v>
      </c>
      <c r="C6" s="12">
        <f t="shared" ref="C6:C14" si="0">+E6+G6+I6+K6+M6+O6+Q6+S6+U6+W6+Y6+AA6</f>
        <v>199314.4</v>
      </c>
      <c r="D6" s="18">
        <f>+C6/C2</f>
        <v>2.1704613861386418E-2</v>
      </c>
      <c r="E6" s="3">
        <v>50640</v>
      </c>
      <c r="F6" s="18">
        <f>+E6/E2</f>
        <v>1.1127577391328412E-2</v>
      </c>
      <c r="G6" s="3">
        <v>35926</v>
      </c>
      <c r="H6" s="18">
        <f>+G6/G2</f>
        <v>1.9064701332954605E-2</v>
      </c>
      <c r="I6" s="3">
        <v>67371</v>
      </c>
      <c r="J6" s="18">
        <f>+I6/I2</f>
        <v>4.7017947517764537E-2</v>
      </c>
      <c r="K6" s="3">
        <v>45377.4</v>
      </c>
      <c r="L6" s="18">
        <f>+K6/K2</f>
        <v>3.451058014468382E-2</v>
      </c>
      <c r="M6" s="3"/>
      <c r="N6" s="18" t="e">
        <f>+M6/M2</f>
        <v>#DIV/0!</v>
      </c>
      <c r="O6" s="3"/>
      <c r="P6" s="18" t="e">
        <f>+O6/O2</f>
        <v>#DIV/0!</v>
      </c>
      <c r="Q6" s="3"/>
      <c r="R6" s="18" t="e">
        <f>+Q6/Q2</f>
        <v>#DIV/0!</v>
      </c>
      <c r="S6" s="3"/>
      <c r="T6" s="18" t="e">
        <f>+S6/S2</f>
        <v>#DIV/0!</v>
      </c>
      <c r="U6" s="3"/>
      <c r="V6" s="18" t="e">
        <f>+U6/U2</f>
        <v>#DIV/0!</v>
      </c>
      <c r="W6" s="3"/>
      <c r="X6" s="18" t="e">
        <f>+W6/W2</f>
        <v>#DIV/0!</v>
      </c>
      <c r="Y6" s="3"/>
      <c r="Z6" s="18" t="e">
        <f>+Y6/Y2</f>
        <v>#DIV/0!</v>
      </c>
      <c r="AA6" s="3"/>
      <c r="AB6" s="18" t="e">
        <f>+AA6/AA2</f>
        <v>#DIV/0!</v>
      </c>
    </row>
    <row r="7" spans="1:29" ht="23.4" x14ac:dyDescent="0.6">
      <c r="A7" s="1">
        <v>3</v>
      </c>
      <c r="B7" s="2" t="s">
        <v>6</v>
      </c>
      <c r="C7" s="12">
        <f t="shared" si="0"/>
        <v>156340.49</v>
      </c>
      <c r="D7" s="18">
        <f>+C7/C2</f>
        <v>1.7024911227437378E-2</v>
      </c>
      <c r="E7" s="3">
        <v>135948.72</v>
      </c>
      <c r="F7" s="18">
        <f>+E7/E2</f>
        <v>2.9873220834360916E-2</v>
      </c>
      <c r="G7" s="3">
        <v>3727.84</v>
      </c>
      <c r="H7" s="18">
        <f>+G7/G2</f>
        <v>1.9782373828714996E-3</v>
      </c>
      <c r="I7" s="3">
        <v>11969.25</v>
      </c>
      <c r="J7" s="18">
        <f>+I7/I2</f>
        <v>8.3532910054326514E-3</v>
      </c>
      <c r="K7" s="3">
        <v>4694.68</v>
      </c>
      <c r="L7" s="18">
        <f>+K7/K2</f>
        <v>3.5704145762790341E-3</v>
      </c>
      <c r="M7" s="3"/>
      <c r="N7" s="18" t="e">
        <f>+M7/M2</f>
        <v>#DIV/0!</v>
      </c>
      <c r="O7" s="3"/>
      <c r="P7" s="18" t="e">
        <f>+O7/O2</f>
        <v>#DIV/0!</v>
      </c>
      <c r="Q7" s="3"/>
      <c r="R7" s="18" t="e">
        <f>+Q7/Q2</f>
        <v>#DIV/0!</v>
      </c>
      <c r="S7" s="3"/>
      <c r="T7" s="18" t="e">
        <f>+S7/S2</f>
        <v>#DIV/0!</v>
      </c>
      <c r="U7" s="3"/>
      <c r="V7" s="18" t="e">
        <f>+U7/U2</f>
        <v>#DIV/0!</v>
      </c>
      <c r="W7" s="3"/>
      <c r="X7" s="18" t="e">
        <f>+W7/W2</f>
        <v>#DIV/0!</v>
      </c>
      <c r="Y7" s="3"/>
      <c r="Z7" s="18" t="e">
        <f>+Y7/Y2</f>
        <v>#DIV/0!</v>
      </c>
      <c r="AA7" s="3"/>
      <c r="AB7" s="18" t="e">
        <f>+AA7/AA2</f>
        <v>#DIV/0!</v>
      </c>
    </row>
    <row r="8" spans="1:29" ht="23.4" x14ac:dyDescent="0.6">
      <c r="A8" s="5">
        <v>4</v>
      </c>
      <c r="B8" s="6" t="s">
        <v>7</v>
      </c>
      <c r="C8" s="12">
        <f t="shared" si="0"/>
        <v>743990.23</v>
      </c>
      <c r="D8" s="18">
        <f>+C8/C2</f>
        <v>8.1017832423518163E-2</v>
      </c>
      <c r="E8" s="3">
        <v>204176.75</v>
      </c>
      <c r="F8" s="18">
        <f>+E8/E2</f>
        <v>4.4865572415776329E-2</v>
      </c>
      <c r="G8" s="3">
        <v>196735.5</v>
      </c>
      <c r="H8" s="18">
        <f>+G8/G2</f>
        <v>0.10440081136473559</v>
      </c>
      <c r="I8" s="3">
        <v>172028.95</v>
      </c>
      <c r="J8" s="18">
        <f>+I8/I2</f>
        <v>0.12005830613522346</v>
      </c>
      <c r="K8" s="3">
        <v>171049.03</v>
      </c>
      <c r="L8" s="18">
        <f>+K8/K2</f>
        <v>0.13008681102234654</v>
      </c>
      <c r="M8" s="3"/>
      <c r="N8" s="18" t="e">
        <f>+M8/M2</f>
        <v>#DIV/0!</v>
      </c>
      <c r="O8" s="3"/>
      <c r="P8" s="18" t="e">
        <f>+O8/O2</f>
        <v>#DIV/0!</v>
      </c>
      <c r="Q8" s="3"/>
      <c r="R8" s="18" t="e">
        <f>+Q8/Q2</f>
        <v>#DIV/0!</v>
      </c>
      <c r="S8" s="3"/>
      <c r="T8" s="18" t="e">
        <f>+S8/S2</f>
        <v>#DIV/0!</v>
      </c>
      <c r="U8" s="3"/>
      <c r="V8" s="18" t="e">
        <f>+U8/U2</f>
        <v>#DIV/0!</v>
      </c>
      <c r="W8" s="3"/>
      <c r="X8" s="18" t="e">
        <f>+W8/W2</f>
        <v>#DIV/0!</v>
      </c>
      <c r="Y8" s="3"/>
      <c r="Z8" s="18" t="e">
        <f>+Y8/Y2</f>
        <v>#DIV/0!</v>
      </c>
      <c r="AA8" s="3"/>
      <c r="AB8" s="18" t="e">
        <f>+AA8/AA2</f>
        <v>#DIV/0!</v>
      </c>
    </row>
    <row r="9" spans="1:29" ht="23.4" x14ac:dyDescent="0.6">
      <c r="A9" s="1">
        <v>5</v>
      </c>
      <c r="B9" s="2" t="s">
        <v>8</v>
      </c>
      <c r="C9" s="12">
        <f t="shared" si="0"/>
        <v>117498.81</v>
      </c>
      <c r="D9" s="18">
        <f>+C9/C2</f>
        <v>1.27951934241701E-2</v>
      </c>
      <c r="E9" s="3">
        <v>61722</v>
      </c>
      <c r="F9" s="18">
        <f>+E9/E2</f>
        <v>1.3562723770686656E-2</v>
      </c>
      <c r="G9" s="3">
        <v>16645.330000000002</v>
      </c>
      <c r="H9" s="18">
        <f>+G9/G2</f>
        <v>8.8331081956930721E-3</v>
      </c>
      <c r="I9" s="3">
        <v>13666</v>
      </c>
      <c r="J9" s="18">
        <f>+I9/I2</f>
        <v>9.5374459452549337E-3</v>
      </c>
      <c r="K9" s="3">
        <v>25465.48</v>
      </c>
      <c r="L9" s="18">
        <f>+K9/K2</f>
        <v>1.9367096582502366E-2</v>
      </c>
      <c r="M9" s="3"/>
      <c r="N9" s="18" t="e">
        <f>+M9/M2</f>
        <v>#DIV/0!</v>
      </c>
      <c r="O9" s="3"/>
      <c r="P9" s="18" t="e">
        <f>+O9/O2</f>
        <v>#DIV/0!</v>
      </c>
      <c r="Q9" s="3"/>
      <c r="R9" s="18" t="e">
        <f>+Q9/Q2</f>
        <v>#DIV/0!</v>
      </c>
      <c r="S9" s="3"/>
      <c r="T9" s="18" t="e">
        <f>+S9/S2</f>
        <v>#DIV/0!</v>
      </c>
      <c r="U9" s="3"/>
      <c r="V9" s="18" t="e">
        <f>+U9/U2</f>
        <v>#DIV/0!</v>
      </c>
      <c r="W9" s="3"/>
      <c r="X9" s="18" t="e">
        <f>+W9/W2</f>
        <v>#DIV/0!</v>
      </c>
      <c r="Y9" s="3"/>
      <c r="Z9" s="18" t="e">
        <f>+Y9/Y2</f>
        <v>#DIV/0!</v>
      </c>
      <c r="AA9" s="3"/>
      <c r="AB9" s="18" t="e">
        <f>+AA9/AA2</f>
        <v>#DIV/0!</v>
      </c>
    </row>
    <row r="10" spans="1:29" ht="23.4" x14ac:dyDescent="0.6">
      <c r="A10" s="1">
        <v>6</v>
      </c>
      <c r="B10" s="2" t="s">
        <v>9</v>
      </c>
      <c r="C10" s="12">
        <f t="shared" si="0"/>
        <v>967334.70000000007</v>
      </c>
      <c r="D10" s="18">
        <f>+C10/C2</f>
        <v>0.10533923358382571</v>
      </c>
      <c r="E10" s="3">
        <v>236307.51000000004</v>
      </c>
      <c r="F10" s="18">
        <f>+E10/E2</f>
        <v>5.1925949954129406E-2</v>
      </c>
      <c r="G10" s="3">
        <v>230962.49</v>
      </c>
      <c r="H10" s="18">
        <f>+G10/G2</f>
        <v>0.12256390611160481</v>
      </c>
      <c r="I10" s="3">
        <v>202879.30000000002</v>
      </c>
      <c r="J10" s="18">
        <f>+I10/I2</f>
        <v>0.14158864021375381</v>
      </c>
      <c r="K10" s="3">
        <v>297185.40000000002</v>
      </c>
      <c r="L10" s="18">
        <f>+K10/K2</f>
        <v>0.22601648760241708</v>
      </c>
      <c r="M10" s="3"/>
      <c r="N10" s="18" t="e">
        <f>+M10/M2</f>
        <v>#DIV/0!</v>
      </c>
      <c r="O10" s="3"/>
      <c r="P10" s="18" t="e">
        <f>+O10/O2</f>
        <v>#DIV/0!</v>
      </c>
      <c r="Q10" s="3"/>
      <c r="R10" s="18" t="e">
        <f>+Q10/Q2</f>
        <v>#DIV/0!</v>
      </c>
      <c r="S10" s="3"/>
      <c r="T10" s="18" t="e">
        <f>+S10/S2</f>
        <v>#DIV/0!</v>
      </c>
      <c r="U10" s="3"/>
      <c r="V10" s="18" t="e">
        <f>+U10/U2</f>
        <v>#DIV/0!</v>
      </c>
      <c r="W10" s="3"/>
      <c r="X10" s="18" t="e">
        <f>+W10/W2</f>
        <v>#DIV/0!</v>
      </c>
      <c r="Y10" s="3"/>
      <c r="Z10" s="18" t="e">
        <f>+Y10/Y2</f>
        <v>#DIV/0!</v>
      </c>
      <c r="AA10" s="3"/>
      <c r="AB10" s="18" t="e">
        <f>+AA10/AA2</f>
        <v>#DIV/0!</v>
      </c>
    </row>
    <row r="11" spans="1:29" ht="23.4" x14ac:dyDescent="0.6">
      <c r="A11" s="1">
        <v>8</v>
      </c>
      <c r="B11" s="2" t="s">
        <v>10</v>
      </c>
      <c r="C11" s="12">
        <f t="shared" si="0"/>
        <v>0</v>
      </c>
      <c r="D11" s="18">
        <f>+C11/C2</f>
        <v>0</v>
      </c>
      <c r="E11" s="3">
        <v>0</v>
      </c>
      <c r="F11" s="18">
        <f>+E11/E2</f>
        <v>0</v>
      </c>
      <c r="G11" s="3">
        <v>0</v>
      </c>
      <c r="H11" s="18">
        <f>+G11/G2</f>
        <v>0</v>
      </c>
      <c r="I11" s="3">
        <v>0</v>
      </c>
      <c r="J11" s="18">
        <f>+I11/I2</f>
        <v>0</v>
      </c>
      <c r="K11" s="3">
        <v>0</v>
      </c>
      <c r="L11" s="18">
        <f>+K11/K2</f>
        <v>0</v>
      </c>
      <c r="M11" s="3"/>
      <c r="N11" s="18" t="e">
        <f>+M11/M2</f>
        <v>#DIV/0!</v>
      </c>
      <c r="O11" s="3"/>
      <c r="P11" s="18" t="e">
        <f>+O11/O2</f>
        <v>#DIV/0!</v>
      </c>
      <c r="Q11" s="3"/>
      <c r="R11" s="18" t="e">
        <f>+Q11/Q2</f>
        <v>#DIV/0!</v>
      </c>
      <c r="S11" s="3"/>
      <c r="T11" s="18" t="e">
        <f>+S11/S2</f>
        <v>#DIV/0!</v>
      </c>
      <c r="U11" s="3"/>
      <c r="V11" s="18" t="e">
        <f>+U11/U2</f>
        <v>#DIV/0!</v>
      </c>
      <c r="W11" s="3"/>
      <c r="X11" s="18" t="e">
        <f>+W11/W2</f>
        <v>#DIV/0!</v>
      </c>
      <c r="Y11" s="3"/>
      <c r="Z11" s="18" t="e">
        <f>+Y11/Y2</f>
        <v>#DIV/0!</v>
      </c>
      <c r="AA11" s="3"/>
      <c r="AB11" s="18" t="e">
        <f>+AA11/AA2</f>
        <v>#DIV/0!</v>
      </c>
    </row>
    <row r="12" spans="1:29" ht="23.4" x14ac:dyDescent="0.6">
      <c r="A12" s="1">
        <v>9</v>
      </c>
      <c r="B12" s="2" t="s">
        <v>11</v>
      </c>
      <c r="C12" s="12">
        <f t="shared" si="0"/>
        <v>4919.5840000000007</v>
      </c>
      <c r="D12" s="18">
        <f>+C12/C2</f>
        <v>5.3572482007649652E-4</v>
      </c>
      <c r="E12" s="3">
        <v>1177.8567111111111</v>
      </c>
      <c r="F12" s="18">
        <f>+E12/E2</f>
        <v>2.5882092631880805E-4</v>
      </c>
      <c r="G12" s="3">
        <v>1063.8705777777777</v>
      </c>
      <c r="H12" s="18">
        <f>+G12/G2</f>
        <v>5.6455978461980702E-4</v>
      </c>
      <c r="I12" s="3">
        <v>1177.8567111111117</v>
      </c>
      <c r="J12" s="18">
        <f>+I12/I2</f>
        <v>8.2202141910419908E-4</v>
      </c>
      <c r="K12" s="3">
        <v>1500</v>
      </c>
      <c r="L12" s="18">
        <f>+K12/K2</f>
        <v>1.1407852855612206E-3</v>
      </c>
      <c r="M12" s="3"/>
      <c r="N12" s="18" t="e">
        <f>+M12/M2</f>
        <v>#DIV/0!</v>
      </c>
      <c r="O12" s="3"/>
      <c r="P12" s="18" t="e">
        <f>+O12/O2</f>
        <v>#DIV/0!</v>
      </c>
      <c r="Q12" s="3"/>
      <c r="R12" s="18" t="e">
        <f>+Q12/Q2</f>
        <v>#DIV/0!</v>
      </c>
      <c r="S12" s="3"/>
      <c r="T12" s="18" t="e">
        <f>+S12/S2</f>
        <v>#DIV/0!</v>
      </c>
      <c r="U12" s="3"/>
      <c r="V12" s="18" t="e">
        <f>+U12/U2</f>
        <v>#DIV/0!</v>
      </c>
      <c r="W12" s="3"/>
      <c r="X12" s="18" t="e">
        <f>+W12/W2</f>
        <v>#DIV/0!</v>
      </c>
      <c r="Y12" s="3"/>
      <c r="Z12" s="18" t="e">
        <f>+Y12/Y2</f>
        <v>#DIV/0!</v>
      </c>
      <c r="AA12" s="3"/>
      <c r="AB12" s="18" t="e">
        <f>+AA12/AA2</f>
        <v>#DIV/0!</v>
      </c>
    </row>
    <row r="13" spans="1:29" ht="23.4" x14ac:dyDescent="0.6">
      <c r="A13" s="1">
        <v>10</v>
      </c>
      <c r="B13" s="2" t="s">
        <v>12</v>
      </c>
      <c r="C13" s="12">
        <f t="shared" si="0"/>
        <v>2335</v>
      </c>
      <c r="D13" s="18">
        <f>+C13/C2</f>
        <v>2.5427301472616772E-4</v>
      </c>
      <c r="E13" s="3">
        <v>585</v>
      </c>
      <c r="F13" s="18">
        <f>+E13/E2</f>
        <v>1.2854725066996684E-4</v>
      </c>
      <c r="G13" s="3">
        <v>580</v>
      </c>
      <c r="H13" s="18">
        <f>+G13/G2</f>
        <v>3.0778619309451851E-4</v>
      </c>
      <c r="I13" s="3">
        <v>585</v>
      </c>
      <c r="J13" s="18">
        <f>+I13/I2</f>
        <v>4.0826912615060266E-4</v>
      </c>
      <c r="K13" s="3">
        <v>585</v>
      </c>
      <c r="L13" s="18">
        <f>+K13/K2</f>
        <v>4.4490626136887604E-4</v>
      </c>
      <c r="M13" s="3"/>
      <c r="N13" s="18" t="e">
        <f>+M13/M2</f>
        <v>#DIV/0!</v>
      </c>
      <c r="O13" s="3"/>
      <c r="P13" s="18" t="e">
        <f>+O13/O2</f>
        <v>#DIV/0!</v>
      </c>
      <c r="Q13" s="3"/>
      <c r="R13" s="18" t="e">
        <f>+Q13/Q2</f>
        <v>#DIV/0!</v>
      </c>
      <c r="S13" s="3"/>
      <c r="T13" s="18" t="e">
        <f>+S13/S2</f>
        <v>#DIV/0!</v>
      </c>
      <c r="U13" s="3"/>
      <c r="V13" s="18" t="e">
        <f>+U13/U2</f>
        <v>#DIV/0!</v>
      </c>
      <c r="W13" s="3"/>
      <c r="X13" s="18" t="e">
        <f>+W13/W2</f>
        <v>#DIV/0!</v>
      </c>
      <c r="Y13" s="3"/>
      <c r="Z13" s="18" t="e">
        <f>+Y13/Y2</f>
        <v>#DIV/0!</v>
      </c>
      <c r="AA13" s="3"/>
      <c r="AB13" s="18" t="e">
        <f>+AA13/AA2</f>
        <v>#DIV/0!</v>
      </c>
    </row>
    <row r="14" spans="1:29" ht="23.4" x14ac:dyDescent="0.6">
      <c r="A14" s="1">
        <v>11</v>
      </c>
      <c r="B14" s="2" t="s">
        <v>13</v>
      </c>
      <c r="C14" s="12">
        <f t="shared" si="0"/>
        <v>0</v>
      </c>
      <c r="D14" s="18">
        <f>+C14/C2</f>
        <v>0</v>
      </c>
      <c r="E14" s="3">
        <v>0</v>
      </c>
      <c r="F14" s="18">
        <f>+E14/E2</f>
        <v>0</v>
      </c>
      <c r="G14" s="3">
        <v>0</v>
      </c>
      <c r="H14" s="18">
        <f>+G14/G2</f>
        <v>0</v>
      </c>
      <c r="I14" s="3">
        <v>0</v>
      </c>
      <c r="J14" s="18">
        <f>+I14/I2</f>
        <v>0</v>
      </c>
      <c r="K14" s="3">
        <v>0</v>
      </c>
      <c r="L14" s="18">
        <f>+K14/K2</f>
        <v>0</v>
      </c>
      <c r="M14" s="3"/>
      <c r="N14" s="18" t="e">
        <f>+M14/M2</f>
        <v>#DIV/0!</v>
      </c>
      <c r="O14" s="3"/>
      <c r="P14" s="18" t="e">
        <f>+O14/O2</f>
        <v>#DIV/0!</v>
      </c>
      <c r="Q14" s="3"/>
      <c r="R14" s="18" t="e">
        <f>+Q14/Q2</f>
        <v>#DIV/0!</v>
      </c>
      <c r="S14" s="3"/>
      <c r="T14" s="18" t="e">
        <f>+S14/S2</f>
        <v>#DIV/0!</v>
      </c>
      <c r="U14" s="3"/>
      <c r="V14" s="18" t="e">
        <f>+U14/U2</f>
        <v>#DIV/0!</v>
      </c>
      <c r="W14" s="3"/>
      <c r="X14" s="18" t="e">
        <f>+W14/W2</f>
        <v>#DIV/0!</v>
      </c>
      <c r="Y14" s="3"/>
      <c r="Z14" s="18" t="e">
        <f>+Y14/Y2</f>
        <v>#DIV/0!</v>
      </c>
      <c r="AA14" s="3"/>
      <c r="AB14" s="18" t="e">
        <f>+AA14/AA2</f>
        <v>#DIV/0!</v>
      </c>
    </row>
    <row r="15" spans="1:29" s="26" customFormat="1" ht="24" thickBot="1" x14ac:dyDescent="0.65">
      <c r="A15" s="21"/>
      <c r="B15" s="22" t="s">
        <v>36</v>
      </c>
      <c r="C15" s="23">
        <f>SUM(C5:C14)</f>
        <v>5241273.2839999991</v>
      </c>
      <c r="D15" s="24">
        <f t="shared" ref="D15:AC15" si="1">SUM(D5:D14)</f>
        <v>0.57075561410124254</v>
      </c>
      <c r="E15" s="23">
        <f t="shared" si="1"/>
        <v>1725753.5567111112</v>
      </c>
      <c r="F15" s="24">
        <f t="shared" si="1"/>
        <v>0.37921517102415397</v>
      </c>
      <c r="G15" s="23">
        <f t="shared" si="1"/>
        <v>1105885.7405777776</v>
      </c>
      <c r="H15" s="24">
        <f t="shared" si="1"/>
        <v>0.58685579670680432</v>
      </c>
      <c r="I15" s="23">
        <f t="shared" si="1"/>
        <v>1207361.1067111108</v>
      </c>
      <c r="J15" s="24">
        <f t="shared" si="1"/>
        <v>0.84261241706866641</v>
      </c>
      <c r="K15" s="23">
        <f t="shared" si="1"/>
        <v>1202272.8799999999</v>
      </c>
      <c r="L15" s="24">
        <f t="shared" si="1"/>
        <v>0.91435680715554069</v>
      </c>
      <c r="M15" s="23">
        <f t="shared" si="1"/>
        <v>0</v>
      </c>
      <c r="N15" s="24" t="e">
        <f t="shared" si="1"/>
        <v>#DIV/0!</v>
      </c>
      <c r="O15" s="23">
        <f t="shared" si="1"/>
        <v>0</v>
      </c>
      <c r="P15" s="24" t="e">
        <f t="shared" si="1"/>
        <v>#DIV/0!</v>
      </c>
      <c r="Q15" s="23">
        <f t="shared" si="1"/>
        <v>0</v>
      </c>
      <c r="R15" s="24" t="e">
        <f t="shared" si="1"/>
        <v>#DIV/0!</v>
      </c>
      <c r="S15" s="23">
        <f t="shared" si="1"/>
        <v>0</v>
      </c>
      <c r="T15" s="24" t="e">
        <f t="shared" si="1"/>
        <v>#DIV/0!</v>
      </c>
      <c r="U15" s="23">
        <f t="shared" si="1"/>
        <v>0</v>
      </c>
      <c r="V15" s="24" t="e">
        <f t="shared" si="1"/>
        <v>#DIV/0!</v>
      </c>
      <c r="W15" s="23">
        <f t="shared" si="1"/>
        <v>0</v>
      </c>
      <c r="X15" s="24" t="e">
        <f t="shared" si="1"/>
        <v>#DIV/0!</v>
      </c>
      <c r="Y15" s="23">
        <f t="shared" si="1"/>
        <v>0</v>
      </c>
      <c r="Z15" s="24" t="e">
        <f t="shared" si="1"/>
        <v>#DIV/0!</v>
      </c>
      <c r="AA15" s="23">
        <f t="shared" si="1"/>
        <v>0</v>
      </c>
      <c r="AB15" s="24" t="e">
        <f t="shared" si="1"/>
        <v>#DIV/0!</v>
      </c>
      <c r="AC15" s="25">
        <f t="shared" si="1"/>
        <v>0</v>
      </c>
    </row>
    <row r="16" spans="1:29" ht="14.4" thickTop="1" x14ac:dyDescent="0.25">
      <c r="C16" s="16"/>
      <c r="D16" s="19"/>
    </row>
    <row r="17" spans="1:28" ht="26.4" x14ac:dyDescent="0.7">
      <c r="A17" s="28" t="s">
        <v>0</v>
      </c>
      <c r="B17" s="28" t="s">
        <v>1</v>
      </c>
      <c r="C17" s="28" t="s">
        <v>14</v>
      </c>
      <c r="D17" s="32" t="s">
        <v>3</v>
      </c>
      <c r="E17" s="30" t="s">
        <v>15</v>
      </c>
      <c r="F17" s="30"/>
      <c r="G17" s="30" t="s">
        <v>16</v>
      </c>
      <c r="H17" s="30"/>
      <c r="I17" s="30" t="s">
        <v>17</v>
      </c>
      <c r="J17" s="30"/>
      <c r="K17" s="30" t="s">
        <v>18</v>
      </c>
      <c r="L17" s="30"/>
      <c r="M17" s="30" t="s">
        <v>19</v>
      </c>
      <c r="N17" s="30"/>
      <c r="O17" s="30" t="s">
        <v>20</v>
      </c>
      <c r="P17" s="30"/>
      <c r="Q17" s="30" t="s">
        <v>21</v>
      </c>
      <c r="R17" s="30"/>
      <c r="S17" s="30" t="s">
        <v>22</v>
      </c>
      <c r="T17" s="30"/>
      <c r="U17" s="30" t="s">
        <v>23</v>
      </c>
      <c r="V17" s="30"/>
      <c r="W17" s="30" t="s">
        <v>24</v>
      </c>
      <c r="X17" s="30"/>
      <c r="Y17" s="30" t="s">
        <v>25</v>
      </c>
      <c r="Z17" s="30"/>
      <c r="AA17" s="30" t="s">
        <v>26</v>
      </c>
      <c r="AB17" s="30"/>
    </row>
    <row r="18" spans="1:28" s="13" customFormat="1" ht="52.8" x14ac:dyDescent="0.25">
      <c r="A18" s="28"/>
      <c r="B18" s="28"/>
      <c r="C18" s="28"/>
      <c r="D18" s="32"/>
      <c r="E18" s="14" t="s">
        <v>2</v>
      </c>
      <c r="F18" s="20" t="s">
        <v>3</v>
      </c>
      <c r="G18" s="14" t="s">
        <v>2</v>
      </c>
      <c r="H18" s="20" t="s">
        <v>3</v>
      </c>
      <c r="I18" s="14" t="s">
        <v>2</v>
      </c>
      <c r="J18" s="20" t="s">
        <v>3</v>
      </c>
      <c r="K18" s="14" t="s">
        <v>2</v>
      </c>
      <c r="L18" s="20" t="s">
        <v>3</v>
      </c>
      <c r="M18" s="14" t="s">
        <v>2</v>
      </c>
      <c r="N18" s="20" t="s">
        <v>3</v>
      </c>
      <c r="O18" s="14" t="s">
        <v>2</v>
      </c>
      <c r="P18" s="20" t="s">
        <v>3</v>
      </c>
      <c r="Q18" s="14" t="s">
        <v>2</v>
      </c>
      <c r="R18" s="20" t="s">
        <v>3</v>
      </c>
      <c r="S18" s="14" t="s">
        <v>2</v>
      </c>
      <c r="T18" s="20" t="s">
        <v>3</v>
      </c>
      <c r="U18" s="14" t="s">
        <v>2</v>
      </c>
      <c r="V18" s="20" t="s">
        <v>3</v>
      </c>
      <c r="W18" s="14" t="s">
        <v>2</v>
      </c>
      <c r="X18" s="20" t="s">
        <v>3</v>
      </c>
      <c r="Y18" s="14" t="s">
        <v>2</v>
      </c>
      <c r="Z18" s="20" t="s">
        <v>3</v>
      </c>
      <c r="AA18" s="14" t="s">
        <v>2</v>
      </c>
      <c r="AB18" s="20" t="s">
        <v>3</v>
      </c>
    </row>
    <row r="19" spans="1:28" ht="23.4" x14ac:dyDescent="0.6">
      <c r="A19" s="1">
        <v>1</v>
      </c>
      <c r="B19" s="2" t="s">
        <v>33</v>
      </c>
      <c r="C19" s="12">
        <f t="shared" ref="C19:C20" si="2">+E19+G19+I19+K19+M19+O19+Q19+S19+U19+W19+Y19+AA19</f>
        <v>5246137.784</v>
      </c>
      <c r="D19" s="18">
        <f>+C19/C2</f>
        <v>0.57128534047389157</v>
      </c>
      <c r="E19" s="3">
        <v>1725753.5567111112</v>
      </c>
      <c r="F19" s="18">
        <f>+E19/E2</f>
        <v>0.37921517102415392</v>
      </c>
      <c r="G19" s="3">
        <v>1110750.2405777776</v>
      </c>
      <c r="H19" s="18">
        <f>+G19/G2</f>
        <v>0.58943722073492189</v>
      </c>
      <c r="I19" s="3">
        <v>1207361.1067111108</v>
      </c>
      <c r="J19" s="18">
        <f>+I19/I2</f>
        <v>0.8426124170686663</v>
      </c>
      <c r="K19" s="3">
        <v>1202272.8799999999</v>
      </c>
      <c r="L19" s="18">
        <f>+K19/K2</f>
        <v>0.91435680715554069</v>
      </c>
      <c r="M19" s="3"/>
      <c r="N19" s="18" t="e">
        <f>+M19/M2</f>
        <v>#DIV/0!</v>
      </c>
      <c r="O19" s="3"/>
      <c r="P19" s="18" t="e">
        <f>+O19/O2</f>
        <v>#DIV/0!</v>
      </c>
      <c r="Q19" s="3"/>
      <c r="R19" s="18" t="e">
        <f>+Q19/Q2</f>
        <v>#DIV/0!</v>
      </c>
      <c r="S19" s="3"/>
      <c r="T19" s="18" t="e">
        <f>+S19/S2</f>
        <v>#DIV/0!</v>
      </c>
      <c r="U19" s="3"/>
      <c r="V19" s="18" t="e">
        <f>+U19/U2</f>
        <v>#DIV/0!</v>
      </c>
      <c r="W19" s="3"/>
      <c r="X19" s="18" t="e">
        <f>+W19/W2</f>
        <v>#DIV/0!</v>
      </c>
      <c r="Y19" s="3"/>
      <c r="Z19" s="18" t="e">
        <f>+Y19/Y2</f>
        <v>#DIV/0!</v>
      </c>
      <c r="AA19" s="3"/>
      <c r="AB19" s="18" t="e">
        <f>+AA19/AA2</f>
        <v>#DIV/0!</v>
      </c>
    </row>
    <row r="20" spans="1:28" ht="23.4" x14ac:dyDescent="0.6">
      <c r="A20" s="1">
        <v>2</v>
      </c>
      <c r="B20" s="2" t="s">
        <v>34</v>
      </c>
      <c r="C20" s="12">
        <f t="shared" si="2"/>
        <v>94765.599999999991</v>
      </c>
      <c r="D20" s="18">
        <f>+C20/C2</f>
        <v>1.0319629466524248E-2</v>
      </c>
      <c r="E20" s="3">
        <v>50777.57</v>
      </c>
      <c r="F20" s="18">
        <f>+E20/E2</f>
        <v>1.1157806870430408E-2</v>
      </c>
      <c r="G20" s="3">
        <v>13493.05</v>
      </c>
      <c r="H20" s="18">
        <f>+G20/G2</f>
        <v>7.1603008495413666E-3</v>
      </c>
      <c r="I20" s="3">
        <v>15715.61</v>
      </c>
      <c r="J20" s="18">
        <f>+I20/I2</f>
        <v>1.0967860447219955E-2</v>
      </c>
      <c r="K20" s="3">
        <v>14779.37</v>
      </c>
      <c r="L20" s="18">
        <f>+K20/K2</f>
        <v>1.1240058550576625E-2</v>
      </c>
      <c r="M20" s="3"/>
      <c r="N20" s="18" t="e">
        <f>+M20/M2</f>
        <v>#DIV/0!</v>
      </c>
      <c r="O20" s="3"/>
      <c r="P20" s="18" t="e">
        <f>+O20/O2</f>
        <v>#DIV/0!</v>
      </c>
      <c r="Q20" s="3"/>
      <c r="R20" s="18" t="e">
        <f>+Q20/Q2</f>
        <v>#DIV/0!</v>
      </c>
      <c r="S20" s="3"/>
      <c r="T20" s="18" t="e">
        <f>+S20/S2</f>
        <v>#DIV/0!</v>
      </c>
      <c r="U20" s="3"/>
      <c r="V20" s="18" t="e">
        <f>+U20/U2</f>
        <v>#DIV/0!</v>
      </c>
      <c r="W20" s="3"/>
      <c r="X20" s="18" t="e">
        <f>+W20/W2</f>
        <v>#DIV/0!</v>
      </c>
      <c r="Y20" s="3"/>
      <c r="Z20" s="18" t="e">
        <f>+Y20/Y2</f>
        <v>#DIV/0!</v>
      </c>
      <c r="AA20" s="3"/>
      <c r="AB20" s="18" t="e">
        <f>+AA20/AA2</f>
        <v>#DIV/0!</v>
      </c>
    </row>
    <row r="21" spans="1:28" s="26" customFormat="1" ht="24" thickBot="1" x14ac:dyDescent="0.65">
      <c r="B21" s="22" t="s">
        <v>35</v>
      </c>
      <c r="C21" s="23">
        <f>+C2-C19-C20</f>
        <v>3842139.5060000005</v>
      </c>
      <c r="D21" s="24">
        <f>+C21/C2</f>
        <v>0.41839503005958412</v>
      </c>
      <c r="E21" s="23">
        <f>+E2-E19-E20</f>
        <v>2774324.663288889</v>
      </c>
      <c r="F21" s="24">
        <f t="shared" ref="F21" si="3">+E21/E2</f>
        <v>0.60962702210541564</v>
      </c>
      <c r="G21" s="23">
        <f>+G2-G19-G20</f>
        <v>760181.71942222258</v>
      </c>
      <c r="H21" s="24">
        <f t="shared" ref="H21" si="4">+G21/G2</f>
        <v>0.40340247841553667</v>
      </c>
      <c r="I21" s="23">
        <f>+I2-I19-I20</f>
        <v>209801.65328888933</v>
      </c>
      <c r="J21" s="24">
        <f t="shared" ref="J21" si="5">+I21/I2</f>
        <v>0.14641972248411378</v>
      </c>
      <c r="K21" s="23">
        <f t="shared" ref="K21" si="6">+K2-K19-K20</f>
        <v>97831.470000000088</v>
      </c>
      <c r="L21" s="24">
        <f t="shared" ref="L21" si="7">+K21/K2</f>
        <v>7.4403134293882719E-2</v>
      </c>
      <c r="M21" s="23">
        <f t="shared" ref="M21" si="8">+M2-M19-M20</f>
        <v>0</v>
      </c>
      <c r="N21" s="24" t="e">
        <f t="shared" ref="N21" si="9">+M21/M2</f>
        <v>#DIV/0!</v>
      </c>
      <c r="O21" s="23">
        <f t="shared" ref="O21" si="10">+O2-O19-O20</f>
        <v>0</v>
      </c>
      <c r="P21" s="24" t="e">
        <f t="shared" ref="P21" si="11">+O21/O2</f>
        <v>#DIV/0!</v>
      </c>
      <c r="Q21" s="23">
        <f t="shared" ref="Q21" si="12">+Q2-Q19-Q20</f>
        <v>0</v>
      </c>
      <c r="R21" s="24" t="e">
        <f t="shared" ref="R21" si="13">+Q21/Q2</f>
        <v>#DIV/0!</v>
      </c>
      <c r="S21" s="23">
        <f t="shared" ref="S21" si="14">+S2-S19-S20</f>
        <v>0</v>
      </c>
      <c r="T21" s="24" t="e">
        <f t="shared" ref="T21" si="15">+S21/S2</f>
        <v>#DIV/0!</v>
      </c>
      <c r="U21" s="23">
        <f t="shared" ref="U21" si="16">+U2-U19-U20</f>
        <v>0</v>
      </c>
      <c r="V21" s="24" t="e">
        <f t="shared" ref="V21" si="17">+U21/U2</f>
        <v>#DIV/0!</v>
      </c>
      <c r="W21" s="23">
        <f t="shared" ref="W21" si="18">+W2-W19-W20</f>
        <v>0</v>
      </c>
      <c r="X21" s="24" t="e">
        <f t="shared" ref="X21" si="19">+W21/W2</f>
        <v>#DIV/0!</v>
      </c>
      <c r="Y21" s="23">
        <f t="shared" ref="Y21" si="20">+Y2-Y19-Y20</f>
        <v>0</v>
      </c>
      <c r="Z21" s="24" t="e">
        <f t="shared" ref="Z21" si="21">+Y21/Y2</f>
        <v>#DIV/0!</v>
      </c>
      <c r="AA21" s="23">
        <f t="shared" ref="AA21" si="22">+AA2-AA19-AA20</f>
        <v>0</v>
      </c>
      <c r="AB21" s="24" t="e">
        <f t="shared" ref="AB21" si="23">+AA21/AA2</f>
        <v>#DIV/0!</v>
      </c>
    </row>
    <row r="22" spans="1:28" ht="14.4" thickTop="1" x14ac:dyDescent="0.25"/>
  </sheetData>
  <mergeCells count="32">
    <mergeCell ref="AA17:AB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B3:B4"/>
    <mergeCell ref="C3:C4"/>
    <mergeCell ref="D3:D4"/>
    <mergeCell ref="A3:A4"/>
    <mergeCell ref="A17:A18"/>
    <mergeCell ref="B17:B18"/>
    <mergeCell ref="C17:C18"/>
    <mergeCell ref="D17:D18"/>
    <mergeCell ref="AA3:AB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942F-0496-4F13-8D54-225CE40528CC}">
  <sheetPr>
    <tabColor rgb="FFFFC000"/>
  </sheetPr>
  <dimension ref="A1:AC29"/>
  <sheetViews>
    <sheetView workbookViewId="0">
      <pane xSplit="4" ySplit="4" topLeftCell="E17" activePane="bottomRight" state="frozen"/>
      <selection pane="topRight" activeCell="E1" sqref="E1"/>
      <selection pane="bottomLeft" activeCell="A5" sqref="A5"/>
      <selection pane="bottomRight" activeCell="K8" sqref="E8:K8"/>
    </sheetView>
  </sheetViews>
  <sheetFormatPr defaultRowHeight="13.8" x14ac:dyDescent="0.25"/>
  <cols>
    <col min="1" max="1" width="6.69921875" customWidth="1"/>
    <col min="2" max="2" width="30.69921875" bestFit="1" customWidth="1"/>
    <col min="3" max="3" width="12.796875" bestFit="1" customWidth="1"/>
    <col min="5" max="5" width="12.796875" customWidth="1"/>
    <col min="6" max="6" width="8.69921875" customWidth="1"/>
    <col min="7" max="7" width="12.796875" customWidth="1"/>
    <col min="8" max="8" width="6.5" customWidth="1"/>
    <col min="9" max="9" width="12.796875" customWidth="1"/>
    <col min="10" max="10" width="6.5" customWidth="1"/>
    <col min="11" max="11" width="12.796875" customWidth="1"/>
    <col min="12" max="12" width="8.796875" customWidth="1"/>
  </cols>
  <sheetData>
    <row r="1" spans="1:29" ht="28.8" x14ac:dyDescent="0.75">
      <c r="A1" s="11" t="s">
        <v>29</v>
      </c>
    </row>
    <row r="2" spans="1:29" s="8" customFormat="1" ht="27" thickBot="1" x14ac:dyDescent="0.75">
      <c r="B2" s="9" t="s">
        <v>28</v>
      </c>
      <c r="C2" s="10">
        <f>SUM(E2:AB2)</f>
        <v>8490656.0999999996</v>
      </c>
      <c r="D2" s="10"/>
      <c r="E2" s="10">
        <v>2754315.5</v>
      </c>
      <c r="F2" s="10"/>
      <c r="G2" s="10">
        <v>2370664.7000000002</v>
      </c>
      <c r="H2" s="10"/>
      <c r="I2" s="10">
        <v>1648450.9</v>
      </c>
      <c r="J2" s="10"/>
      <c r="K2" s="10">
        <v>1717225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9" ht="27" thickTop="1" x14ac:dyDescent="0.7">
      <c r="A3" s="28" t="s">
        <v>0</v>
      </c>
      <c r="B3" s="28" t="s">
        <v>1</v>
      </c>
      <c r="C3" s="29" t="s">
        <v>14</v>
      </c>
      <c r="D3" s="29" t="s">
        <v>3</v>
      </c>
      <c r="E3" s="27" t="s">
        <v>15</v>
      </c>
      <c r="F3" s="27"/>
      <c r="G3" s="27" t="s">
        <v>16</v>
      </c>
      <c r="H3" s="27"/>
      <c r="I3" s="27" t="s">
        <v>17</v>
      </c>
      <c r="J3" s="27"/>
      <c r="K3" s="27" t="s">
        <v>18</v>
      </c>
      <c r="L3" s="27"/>
      <c r="M3" s="27" t="s">
        <v>19</v>
      </c>
      <c r="N3" s="27"/>
      <c r="O3" s="27" t="s">
        <v>20</v>
      </c>
      <c r="P3" s="27"/>
      <c r="Q3" s="27" t="s">
        <v>21</v>
      </c>
      <c r="R3" s="27"/>
      <c r="S3" s="27" t="s">
        <v>22</v>
      </c>
      <c r="T3" s="27"/>
      <c r="U3" s="27" t="s">
        <v>23</v>
      </c>
      <c r="V3" s="27"/>
      <c r="W3" s="27" t="s">
        <v>24</v>
      </c>
      <c r="X3" s="27"/>
      <c r="Y3" s="27" t="s">
        <v>25</v>
      </c>
      <c r="Z3" s="27"/>
      <c r="AA3" s="27" t="s">
        <v>26</v>
      </c>
      <c r="AB3" s="27"/>
    </row>
    <row r="4" spans="1:29" s="13" customFormat="1" ht="79.2" x14ac:dyDescent="0.25">
      <c r="A4" s="28"/>
      <c r="B4" s="28"/>
      <c r="C4" s="28"/>
      <c r="D4" s="28"/>
      <c r="E4" s="14" t="s">
        <v>2</v>
      </c>
      <c r="F4" s="15" t="s">
        <v>3</v>
      </c>
      <c r="G4" s="14" t="s">
        <v>2</v>
      </c>
      <c r="H4" s="15" t="s">
        <v>3</v>
      </c>
      <c r="I4" s="14" t="s">
        <v>2</v>
      </c>
      <c r="J4" s="15" t="s">
        <v>3</v>
      </c>
      <c r="K4" s="14" t="s">
        <v>2</v>
      </c>
      <c r="L4" s="15" t="s">
        <v>3</v>
      </c>
      <c r="M4" s="14" t="s">
        <v>2</v>
      </c>
      <c r="N4" s="15" t="s">
        <v>3</v>
      </c>
      <c r="O4" s="14" t="s">
        <v>2</v>
      </c>
      <c r="P4" s="15" t="s">
        <v>3</v>
      </c>
      <c r="Q4" s="14" t="s">
        <v>2</v>
      </c>
      <c r="R4" s="15" t="s">
        <v>3</v>
      </c>
      <c r="S4" s="14" t="s">
        <v>2</v>
      </c>
      <c r="T4" s="15" t="s">
        <v>3</v>
      </c>
      <c r="U4" s="14" t="s">
        <v>2</v>
      </c>
      <c r="V4" s="15" t="s">
        <v>3</v>
      </c>
      <c r="W4" s="14" t="s">
        <v>2</v>
      </c>
      <c r="X4" s="15" t="s">
        <v>3</v>
      </c>
      <c r="Y4" s="14" t="s">
        <v>2</v>
      </c>
      <c r="Z4" s="15" t="s">
        <v>3</v>
      </c>
      <c r="AA4" s="14" t="s">
        <v>2</v>
      </c>
      <c r="AB4" s="15" t="s">
        <v>3</v>
      </c>
    </row>
    <row r="5" spans="1:29" ht="23.4" x14ac:dyDescent="0.6">
      <c r="A5" s="1">
        <v>1</v>
      </c>
      <c r="B5" s="2" t="s">
        <v>4</v>
      </c>
      <c r="C5" s="12">
        <f>+E5+G5+I5+K5+M5+O5+Q5+S5+U5+W5+Y5+AA5</f>
        <v>3049540.0699999994</v>
      </c>
      <c r="D5" s="4">
        <f>+C5/C2</f>
        <v>0.35916424291404281</v>
      </c>
      <c r="E5" s="3">
        <f>+เงินเข้า!E5</f>
        <v>1035195.7200000001</v>
      </c>
      <c r="F5" s="4">
        <f>+E5/E2</f>
        <v>0.37584500395833376</v>
      </c>
      <c r="G5" s="3">
        <f>+เงินเข้า!G5</f>
        <v>620244.71</v>
      </c>
      <c r="H5" s="4">
        <f>+G5/G2</f>
        <v>0.2616332499488434</v>
      </c>
      <c r="I5" s="3">
        <f>+เงินเข้า!I5</f>
        <v>737683.74999999977</v>
      </c>
      <c r="J5" s="4">
        <f>+I5/I2</f>
        <v>0.44750119642629321</v>
      </c>
      <c r="K5" s="3">
        <f>+เงินเข้า!K5</f>
        <v>656415.88999999978</v>
      </c>
      <c r="L5" s="4">
        <f>+K5/K2</f>
        <v>0.38225386306395481</v>
      </c>
      <c r="M5" s="3">
        <f>+เงินเข้า!M5</f>
        <v>0</v>
      </c>
      <c r="N5" s="4" t="e">
        <f>+M5/M2</f>
        <v>#DIV/0!</v>
      </c>
      <c r="O5" s="3">
        <f>+เงินเข้า!O5</f>
        <v>0</v>
      </c>
      <c r="P5" s="4" t="e">
        <f>+O5/O2</f>
        <v>#DIV/0!</v>
      </c>
      <c r="Q5" s="3">
        <f>+เงินเข้า!Q5</f>
        <v>0</v>
      </c>
      <c r="R5" s="4" t="e">
        <f>+Q5/Q2</f>
        <v>#DIV/0!</v>
      </c>
      <c r="S5" s="3">
        <f>+เงินเข้า!S5</f>
        <v>0</v>
      </c>
      <c r="T5" s="4" t="e">
        <f>+S5/S2</f>
        <v>#DIV/0!</v>
      </c>
      <c r="U5" s="3">
        <f>+เงินเข้า!U5</f>
        <v>0</v>
      </c>
      <c r="V5" s="4" t="e">
        <f>+U5/U2</f>
        <v>#DIV/0!</v>
      </c>
      <c r="W5" s="3">
        <f>+เงินเข้า!W5</f>
        <v>0</v>
      </c>
      <c r="X5" s="4" t="e">
        <f>+W5/W2</f>
        <v>#DIV/0!</v>
      </c>
      <c r="Y5" s="3">
        <f>+เงินเข้า!Y5</f>
        <v>0</v>
      </c>
      <c r="Z5" s="4" t="e">
        <f>+Y5/Y2</f>
        <v>#DIV/0!</v>
      </c>
      <c r="AA5" s="3">
        <f>+เงินเข้า!AA5</f>
        <v>0</v>
      </c>
      <c r="AB5" s="4" t="e">
        <f>+AA5/AA2</f>
        <v>#DIV/0!</v>
      </c>
    </row>
    <row r="6" spans="1:29" ht="23.4" x14ac:dyDescent="0.6">
      <c r="A6" s="1">
        <v>2</v>
      </c>
      <c r="B6" s="2" t="s">
        <v>5</v>
      </c>
      <c r="C6" s="12">
        <f t="shared" ref="C6:C14" si="0">+E6+G6+I6+K6+M6+O6+Q6+S6+U6+W6+Y6+AA6</f>
        <v>199314.4</v>
      </c>
      <c r="D6" s="4">
        <f>+C6/C2</f>
        <v>2.3474558108648399E-2</v>
      </c>
      <c r="E6" s="3">
        <f>+เงินเข้า!E6</f>
        <v>50640</v>
      </c>
      <c r="F6" s="4">
        <f>+E6/E2</f>
        <v>1.8385693287497385E-2</v>
      </c>
      <c r="G6" s="3">
        <f>+เงินเข้า!G6</f>
        <v>35926</v>
      </c>
      <c r="H6" s="4">
        <f>+G6/G2</f>
        <v>1.5154399523475418E-2</v>
      </c>
      <c r="I6" s="3">
        <f>+เงินเข้า!I6</f>
        <v>67371</v>
      </c>
      <c r="J6" s="4">
        <f>+I6/I2</f>
        <v>4.0869279151717536E-2</v>
      </c>
      <c r="K6" s="3">
        <f>+เงินเข้า!K6</f>
        <v>45377.4</v>
      </c>
      <c r="L6" s="4">
        <f>+K6/K2</f>
        <v>2.6424842405625357E-2</v>
      </c>
      <c r="M6" s="3">
        <f>+เงินเข้า!M6</f>
        <v>0</v>
      </c>
      <c r="N6" s="4" t="e">
        <f>+M6/M2</f>
        <v>#DIV/0!</v>
      </c>
      <c r="O6" s="3">
        <f>+เงินเข้า!O6</f>
        <v>0</v>
      </c>
      <c r="P6" s="4" t="e">
        <f>+O6/O2</f>
        <v>#DIV/0!</v>
      </c>
      <c r="Q6" s="3">
        <f>+เงินเข้า!Q6</f>
        <v>0</v>
      </c>
      <c r="R6" s="4" t="e">
        <f>+Q6/Q2</f>
        <v>#DIV/0!</v>
      </c>
      <c r="S6" s="3">
        <f>+เงินเข้า!S6</f>
        <v>0</v>
      </c>
      <c r="T6" s="4" t="e">
        <f>+S6/S2</f>
        <v>#DIV/0!</v>
      </c>
      <c r="U6" s="3">
        <f>+เงินเข้า!U6</f>
        <v>0</v>
      </c>
      <c r="V6" s="4" t="e">
        <f>+U6/U2</f>
        <v>#DIV/0!</v>
      </c>
      <c r="W6" s="3">
        <f>+เงินเข้า!W6</f>
        <v>0</v>
      </c>
      <c r="X6" s="4" t="e">
        <f>+W6/W2</f>
        <v>#DIV/0!</v>
      </c>
      <c r="Y6" s="3">
        <f>+เงินเข้า!Y6</f>
        <v>0</v>
      </c>
      <c r="Z6" s="4" t="e">
        <f>+Y6/Y2</f>
        <v>#DIV/0!</v>
      </c>
      <c r="AA6" s="3">
        <f>+เงินเข้า!AA6</f>
        <v>0</v>
      </c>
      <c r="AB6" s="4" t="e">
        <f>+AA6/AA2</f>
        <v>#DIV/0!</v>
      </c>
    </row>
    <row r="7" spans="1:29" ht="23.4" x14ac:dyDescent="0.6">
      <c r="A7" s="1">
        <v>3</v>
      </c>
      <c r="B7" s="2" t="s">
        <v>6</v>
      </c>
      <c r="C7" s="12">
        <f t="shared" si="0"/>
        <v>156340.49</v>
      </c>
      <c r="D7" s="4">
        <f>+C7/C2</f>
        <v>1.8413240173512622E-2</v>
      </c>
      <c r="E7" s="3">
        <f>+เงินเข้า!E7</f>
        <v>135948.72</v>
      </c>
      <c r="F7" s="4">
        <f>+E7/E2</f>
        <v>4.9358441325984624E-2</v>
      </c>
      <c r="G7" s="3">
        <f>+เงินเข้า!G7</f>
        <v>3727.84</v>
      </c>
      <c r="H7" s="4">
        <f>+G7/G2</f>
        <v>1.5724872437675392E-3</v>
      </c>
      <c r="I7" s="3">
        <f>+เงินเข้า!I7</f>
        <v>11969.25</v>
      </c>
      <c r="J7" s="4">
        <f>+I7/I2</f>
        <v>7.2609078013788587E-3</v>
      </c>
      <c r="K7" s="3">
        <f>+เงินเข้า!K7</f>
        <v>4694.68</v>
      </c>
      <c r="L7" s="4">
        <f>+K7/K2</f>
        <v>2.7338758753221041E-3</v>
      </c>
      <c r="M7" s="3">
        <f>+เงินเข้า!M7</f>
        <v>0</v>
      </c>
      <c r="N7" s="4" t="e">
        <f>+M7/M2</f>
        <v>#DIV/0!</v>
      </c>
      <c r="O7" s="3">
        <f>+เงินเข้า!O7</f>
        <v>0</v>
      </c>
      <c r="P7" s="4" t="e">
        <f>+O7/O2</f>
        <v>#DIV/0!</v>
      </c>
      <c r="Q7" s="3">
        <f>+เงินเข้า!Q7</f>
        <v>0</v>
      </c>
      <c r="R7" s="4" t="e">
        <f>+Q7/Q2</f>
        <v>#DIV/0!</v>
      </c>
      <c r="S7" s="3">
        <f>+เงินเข้า!S7</f>
        <v>0</v>
      </c>
      <c r="T7" s="4" t="e">
        <f>+S7/S2</f>
        <v>#DIV/0!</v>
      </c>
      <c r="U7" s="3">
        <f>+เงินเข้า!U7</f>
        <v>0</v>
      </c>
      <c r="V7" s="4" t="e">
        <f>+U7/U2</f>
        <v>#DIV/0!</v>
      </c>
      <c r="W7" s="3">
        <f>+เงินเข้า!W7</f>
        <v>0</v>
      </c>
      <c r="X7" s="4" t="e">
        <f>+W7/W2</f>
        <v>#DIV/0!</v>
      </c>
      <c r="Y7" s="3">
        <f>+เงินเข้า!Y7</f>
        <v>0</v>
      </c>
      <c r="Z7" s="4" t="e">
        <f>+Y7/Y2</f>
        <v>#DIV/0!</v>
      </c>
      <c r="AA7" s="3">
        <f>+เงินเข้า!AA7</f>
        <v>0</v>
      </c>
      <c r="AB7" s="4" t="e">
        <f>+AA7/AA2</f>
        <v>#DIV/0!</v>
      </c>
    </row>
    <row r="8" spans="1:29" ht="23.4" x14ac:dyDescent="0.6">
      <c r="A8" s="1">
        <v>4</v>
      </c>
      <c r="B8" s="6" t="s">
        <v>7</v>
      </c>
      <c r="C8" s="12">
        <f t="shared" si="0"/>
        <v>743990.23</v>
      </c>
      <c r="D8" s="4">
        <f>+C8/C2</f>
        <v>8.7624586514580424E-2</v>
      </c>
      <c r="E8" s="3">
        <f>+เงินเข้า!E8</f>
        <v>204176.75</v>
      </c>
      <c r="F8" s="4">
        <f>+E8/E2</f>
        <v>7.4129761096722577E-2</v>
      </c>
      <c r="G8" s="3">
        <f>+เงินเข้า!G8</f>
        <v>196735.5</v>
      </c>
      <c r="H8" s="4">
        <f>+G8/G2</f>
        <v>8.2987484480618448E-2</v>
      </c>
      <c r="I8" s="3">
        <f>+เงินเข้า!I8</f>
        <v>172028.95</v>
      </c>
      <c r="J8" s="4">
        <f>+I8/I2</f>
        <v>0.10435794599645037</v>
      </c>
      <c r="K8" s="3">
        <f>+เงินเข้า!K8</f>
        <v>171049.03</v>
      </c>
      <c r="L8" s="4">
        <f>+K8/K2</f>
        <v>9.9607814933977787E-2</v>
      </c>
      <c r="M8" s="3">
        <f>+เงินเข้า!M8</f>
        <v>0</v>
      </c>
      <c r="N8" s="4" t="e">
        <f>+M8/M2</f>
        <v>#DIV/0!</v>
      </c>
      <c r="O8" s="3">
        <f>+เงินเข้า!O8</f>
        <v>0</v>
      </c>
      <c r="P8" s="4" t="e">
        <f>+O8/O2</f>
        <v>#DIV/0!</v>
      </c>
      <c r="Q8" s="3">
        <f>+เงินเข้า!Q8</f>
        <v>0</v>
      </c>
      <c r="R8" s="4" t="e">
        <f>+Q8/Q2</f>
        <v>#DIV/0!</v>
      </c>
      <c r="S8" s="3">
        <f>+เงินเข้า!S8</f>
        <v>0</v>
      </c>
      <c r="T8" s="4" t="e">
        <f>+S8/S2</f>
        <v>#DIV/0!</v>
      </c>
      <c r="U8" s="3">
        <f>+เงินเข้า!U8</f>
        <v>0</v>
      </c>
      <c r="V8" s="4" t="e">
        <f>+U8/U2</f>
        <v>#DIV/0!</v>
      </c>
      <c r="W8" s="3">
        <f>+เงินเข้า!W8</f>
        <v>0</v>
      </c>
      <c r="X8" s="4" t="e">
        <f>+W8/W2</f>
        <v>#DIV/0!</v>
      </c>
      <c r="Y8" s="3">
        <f>+เงินเข้า!Y8</f>
        <v>0</v>
      </c>
      <c r="Z8" s="4" t="e">
        <f>+Y8/Y2</f>
        <v>#DIV/0!</v>
      </c>
      <c r="AA8" s="3">
        <f>+เงินเข้า!AA8</f>
        <v>0</v>
      </c>
      <c r="AB8" s="4" t="e">
        <f>+AA8/AA2</f>
        <v>#DIV/0!</v>
      </c>
    </row>
    <row r="9" spans="1:29" ht="23.4" x14ac:dyDescent="0.6">
      <c r="A9" s="1">
        <v>5</v>
      </c>
      <c r="B9" s="2" t="s">
        <v>8</v>
      </c>
      <c r="C9" s="12">
        <f t="shared" si="0"/>
        <v>117498.81</v>
      </c>
      <c r="D9" s="4">
        <f>+C9/C2</f>
        <v>1.383860194266966E-2</v>
      </c>
      <c r="E9" s="3">
        <f>+เงินเข้า!E9</f>
        <v>61722</v>
      </c>
      <c r="F9" s="4">
        <f>+E9/E2</f>
        <v>2.2409197493896395E-2</v>
      </c>
      <c r="G9" s="3">
        <f>+เงินเข้า!G9</f>
        <v>16645.330000000002</v>
      </c>
      <c r="H9" s="4">
        <f>+G9/G2</f>
        <v>7.0213767472051191E-3</v>
      </c>
      <c r="I9" s="3">
        <f>+เงินเข้า!I9</f>
        <v>13666</v>
      </c>
      <c r="J9" s="4">
        <f>+I9/I2</f>
        <v>8.2902074911664035E-3</v>
      </c>
      <c r="K9" s="3">
        <f>+เงินเข้า!K9</f>
        <v>25465.48</v>
      </c>
      <c r="L9" s="4">
        <f>+K9/K2</f>
        <v>1.4829437027762815E-2</v>
      </c>
      <c r="M9" s="3">
        <f>+เงินเข้า!M9</f>
        <v>0</v>
      </c>
      <c r="N9" s="4" t="e">
        <f>+M9/M2</f>
        <v>#DIV/0!</v>
      </c>
      <c r="O9" s="3">
        <f>+เงินเข้า!O9</f>
        <v>0</v>
      </c>
      <c r="P9" s="4" t="e">
        <f>+O9/O2</f>
        <v>#DIV/0!</v>
      </c>
      <c r="Q9" s="3">
        <f>+เงินเข้า!Q9</f>
        <v>0</v>
      </c>
      <c r="R9" s="4" t="e">
        <f>+Q9/Q2</f>
        <v>#DIV/0!</v>
      </c>
      <c r="S9" s="3">
        <f>+เงินเข้า!S9</f>
        <v>0</v>
      </c>
      <c r="T9" s="4" t="e">
        <f>+S9/S2</f>
        <v>#DIV/0!</v>
      </c>
      <c r="U9" s="3">
        <f>+เงินเข้า!U9</f>
        <v>0</v>
      </c>
      <c r="V9" s="4" t="e">
        <f>+U9/U2</f>
        <v>#DIV/0!</v>
      </c>
      <c r="W9" s="3">
        <f>+เงินเข้า!W9</f>
        <v>0</v>
      </c>
      <c r="X9" s="4" t="e">
        <f>+W9/W2</f>
        <v>#DIV/0!</v>
      </c>
      <c r="Y9" s="3">
        <f>+เงินเข้า!Y9</f>
        <v>0</v>
      </c>
      <c r="Z9" s="4" t="e">
        <f>+Y9/Y2</f>
        <v>#DIV/0!</v>
      </c>
      <c r="AA9" s="3">
        <f>+เงินเข้า!AA9</f>
        <v>0</v>
      </c>
      <c r="AB9" s="4" t="e">
        <f>+AA9/AA2</f>
        <v>#DIV/0!</v>
      </c>
    </row>
    <row r="10" spans="1:29" ht="23.4" x14ac:dyDescent="0.6">
      <c r="A10" s="1">
        <v>6</v>
      </c>
      <c r="B10" s="2" t="s">
        <v>9</v>
      </c>
      <c r="C10" s="12">
        <f t="shared" si="0"/>
        <v>967334.70000000007</v>
      </c>
      <c r="D10" s="4">
        <f>+C10/C2</f>
        <v>0.11392932284702947</v>
      </c>
      <c r="E10" s="3">
        <f>+เงินเข้า!E10</f>
        <v>236307.51000000004</v>
      </c>
      <c r="F10" s="4">
        <f>+E10/E2</f>
        <v>8.5795367306323492E-2</v>
      </c>
      <c r="G10" s="3">
        <f>+เงินเข้า!G10</f>
        <v>230962.49</v>
      </c>
      <c r="H10" s="4">
        <f>+G10/G2</f>
        <v>9.7425203150829379E-2</v>
      </c>
      <c r="I10" s="3">
        <f>+เงินเข้า!I10</f>
        <v>202879.30000000002</v>
      </c>
      <c r="J10" s="4">
        <f>+I10/I2</f>
        <v>0.12307269813131834</v>
      </c>
      <c r="K10" s="3">
        <f>+เงินเข้า!K10</f>
        <v>297185.40000000002</v>
      </c>
      <c r="L10" s="4">
        <f>+K10/K2</f>
        <v>0.1730614217705892</v>
      </c>
      <c r="M10" s="3">
        <f>+เงินเข้า!M10</f>
        <v>0</v>
      </c>
      <c r="N10" s="4" t="e">
        <f>+M10/M2</f>
        <v>#DIV/0!</v>
      </c>
      <c r="O10" s="3">
        <f>+เงินเข้า!O10</f>
        <v>0</v>
      </c>
      <c r="P10" s="4" t="e">
        <f>+O10/O2</f>
        <v>#DIV/0!</v>
      </c>
      <c r="Q10" s="3">
        <f>+เงินเข้า!Q10</f>
        <v>0</v>
      </c>
      <c r="R10" s="4" t="e">
        <f>+Q10/Q2</f>
        <v>#DIV/0!</v>
      </c>
      <c r="S10" s="3">
        <f>+เงินเข้า!S10</f>
        <v>0</v>
      </c>
      <c r="T10" s="4" t="e">
        <f>+S10/S2</f>
        <v>#DIV/0!</v>
      </c>
      <c r="U10" s="3">
        <f>+เงินเข้า!U10</f>
        <v>0</v>
      </c>
      <c r="V10" s="4" t="e">
        <f>+U10/U2</f>
        <v>#DIV/0!</v>
      </c>
      <c r="W10" s="3">
        <f>+เงินเข้า!W10</f>
        <v>0</v>
      </c>
      <c r="X10" s="4" t="e">
        <f>+W10/W2</f>
        <v>#DIV/0!</v>
      </c>
      <c r="Y10" s="3">
        <f>+เงินเข้า!Y10</f>
        <v>0</v>
      </c>
      <c r="Z10" s="4" t="e">
        <f>+Y10/Y2</f>
        <v>#DIV/0!</v>
      </c>
      <c r="AA10" s="3">
        <f>+เงินเข้า!AA10</f>
        <v>0</v>
      </c>
      <c r="AB10" s="4" t="e">
        <f>+AA10/AA2</f>
        <v>#DIV/0!</v>
      </c>
    </row>
    <row r="11" spans="1:29" ht="23.4" x14ac:dyDescent="0.6">
      <c r="A11" s="1">
        <v>7</v>
      </c>
      <c r="B11" s="2" t="s">
        <v>10</v>
      </c>
      <c r="C11" s="12">
        <f t="shared" si="0"/>
        <v>0</v>
      </c>
      <c r="D11" s="4">
        <f>+C11/C2</f>
        <v>0</v>
      </c>
      <c r="E11" s="3">
        <f>+เงินเข้า!E11</f>
        <v>0</v>
      </c>
      <c r="F11" s="4">
        <f>+E11/E2</f>
        <v>0</v>
      </c>
      <c r="G11" s="3">
        <f>+เงินเข้า!G11</f>
        <v>0</v>
      </c>
      <c r="H11" s="4">
        <f>+G11/G2</f>
        <v>0</v>
      </c>
      <c r="I11" s="3">
        <f>+เงินเข้า!I11</f>
        <v>0</v>
      </c>
      <c r="J11" s="4">
        <f>+I11/I2</f>
        <v>0</v>
      </c>
      <c r="K11" s="3">
        <f>+เงินเข้า!K11</f>
        <v>0</v>
      </c>
      <c r="L11" s="4">
        <f>+K11/K2</f>
        <v>0</v>
      </c>
      <c r="M11" s="3">
        <f>+เงินเข้า!M11</f>
        <v>0</v>
      </c>
      <c r="N11" s="4" t="e">
        <f>+M11/M2</f>
        <v>#DIV/0!</v>
      </c>
      <c r="O11" s="3">
        <f>+เงินเข้า!O11</f>
        <v>0</v>
      </c>
      <c r="P11" s="4" t="e">
        <f>+O11/O2</f>
        <v>#DIV/0!</v>
      </c>
      <c r="Q11" s="3">
        <f>+เงินเข้า!Q11</f>
        <v>0</v>
      </c>
      <c r="R11" s="4" t="e">
        <f>+Q11/Q2</f>
        <v>#DIV/0!</v>
      </c>
      <c r="S11" s="3">
        <f>+เงินเข้า!S11</f>
        <v>0</v>
      </c>
      <c r="T11" s="4" t="e">
        <f>+S11/S2</f>
        <v>#DIV/0!</v>
      </c>
      <c r="U11" s="3">
        <f>+เงินเข้า!U11</f>
        <v>0</v>
      </c>
      <c r="V11" s="4" t="e">
        <f>+U11/U2</f>
        <v>#DIV/0!</v>
      </c>
      <c r="W11" s="3">
        <f>+เงินเข้า!W11</f>
        <v>0</v>
      </c>
      <c r="X11" s="4" t="e">
        <f>+W11/W2</f>
        <v>#DIV/0!</v>
      </c>
      <c r="Y11" s="3">
        <f>+เงินเข้า!Y11</f>
        <v>0</v>
      </c>
      <c r="Z11" s="4" t="e">
        <f>+Y11/Y2</f>
        <v>#DIV/0!</v>
      </c>
      <c r="AA11" s="3">
        <f>+เงินเข้า!AA11</f>
        <v>0</v>
      </c>
      <c r="AB11" s="4" t="e">
        <f>+AA11/AA2</f>
        <v>#DIV/0!</v>
      </c>
    </row>
    <row r="12" spans="1:29" ht="23.4" x14ac:dyDescent="0.6">
      <c r="A12" s="1">
        <v>8</v>
      </c>
      <c r="B12" s="2" t="s">
        <v>11</v>
      </c>
      <c r="C12" s="12">
        <f t="shared" si="0"/>
        <v>4919.5840000000007</v>
      </c>
      <c r="D12" s="4">
        <f>+C12/C2</f>
        <v>5.7941152509992735E-4</v>
      </c>
      <c r="E12" s="3">
        <f>+เงินเข้า!E12</f>
        <v>1177.8567111111111</v>
      </c>
      <c r="F12" s="4">
        <f>+E12/E2</f>
        <v>4.2764044682285348E-4</v>
      </c>
      <c r="G12" s="3">
        <f>+เงินเข้า!G12</f>
        <v>1063.8705777777777</v>
      </c>
      <c r="H12" s="4">
        <f>+G12/G2</f>
        <v>4.4876467674984896E-4</v>
      </c>
      <c r="I12" s="3">
        <f>+เงินเข้า!I12</f>
        <v>1177.8567111111117</v>
      </c>
      <c r="J12" s="4">
        <f>+I12/I2</f>
        <v>7.1452338138255239E-4</v>
      </c>
      <c r="K12" s="3">
        <f>+เงินเข้า!K12</f>
        <v>1500</v>
      </c>
      <c r="L12" s="4">
        <f>+K12/K2</f>
        <v>8.7350230750192894E-4</v>
      </c>
      <c r="M12" s="3">
        <f>+เงินเข้า!M12</f>
        <v>0</v>
      </c>
      <c r="N12" s="4" t="e">
        <f>+M12/M2</f>
        <v>#DIV/0!</v>
      </c>
      <c r="O12" s="3">
        <f>+เงินเข้า!O12</f>
        <v>0</v>
      </c>
      <c r="P12" s="4" t="e">
        <f>+O12/O2</f>
        <v>#DIV/0!</v>
      </c>
      <c r="Q12" s="3">
        <f>+เงินเข้า!Q12</f>
        <v>0</v>
      </c>
      <c r="R12" s="4" t="e">
        <f>+Q12/Q2</f>
        <v>#DIV/0!</v>
      </c>
      <c r="S12" s="3">
        <f>+เงินเข้า!S12</f>
        <v>0</v>
      </c>
      <c r="T12" s="4" t="e">
        <f>+S12/S2</f>
        <v>#DIV/0!</v>
      </c>
      <c r="U12" s="3">
        <f>+เงินเข้า!U12</f>
        <v>0</v>
      </c>
      <c r="V12" s="4" t="e">
        <f>+U12/U2</f>
        <v>#DIV/0!</v>
      </c>
      <c r="W12" s="3">
        <f>+เงินเข้า!W12</f>
        <v>0</v>
      </c>
      <c r="X12" s="4" t="e">
        <f>+W12/W2</f>
        <v>#DIV/0!</v>
      </c>
      <c r="Y12" s="3">
        <f>+เงินเข้า!Y12</f>
        <v>0</v>
      </c>
      <c r="Z12" s="4" t="e">
        <f>+Y12/Y2</f>
        <v>#DIV/0!</v>
      </c>
      <c r="AA12" s="3">
        <f>+เงินเข้า!AA12</f>
        <v>0</v>
      </c>
      <c r="AB12" s="4" t="e">
        <f>+AA12/AA2</f>
        <v>#DIV/0!</v>
      </c>
    </row>
    <row r="13" spans="1:29" ht="23.4" x14ac:dyDescent="0.6">
      <c r="A13" s="1">
        <v>9</v>
      </c>
      <c r="B13" s="2" t="s">
        <v>12</v>
      </c>
      <c r="C13" s="12">
        <f t="shared" si="0"/>
        <v>2335</v>
      </c>
      <c r="D13" s="4">
        <f>+C13/C2</f>
        <v>2.750081940075279E-4</v>
      </c>
      <c r="E13" s="3">
        <f>+เงินเข้า!E13</f>
        <v>585</v>
      </c>
      <c r="F13" s="4">
        <f>+E13/E2</f>
        <v>2.1239396866480983E-4</v>
      </c>
      <c r="G13" s="3">
        <f>+เงินเข้า!G13</f>
        <v>580</v>
      </c>
      <c r="H13" s="4">
        <f>+G13/G2</f>
        <v>2.4465712084884884E-4</v>
      </c>
      <c r="I13" s="3">
        <f>+เงินเข้า!I13</f>
        <v>585</v>
      </c>
      <c r="J13" s="4">
        <f>+I13/I2</f>
        <v>3.5487863181123564E-4</v>
      </c>
      <c r="K13" s="3">
        <f>+เงินเข้า!K13</f>
        <v>585</v>
      </c>
      <c r="L13" s="4">
        <f>+K13/K2</f>
        <v>3.4066589992575228E-4</v>
      </c>
      <c r="M13" s="3">
        <f>+เงินเข้า!M13</f>
        <v>0</v>
      </c>
      <c r="N13" s="4" t="e">
        <f>+M13/M2</f>
        <v>#DIV/0!</v>
      </c>
      <c r="O13" s="3">
        <f>+เงินเข้า!O13</f>
        <v>0</v>
      </c>
      <c r="P13" s="4" t="e">
        <f>+O13/O2</f>
        <v>#DIV/0!</v>
      </c>
      <c r="Q13" s="3">
        <f>+เงินเข้า!Q13</f>
        <v>0</v>
      </c>
      <c r="R13" s="4" t="e">
        <f>+Q13/Q2</f>
        <v>#DIV/0!</v>
      </c>
      <c r="S13" s="3">
        <f>+เงินเข้า!S13</f>
        <v>0</v>
      </c>
      <c r="T13" s="4" t="e">
        <f>+S13/S2</f>
        <v>#DIV/0!</v>
      </c>
      <c r="U13" s="3">
        <f>+เงินเข้า!U13</f>
        <v>0</v>
      </c>
      <c r="V13" s="4" t="e">
        <f>+U13/U2</f>
        <v>#DIV/0!</v>
      </c>
      <c r="W13" s="3">
        <f>+เงินเข้า!W13</f>
        <v>0</v>
      </c>
      <c r="X13" s="4" t="e">
        <f>+W13/W2</f>
        <v>#DIV/0!</v>
      </c>
      <c r="Y13" s="3">
        <f>+เงินเข้า!Y13</f>
        <v>0</v>
      </c>
      <c r="Z13" s="4" t="e">
        <f>+Y13/Y2</f>
        <v>#DIV/0!</v>
      </c>
      <c r="AA13" s="3">
        <f>+เงินเข้า!AA13</f>
        <v>0</v>
      </c>
      <c r="AB13" s="4" t="e">
        <f>+AA13/AA2</f>
        <v>#DIV/0!</v>
      </c>
    </row>
    <row r="14" spans="1:29" ht="23.4" x14ac:dyDescent="0.6">
      <c r="A14" s="1">
        <v>10</v>
      </c>
      <c r="B14" s="2" t="s">
        <v>13</v>
      </c>
      <c r="C14" s="12">
        <f t="shared" si="0"/>
        <v>0</v>
      </c>
      <c r="D14" s="4">
        <f>+C14/C2</f>
        <v>0</v>
      </c>
      <c r="E14" s="3">
        <f>+เงินเข้า!E14</f>
        <v>0</v>
      </c>
      <c r="F14" s="4">
        <f>+E14/E2</f>
        <v>0</v>
      </c>
      <c r="G14" s="3">
        <f>+เงินเข้า!G14</f>
        <v>0</v>
      </c>
      <c r="H14" s="4">
        <f>+G14/G2</f>
        <v>0</v>
      </c>
      <c r="I14" s="3">
        <f>+เงินเข้า!I14</f>
        <v>0</v>
      </c>
      <c r="J14" s="4">
        <f>+I14/I2</f>
        <v>0</v>
      </c>
      <c r="K14" s="3">
        <f>+เงินเข้า!K14</f>
        <v>0</v>
      </c>
      <c r="L14" s="4">
        <f>+K14/K2</f>
        <v>0</v>
      </c>
      <c r="M14" s="3">
        <f>+เงินเข้า!M14</f>
        <v>0</v>
      </c>
      <c r="N14" s="4" t="e">
        <f>+M14/M2</f>
        <v>#DIV/0!</v>
      </c>
      <c r="O14" s="3">
        <f>+เงินเข้า!O14</f>
        <v>0</v>
      </c>
      <c r="P14" s="4" t="e">
        <f>+O14/O2</f>
        <v>#DIV/0!</v>
      </c>
      <c r="Q14" s="3">
        <f>+เงินเข้า!Q14</f>
        <v>0</v>
      </c>
      <c r="R14" s="4" t="e">
        <f>+Q14/Q2</f>
        <v>#DIV/0!</v>
      </c>
      <c r="S14" s="3">
        <f>+เงินเข้า!S14</f>
        <v>0</v>
      </c>
      <c r="T14" s="4" t="e">
        <f>+S14/S2</f>
        <v>#DIV/0!</v>
      </c>
      <c r="U14" s="3">
        <f>+เงินเข้า!U14</f>
        <v>0</v>
      </c>
      <c r="V14" s="4" t="e">
        <f>+U14/U2</f>
        <v>#DIV/0!</v>
      </c>
      <c r="W14" s="3">
        <f>+เงินเข้า!W14</f>
        <v>0</v>
      </c>
      <c r="X14" s="4" t="e">
        <f>+W14/W2</f>
        <v>#DIV/0!</v>
      </c>
      <c r="Y14" s="3">
        <f>+เงินเข้า!Y14</f>
        <v>0</v>
      </c>
      <c r="Z14" s="4" t="e">
        <f>+Y14/Y2</f>
        <v>#DIV/0!</v>
      </c>
      <c r="AA14" s="3">
        <f>+เงินเข้า!AA14</f>
        <v>0</v>
      </c>
      <c r="AB14" s="4" t="e">
        <f>+AA14/AA2</f>
        <v>#DIV/0!</v>
      </c>
    </row>
    <row r="15" spans="1:29" s="26" customFormat="1" ht="24" thickBot="1" x14ac:dyDescent="0.65">
      <c r="A15" s="21"/>
      <c r="B15" s="22" t="s">
        <v>36</v>
      </c>
      <c r="C15" s="23">
        <f>SUM(C5:C14)</f>
        <v>5241273.2839999991</v>
      </c>
      <c r="D15" s="24">
        <f t="shared" ref="D15:AC15" si="1">SUM(D5:D14)</f>
        <v>0.61729897221959085</v>
      </c>
      <c r="E15" s="23">
        <f>SUM(E5:E14)</f>
        <v>1725753.5567111112</v>
      </c>
      <c r="F15" s="24">
        <f t="shared" si="1"/>
        <v>0.6265634988842459</v>
      </c>
      <c r="G15" s="23">
        <f t="shared" si="1"/>
        <v>1105885.7405777776</v>
      </c>
      <c r="H15" s="24">
        <f t="shared" si="1"/>
        <v>0.46648762289233797</v>
      </c>
      <c r="I15" s="23">
        <f t="shared" si="1"/>
        <v>1207361.1067111108</v>
      </c>
      <c r="J15" s="24">
        <f t="shared" si="1"/>
        <v>0.73242163701151852</v>
      </c>
      <c r="K15" s="23">
        <f t="shared" si="1"/>
        <v>1202272.8799999999</v>
      </c>
      <c r="L15" s="24">
        <f t="shared" si="1"/>
        <v>0.70012542328465976</v>
      </c>
      <c r="M15" s="23">
        <f t="shared" si="1"/>
        <v>0</v>
      </c>
      <c r="N15" s="24" t="e">
        <f t="shared" si="1"/>
        <v>#DIV/0!</v>
      </c>
      <c r="O15" s="23">
        <f t="shared" si="1"/>
        <v>0</v>
      </c>
      <c r="P15" s="24" t="e">
        <f t="shared" si="1"/>
        <v>#DIV/0!</v>
      </c>
      <c r="Q15" s="23">
        <f t="shared" si="1"/>
        <v>0</v>
      </c>
      <c r="R15" s="24" t="e">
        <f t="shared" si="1"/>
        <v>#DIV/0!</v>
      </c>
      <c r="S15" s="23">
        <f t="shared" si="1"/>
        <v>0</v>
      </c>
      <c r="T15" s="24" t="e">
        <f t="shared" si="1"/>
        <v>#DIV/0!</v>
      </c>
      <c r="U15" s="23">
        <f t="shared" si="1"/>
        <v>0</v>
      </c>
      <c r="V15" s="24" t="e">
        <f t="shared" si="1"/>
        <v>#DIV/0!</v>
      </c>
      <c r="W15" s="23">
        <f t="shared" si="1"/>
        <v>0</v>
      </c>
      <c r="X15" s="24" t="e">
        <f t="shared" si="1"/>
        <v>#DIV/0!</v>
      </c>
      <c r="Y15" s="23">
        <f t="shared" si="1"/>
        <v>0</v>
      </c>
      <c r="Z15" s="24" t="e">
        <f t="shared" si="1"/>
        <v>#DIV/0!</v>
      </c>
      <c r="AA15" s="23">
        <f t="shared" si="1"/>
        <v>0</v>
      </c>
      <c r="AB15" s="24" t="e">
        <f t="shared" si="1"/>
        <v>#DIV/0!</v>
      </c>
      <c r="AC15" s="25">
        <f t="shared" si="1"/>
        <v>0</v>
      </c>
    </row>
    <row r="16" spans="1:29" ht="14.4" thickTop="1" x14ac:dyDescent="0.25"/>
    <row r="17" spans="1:28" ht="26.4" x14ac:dyDescent="0.7">
      <c r="A17" s="28" t="s">
        <v>0</v>
      </c>
      <c r="B17" s="28" t="s">
        <v>1</v>
      </c>
      <c r="C17" s="28" t="s">
        <v>14</v>
      </c>
      <c r="D17" s="28" t="s">
        <v>3</v>
      </c>
      <c r="E17" s="30" t="s">
        <v>15</v>
      </c>
      <c r="F17" s="30"/>
      <c r="G17" s="30" t="s">
        <v>16</v>
      </c>
      <c r="H17" s="30"/>
      <c r="I17" s="30" t="s">
        <v>17</v>
      </c>
      <c r="J17" s="30"/>
      <c r="K17" s="30" t="s">
        <v>18</v>
      </c>
      <c r="L17" s="30"/>
      <c r="M17" s="30" t="s">
        <v>19</v>
      </c>
      <c r="N17" s="30"/>
      <c r="O17" s="30" t="s">
        <v>20</v>
      </c>
      <c r="P17" s="30"/>
      <c r="Q17" s="30" t="s">
        <v>21</v>
      </c>
      <c r="R17" s="30"/>
      <c r="S17" s="30" t="s">
        <v>22</v>
      </c>
      <c r="T17" s="30"/>
      <c r="U17" s="30" t="s">
        <v>23</v>
      </c>
      <c r="V17" s="30"/>
      <c r="W17" s="30" t="s">
        <v>24</v>
      </c>
      <c r="X17" s="30"/>
      <c r="Y17" s="30" t="s">
        <v>25</v>
      </c>
      <c r="Z17" s="30"/>
      <c r="AA17" s="30" t="s">
        <v>26</v>
      </c>
      <c r="AB17" s="30"/>
    </row>
    <row r="18" spans="1:28" s="13" customFormat="1" ht="79.2" x14ac:dyDescent="0.25">
      <c r="A18" s="28"/>
      <c r="B18" s="28"/>
      <c r="C18" s="28"/>
      <c r="D18" s="28"/>
      <c r="E18" s="14" t="s">
        <v>2</v>
      </c>
      <c r="F18" s="15" t="s">
        <v>3</v>
      </c>
      <c r="G18" s="14" t="s">
        <v>2</v>
      </c>
      <c r="H18" s="15" t="s">
        <v>3</v>
      </c>
      <c r="I18" s="14" t="s">
        <v>2</v>
      </c>
      <c r="J18" s="15" t="s">
        <v>3</v>
      </c>
      <c r="K18" s="14" t="s">
        <v>2</v>
      </c>
      <c r="L18" s="15" t="s">
        <v>3</v>
      </c>
      <c r="M18" s="14" t="s">
        <v>2</v>
      </c>
      <c r="N18" s="15" t="s">
        <v>3</v>
      </c>
      <c r="O18" s="14" t="s">
        <v>2</v>
      </c>
      <c r="P18" s="15" t="s">
        <v>3</v>
      </c>
      <c r="Q18" s="14" t="s">
        <v>2</v>
      </c>
      <c r="R18" s="15" t="s">
        <v>3</v>
      </c>
      <c r="S18" s="14" t="s">
        <v>2</v>
      </c>
      <c r="T18" s="15" t="s">
        <v>3</v>
      </c>
      <c r="U18" s="14" t="s">
        <v>2</v>
      </c>
      <c r="V18" s="15" t="s">
        <v>3</v>
      </c>
      <c r="W18" s="14" t="s">
        <v>2</v>
      </c>
      <c r="X18" s="15" t="s">
        <v>3</v>
      </c>
      <c r="Y18" s="14" t="s">
        <v>2</v>
      </c>
      <c r="Z18" s="15" t="s">
        <v>3</v>
      </c>
      <c r="AA18" s="14" t="s">
        <v>2</v>
      </c>
      <c r="AB18" s="15" t="s">
        <v>3</v>
      </c>
    </row>
    <row r="19" spans="1:28" ht="23.4" x14ac:dyDescent="0.6">
      <c r="A19" s="1">
        <v>1</v>
      </c>
      <c r="B19" s="2" t="s">
        <v>30</v>
      </c>
      <c r="C19" s="12">
        <f>+E19+G19+I19+K19+M19+O19+Q19+S19+U19+W19+Y19+AA19</f>
        <v>302132.98199999996</v>
      </c>
      <c r="D19" s="4">
        <f>+C19/C2</f>
        <v>3.5584173760140864E-2</v>
      </c>
      <c r="E19" s="3">
        <v>82629.464999999997</v>
      </c>
      <c r="F19" s="4">
        <f>+E19/E2</f>
        <v>0.03</v>
      </c>
      <c r="G19" s="3">
        <v>118533.23999999999</v>
      </c>
      <c r="H19" s="4">
        <f>+G19/G2</f>
        <v>5.0000002109113102E-2</v>
      </c>
      <c r="I19" s="3">
        <v>49453.526999999995</v>
      </c>
      <c r="J19" s="4">
        <f>+I19/I2</f>
        <v>0.03</v>
      </c>
      <c r="K19" s="3">
        <v>51516.75</v>
      </c>
      <c r="L19" s="4">
        <f>+K19/K2</f>
        <v>0.03</v>
      </c>
      <c r="M19" s="3"/>
      <c r="N19" s="4" t="e">
        <f>+M19/M2</f>
        <v>#DIV/0!</v>
      </c>
      <c r="O19" s="3"/>
      <c r="P19" s="4" t="e">
        <f>+O19/O2</f>
        <v>#DIV/0!</v>
      </c>
      <c r="Q19" s="3"/>
      <c r="R19" s="4" t="e">
        <f>+Q19/Q2</f>
        <v>#DIV/0!</v>
      </c>
      <c r="S19" s="3"/>
      <c r="T19" s="4" t="e">
        <f>+S19/S2</f>
        <v>#DIV/0!</v>
      </c>
      <c r="U19" s="3"/>
      <c r="V19" s="4" t="e">
        <f>+U19/U2</f>
        <v>#DIV/0!</v>
      </c>
      <c r="W19" s="3"/>
      <c r="X19" s="4" t="e">
        <f>+W19/W2</f>
        <v>#DIV/0!</v>
      </c>
      <c r="Y19" s="3"/>
      <c r="Z19" s="4" t="e">
        <f>+Y19/Y2</f>
        <v>#DIV/0!</v>
      </c>
      <c r="AA19" s="3"/>
      <c r="AB19" s="4" t="e">
        <f>+AA19/AA2</f>
        <v>#DIV/0!</v>
      </c>
    </row>
    <row r="20" spans="1:28" ht="23.4" x14ac:dyDescent="0.6">
      <c r="A20" s="1">
        <v>2</v>
      </c>
      <c r="B20" s="2" t="s">
        <v>31</v>
      </c>
      <c r="C20" s="12">
        <f t="shared" ref="C20:C23" si="2">+E20+G20+I20+K20+M20+O20+Q20+S20+U20+W20+Y20+AA20</f>
        <v>726665.7919999999</v>
      </c>
      <c r="D20" s="4">
        <f>+C20/C2</f>
        <v>8.5584174349023504E-2</v>
      </c>
      <c r="E20" s="3">
        <v>220345.24</v>
      </c>
      <c r="F20" s="4">
        <f>+E20/E2</f>
        <v>0.08</v>
      </c>
      <c r="G20" s="3">
        <v>237066.47999999998</v>
      </c>
      <c r="H20" s="4">
        <f>+G20/G2</f>
        <v>0.1000000042182262</v>
      </c>
      <c r="I20" s="3">
        <v>131876.07199999999</v>
      </c>
      <c r="J20" s="4">
        <f>+I20/I2</f>
        <v>0.08</v>
      </c>
      <c r="K20" s="3">
        <v>137378</v>
      </c>
      <c r="L20" s="4">
        <f>+K20/K2</f>
        <v>0.08</v>
      </c>
      <c r="M20" s="3"/>
      <c r="N20" s="4" t="e">
        <f>+M20/M2</f>
        <v>#DIV/0!</v>
      </c>
      <c r="O20" s="3"/>
      <c r="P20" s="4" t="e">
        <f>+O20/O2</f>
        <v>#DIV/0!</v>
      </c>
      <c r="Q20" s="3"/>
      <c r="R20" s="4" t="e">
        <f>+Q20/Q2</f>
        <v>#DIV/0!</v>
      </c>
      <c r="S20" s="3"/>
      <c r="T20" s="4" t="e">
        <f>+S20/S2</f>
        <v>#DIV/0!</v>
      </c>
      <c r="U20" s="3"/>
      <c r="V20" s="4" t="e">
        <f>+U20/U2</f>
        <v>#DIV/0!</v>
      </c>
      <c r="W20" s="3"/>
      <c r="X20" s="4" t="e">
        <f>+W20/W2</f>
        <v>#DIV/0!</v>
      </c>
      <c r="Y20" s="3"/>
      <c r="Z20" s="4" t="e">
        <f>+Y20/Y2</f>
        <v>#DIV/0!</v>
      </c>
      <c r="AA20" s="3"/>
      <c r="AB20" s="4" t="e">
        <f>+AA20/AA2</f>
        <v>#DIV/0!</v>
      </c>
    </row>
    <row r="21" spans="1:28" ht="23.4" x14ac:dyDescent="0.6">
      <c r="A21" s="1">
        <v>3</v>
      </c>
      <c r="B21" s="2" t="s">
        <v>32</v>
      </c>
      <c r="C21" s="12">
        <f t="shared" si="2"/>
        <v>302132.98199999996</v>
      </c>
      <c r="D21" s="4">
        <f>+C21/C2</f>
        <v>3.5584173760140864E-2</v>
      </c>
      <c r="E21" s="3">
        <v>82629.464999999997</v>
      </c>
      <c r="F21" s="4">
        <f>+E21/E2</f>
        <v>0.03</v>
      </c>
      <c r="G21" s="3">
        <v>118533.23999999999</v>
      </c>
      <c r="H21" s="4">
        <f>+G21/G2</f>
        <v>5.0000002109113102E-2</v>
      </c>
      <c r="I21" s="3">
        <v>49453.526999999995</v>
      </c>
      <c r="J21" s="4">
        <f>+I21/I2</f>
        <v>0.03</v>
      </c>
      <c r="K21" s="3">
        <v>51516.75</v>
      </c>
      <c r="L21" s="4">
        <f>+K21/K2</f>
        <v>0.03</v>
      </c>
      <c r="M21" s="3"/>
      <c r="N21" s="4" t="e">
        <f>+M21/M2</f>
        <v>#DIV/0!</v>
      </c>
      <c r="O21" s="3"/>
      <c r="P21" s="4" t="e">
        <f>+O21/O2</f>
        <v>#DIV/0!</v>
      </c>
      <c r="Q21" s="3"/>
      <c r="R21" s="4" t="e">
        <f>+Q21/Q2</f>
        <v>#DIV/0!</v>
      </c>
      <c r="S21" s="3"/>
      <c r="T21" s="4" t="e">
        <f>+S21/S2</f>
        <v>#DIV/0!</v>
      </c>
      <c r="U21" s="3"/>
      <c r="V21" s="4" t="e">
        <f>+U21/U2</f>
        <v>#DIV/0!</v>
      </c>
      <c r="W21" s="3"/>
      <c r="X21" s="4" t="e">
        <f>+W21/W2</f>
        <v>#DIV/0!</v>
      </c>
      <c r="Y21" s="3"/>
      <c r="Z21" s="4" t="e">
        <f>+Y21/Y2</f>
        <v>#DIV/0!</v>
      </c>
      <c r="AA21" s="3"/>
      <c r="AB21" s="4" t="e">
        <f>+AA21/AA2</f>
        <v>#DIV/0!</v>
      </c>
    </row>
    <row r="22" spans="1:28" ht="23.4" x14ac:dyDescent="0.6">
      <c r="A22" s="1">
        <v>4</v>
      </c>
      <c r="B22" s="2" t="s">
        <v>33</v>
      </c>
      <c r="C22" s="12">
        <f t="shared" si="2"/>
        <v>5246137.784</v>
      </c>
      <c r="D22" s="4">
        <f>+C22/C2</f>
        <v>0.6178718961423959</v>
      </c>
      <c r="E22" s="3">
        <v>1725753.5567111112</v>
      </c>
      <c r="F22" s="4">
        <f>+E22/E2</f>
        <v>0.6265634988842459</v>
      </c>
      <c r="G22" s="3">
        <v>1110750.2405777776</v>
      </c>
      <c r="H22" s="4">
        <f>+G22/G2</f>
        <v>0.46853957903780213</v>
      </c>
      <c r="I22" s="3">
        <v>1207361.1067111108</v>
      </c>
      <c r="J22" s="4">
        <f>+I22/I2</f>
        <v>0.73242163701151841</v>
      </c>
      <c r="K22" s="3">
        <v>1202272.8799999999</v>
      </c>
      <c r="L22" s="4">
        <f>+K22/K2</f>
        <v>0.70012542328465976</v>
      </c>
      <c r="M22" s="3"/>
      <c r="N22" s="4" t="e">
        <f>+M22/M2</f>
        <v>#DIV/0!</v>
      </c>
      <c r="O22" s="3"/>
      <c r="P22" s="4" t="e">
        <f>+O22/O2</f>
        <v>#DIV/0!</v>
      </c>
      <c r="Q22" s="3"/>
      <c r="R22" s="4" t="e">
        <f>+Q22/Q2</f>
        <v>#DIV/0!</v>
      </c>
      <c r="S22" s="3"/>
      <c r="T22" s="4" t="e">
        <f>+S22/S2</f>
        <v>#DIV/0!</v>
      </c>
      <c r="U22" s="3"/>
      <c r="V22" s="4" t="e">
        <f>+U22/U2</f>
        <v>#DIV/0!</v>
      </c>
      <c r="W22" s="3"/>
      <c r="X22" s="4" t="e">
        <f>+W22/W2</f>
        <v>#DIV/0!</v>
      </c>
      <c r="Y22" s="3"/>
      <c r="Z22" s="4" t="e">
        <f>+Y22/Y2</f>
        <v>#DIV/0!</v>
      </c>
      <c r="AA22" s="3"/>
      <c r="AB22" s="4" t="e">
        <f>+AA22/AA2</f>
        <v>#DIV/0!</v>
      </c>
    </row>
    <row r="23" spans="1:28" ht="23.4" x14ac:dyDescent="0.6">
      <c r="A23" s="1">
        <v>5</v>
      </c>
      <c r="B23" s="2" t="s">
        <v>34</v>
      </c>
      <c r="C23" s="12">
        <f t="shared" si="2"/>
        <v>94765.599999999991</v>
      </c>
      <c r="D23" s="4">
        <f>+C23/C2</f>
        <v>1.1161163387597338E-2</v>
      </c>
      <c r="E23" s="3">
        <v>50777.57</v>
      </c>
      <c r="F23" s="4">
        <f>+E23/E2</f>
        <v>1.843564036146186E-2</v>
      </c>
      <c r="G23" s="3">
        <v>13493.05</v>
      </c>
      <c r="H23" s="4">
        <f>+G23/G2</f>
        <v>5.6916737318440684E-3</v>
      </c>
      <c r="I23" s="3">
        <v>15715.61</v>
      </c>
      <c r="J23" s="4">
        <f>+I23/I2</f>
        <v>9.5335626921008096E-3</v>
      </c>
      <c r="K23" s="3">
        <v>14779.37</v>
      </c>
      <c r="L23" s="4">
        <f>+K23/K2</f>
        <v>8.6065425322831898E-3</v>
      </c>
      <c r="M23" s="3"/>
      <c r="N23" s="4" t="e">
        <f>+M23/M2</f>
        <v>#DIV/0!</v>
      </c>
      <c r="O23" s="3"/>
      <c r="P23" s="4" t="e">
        <f>+O23/O2</f>
        <v>#DIV/0!</v>
      </c>
      <c r="Q23" s="3"/>
      <c r="R23" s="4" t="e">
        <f>+Q23/Q2</f>
        <v>#DIV/0!</v>
      </c>
      <c r="S23" s="3"/>
      <c r="T23" s="4" t="e">
        <f>+S23/S2</f>
        <v>#DIV/0!</v>
      </c>
      <c r="U23" s="3"/>
      <c r="V23" s="4" t="e">
        <f>+U23/U2</f>
        <v>#DIV/0!</v>
      </c>
      <c r="W23" s="3"/>
      <c r="X23" s="4" t="e">
        <f>+W23/W2</f>
        <v>#DIV/0!</v>
      </c>
      <c r="Y23" s="3"/>
      <c r="Z23" s="4" t="e">
        <f>+Y23/Y2</f>
        <v>#DIV/0!</v>
      </c>
      <c r="AA23" s="3"/>
      <c r="AB23" s="4" t="e">
        <f>+AA23/AA2</f>
        <v>#DIV/0!</v>
      </c>
    </row>
    <row r="24" spans="1:28" s="26" customFormat="1" ht="24" thickBot="1" x14ac:dyDescent="0.65">
      <c r="B24" s="22" t="s">
        <v>35</v>
      </c>
      <c r="C24" s="23">
        <f>+C2-C19-C20-C21-C22-C23</f>
        <v>1818820.9599999995</v>
      </c>
      <c r="D24" s="24">
        <f>+C24/C2</f>
        <v>0.21421441860070148</v>
      </c>
      <c r="E24" s="23">
        <f>+E2-E19-E20-E21-E22-E23</f>
        <v>592180.20328888891</v>
      </c>
      <c r="F24" s="24">
        <f>+E24/E2</f>
        <v>0.21500086075429228</v>
      </c>
      <c r="G24" s="23">
        <f>+G2-G19-G20-G21-G22-G23</f>
        <v>772288.44942222233</v>
      </c>
      <c r="H24" s="24">
        <f>+G24/G2</f>
        <v>0.32576873879390122</v>
      </c>
      <c r="I24" s="23">
        <f>+I2-I19-I20-I21-I22-I23</f>
        <v>194591.05728888919</v>
      </c>
      <c r="J24" s="24">
        <f>+I24/I2</f>
        <v>0.1180448002963808</v>
      </c>
      <c r="K24" s="23">
        <f>+K2-K19-K20-K21-K22-K23</f>
        <v>259761.25000000012</v>
      </c>
      <c r="L24" s="24">
        <f>+K24/K2</f>
        <v>0.15126803418305704</v>
      </c>
      <c r="M24" s="23">
        <f>+M2-M19-M20-M21-M22-M23</f>
        <v>0</v>
      </c>
      <c r="N24" s="24" t="e">
        <f>+M24/M2</f>
        <v>#DIV/0!</v>
      </c>
      <c r="O24" s="23">
        <f>+O2-O19-O20-O21-O22-O23</f>
        <v>0</v>
      </c>
      <c r="P24" s="24" t="e">
        <f>+O24/O2</f>
        <v>#DIV/0!</v>
      </c>
      <c r="Q24" s="23">
        <f>+Q2-Q19-Q20-Q21-Q22-Q23</f>
        <v>0</v>
      </c>
      <c r="R24" s="24" t="e">
        <f>+Q24/Q2</f>
        <v>#DIV/0!</v>
      </c>
      <c r="S24" s="23">
        <f>+S2-S19-S20-S21-S22-S23</f>
        <v>0</v>
      </c>
      <c r="T24" s="24" t="e">
        <f>+S24/S2</f>
        <v>#DIV/0!</v>
      </c>
      <c r="U24" s="23">
        <f>+U2-U19-U20-U21-U22-U23</f>
        <v>0</v>
      </c>
      <c r="V24" s="24" t="e">
        <f>+U24/U2</f>
        <v>#DIV/0!</v>
      </c>
      <c r="W24" s="23">
        <f>+W2-W19-W20-W21-W22-W23</f>
        <v>0</v>
      </c>
      <c r="X24" s="24" t="e">
        <f>+W24/W2</f>
        <v>#DIV/0!</v>
      </c>
      <c r="Y24" s="23">
        <f>+Y2-Y19-Y20-Y21-Y22-Y23</f>
        <v>0</v>
      </c>
      <c r="Z24" s="24" t="e">
        <f>+Y24/Y2</f>
        <v>#DIV/0!</v>
      </c>
      <c r="AA24" s="23">
        <f>+AA2-AA19-AA20-AA21-AA22-AA23</f>
        <v>0</v>
      </c>
      <c r="AB24" s="24" t="e">
        <f>+AA24/AA2</f>
        <v>#DIV/0!</v>
      </c>
    </row>
    <row r="25" spans="1:28" ht="24" thickTop="1" x14ac:dyDescent="0.6">
      <c r="C25" s="12"/>
      <c r="D25" s="4"/>
      <c r="F25" s="4"/>
    </row>
    <row r="26" spans="1:28" ht="23.4" x14ac:dyDescent="0.6">
      <c r="C26" s="12"/>
      <c r="D26" s="4"/>
      <c r="F26" s="4"/>
    </row>
    <row r="27" spans="1:28" ht="23.4" x14ac:dyDescent="0.6">
      <c r="C27" s="12"/>
      <c r="D27" s="4"/>
      <c r="F27" s="4"/>
    </row>
    <row r="28" spans="1:28" ht="23.4" x14ac:dyDescent="0.6">
      <c r="C28" s="12"/>
      <c r="D28" s="4"/>
      <c r="F28" s="4"/>
    </row>
    <row r="29" spans="1:28" ht="23.4" x14ac:dyDescent="0.6">
      <c r="C29" s="12"/>
      <c r="D29" s="4"/>
      <c r="F29" s="4"/>
    </row>
  </sheetData>
  <mergeCells count="32">
    <mergeCell ref="U17:V17"/>
    <mergeCell ref="W17:X17"/>
    <mergeCell ref="Y17:Z17"/>
    <mergeCell ref="AA17:AB17"/>
    <mergeCell ref="I17:J17"/>
    <mergeCell ref="K17:L17"/>
    <mergeCell ref="M17:N17"/>
    <mergeCell ref="O17:P17"/>
    <mergeCell ref="Q17:R17"/>
    <mergeCell ref="S17:T17"/>
    <mergeCell ref="U3:V3"/>
    <mergeCell ref="W3:X3"/>
    <mergeCell ref="Y3:Z3"/>
    <mergeCell ref="AA3:AB3"/>
    <mergeCell ref="A17:A18"/>
    <mergeCell ref="B17:B18"/>
    <mergeCell ref="C17:C18"/>
    <mergeCell ref="D17:D18"/>
    <mergeCell ref="E17:F17"/>
    <mergeCell ref="G17:H17"/>
    <mergeCell ref="I3:J3"/>
    <mergeCell ref="K3:L3"/>
    <mergeCell ref="M3:N3"/>
    <mergeCell ref="O3:P3"/>
    <mergeCell ref="Q3:R3"/>
    <mergeCell ref="S3:T3"/>
    <mergeCell ref="G3:H3"/>
    <mergeCell ref="A3:A4"/>
    <mergeCell ref="B3:B4"/>
    <mergeCell ref="C3:C4"/>
    <mergeCell ref="D3:D4"/>
    <mergeCell ref="E3:F3"/>
  </mergeCells>
  <pageMargins left="0.7" right="0.7" top="0.75" bottom="0.75" header="0.3" footer="0.3"/>
  <ignoredErrors>
    <ignoredError sqref="H5:AB10 H11:AB1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เงินเข้า</vt:lpstr>
      <vt:lpstr>ยอดเปิดออเดอร์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2026-05-21T09:23:19Z</dcterms:created>
  <dcterms:modified xsi:type="dcterms:W3CDTF">2026-05-25T07:06:06Z</dcterms:modified>
</cp:coreProperties>
</file>