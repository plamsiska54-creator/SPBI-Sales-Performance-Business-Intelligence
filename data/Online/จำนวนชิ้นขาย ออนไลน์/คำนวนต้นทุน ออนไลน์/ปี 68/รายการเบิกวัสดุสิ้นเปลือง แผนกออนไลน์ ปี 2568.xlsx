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8\"/>
    </mc:Choice>
  </mc:AlternateContent>
  <xr:revisionPtr revIDLastSave="0" documentId="13_ncr:1_{B3DFD515-39C3-492B-A88B-BAFBEDEF538B}" xr6:coauthVersionLast="47" xr6:coauthVersionMax="47" xr10:uidLastSave="{00000000-0000-0000-0000-000000000000}"/>
  <bookViews>
    <workbookView xWindow="-108" yWindow="-108" windowWidth="23256" windowHeight="13896" activeTab="1" xr2:uid="{386DF479-B1BF-415E-A6AA-67E79E90EFEB}"/>
  </bookViews>
  <sheets>
    <sheet name="All" sheetId="2" r:id="rId1"/>
    <sheet name="วัสดุสิ้นเปลือง" sheetId="1" r:id="rId2"/>
  </sheets>
  <definedNames>
    <definedName name="_xlnm._FilterDatabase" localSheetId="1" hidden="1">วัสดุสิ้นเปลือง!$A$3:$AE$24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AE24" i="1"/>
  <c r="K24" i="1"/>
  <c r="O24" i="1" s="1"/>
  <c r="S24" i="1" s="1"/>
  <c r="E24" i="1"/>
  <c r="I24" i="1" s="1"/>
  <c r="M24" i="1" s="1"/>
  <c r="Q24" i="1" s="1"/>
  <c r="U24" i="1" s="1"/>
  <c r="Y24" i="1" s="1"/>
  <c r="AC24" i="1" s="1"/>
  <c r="E23" i="1"/>
  <c r="K23" i="1"/>
  <c r="O23" i="1" s="1"/>
  <c r="S23" i="1" s="1"/>
  <c r="W23" i="1" s="1"/>
  <c r="AA23" i="1" s="1"/>
  <c r="K22" i="1"/>
  <c r="O22" i="1" s="1"/>
  <c r="S22" i="1" s="1"/>
  <c r="W22" i="1" s="1"/>
  <c r="AA22" i="1" s="1"/>
  <c r="AE23" i="1"/>
  <c r="F23" i="1"/>
  <c r="AE22" i="1"/>
  <c r="E22" i="1"/>
  <c r="F22" i="1" s="1"/>
  <c r="AE15" i="1"/>
  <c r="AC15" i="1"/>
  <c r="AA15" i="1"/>
  <c r="Y15" i="1"/>
  <c r="W15" i="1"/>
  <c r="U15" i="1"/>
  <c r="S15" i="1"/>
  <c r="Q15" i="1"/>
  <c r="O15" i="1"/>
  <c r="M15" i="1"/>
  <c r="K15" i="1"/>
  <c r="I15" i="1"/>
  <c r="E15" i="1"/>
  <c r="F15" i="1" s="1"/>
  <c r="W24" i="1" l="1"/>
  <c r="AA24" i="1" s="1"/>
  <c r="F24" i="1"/>
  <c r="I23" i="1"/>
  <c r="M23" i="1" s="1"/>
  <c r="Q23" i="1" s="1"/>
  <c r="U23" i="1" s="1"/>
  <c r="Y23" i="1" s="1"/>
  <c r="AC23" i="1" s="1"/>
  <c r="I22" i="1"/>
  <c r="M22" i="1" s="1"/>
  <c r="Q22" i="1" s="1"/>
  <c r="U22" i="1" s="1"/>
  <c r="Y22" i="1" s="1"/>
  <c r="AC22" i="1" s="1"/>
  <c r="S5" i="1" l="1"/>
  <c r="S6" i="1"/>
  <c r="S7" i="1"/>
  <c r="S8" i="1"/>
  <c r="S9" i="1"/>
  <c r="S10" i="1"/>
  <c r="S11" i="1"/>
  <c r="S12" i="1"/>
  <c r="S13" i="1"/>
  <c r="S14" i="1"/>
  <c r="S16" i="1"/>
  <c r="S17" i="1"/>
  <c r="S18" i="1"/>
  <c r="S19" i="1"/>
  <c r="S20" i="1"/>
  <c r="S21" i="1"/>
  <c r="U4" i="1"/>
  <c r="U5" i="1"/>
  <c r="U6" i="1"/>
  <c r="U7" i="1"/>
  <c r="U8" i="1"/>
  <c r="U9" i="1"/>
  <c r="U10" i="1"/>
  <c r="U11" i="1"/>
  <c r="U12" i="1"/>
  <c r="U13" i="1"/>
  <c r="U14" i="1"/>
  <c r="U16" i="1"/>
  <c r="U17" i="1"/>
  <c r="U18" i="1"/>
  <c r="U19" i="1"/>
  <c r="U20" i="1"/>
  <c r="U21" i="1"/>
  <c r="W5" i="1"/>
  <c r="W6" i="1"/>
  <c r="W7" i="1"/>
  <c r="W8" i="1"/>
  <c r="W9" i="1"/>
  <c r="W10" i="1"/>
  <c r="W11" i="1"/>
  <c r="W12" i="1"/>
  <c r="W13" i="1"/>
  <c r="W14" i="1"/>
  <c r="W16" i="1"/>
  <c r="W17" i="1"/>
  <c r="W18" i="1"/>
  <c r="W19" i="1"/>
  <c r="W20" i="1"/>
  <c r="W21" i="1"/>
  <c r="Y5" i="1"/>
  <c r="Y6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AA5" i="1"/>
  <c r="AA6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C5" i="1"/>
  <c r="AC6" i="1"/>
  <c r="AC7" i="1"/>
  <c r="AC8" i="1"/>
  <c r="AC9" i="1"/>
  <c r="AC10" i="1"/>
  <c r="AC11" i="1"/>
  <c r="AC12" i="1"/>
  <c r="AC13" i="1"/>
  <c r="AC14" i="1"/>
  <c r="AC16" i="1"/>
  <c r="AC17" i="1"/>
  <c r="AC18" i="1"/>
  <c r="AC19" i="1"/>
  <c r="AC20" i="1"/>
  <c r="AC21" i="1"/>
  <c r="AC4" i="1"/>
  <c r="AA4" i="1"/>
  <c r="I5" i="1" l="1"/>
  <c r="I6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4" i="1"/>
  <c r="Y4" i="1"/>
  <c r="X1" i="1"/>
  <c r="C11" i="2" s="1"/>
  <c r="E4" i="1"/>
  <c r="S4" i="1" l="1"/>
  <c r="AE5" i="1"/>
  <c r="Q5" i="1"/>
  <c r="O5" i="1"/>
  <c r="M5" i="1"/>
  <c r="K5" i="1"/>
  <c r="E5" i="1"/>
  <c r="F5" i="1" s="1"/>
  <c r="M20" i="1"/>
  <c r="AE17" i="1"/>
  <c r="Q17" i="1"/>
  <c r="O17" i="1"/>
  <c r="M17" i="1"/>
  <c r="K17" i="1"/>
  <c r="E17" i="1"/>
  <c r="F17" i="1" s="1"/>
  <c r="E18" i="1"/>
  <c r="F18" i="1" s="1"/>
  <c r="K18" i="1"/>
  <c r="M18" i="1"/>
  <c r="O18" i="1"/>
  <c r="Q18" i="1"/>
  <c r="AE18" i="1"/>
  <c r="AE13" i="1"/>
  <c r="Q13" i="1"/>
  <c r="O13" i="1"/>
  <c r="M13" i="1"/>
  <c r="K13" i="1"/>
  <c r="E13" i="1"/>
  <c r="F13" i="1" s="1"/>
  <c r="K6" i="1"/>
  <c r="K7" i="1"/>
  <c r="K8" i="1"/>
  <c r="K9" i="1"/>
  <c r="K10" i="1"/>
  <c r="K11" i="1"/>
  <c r="K12" i="1"/>
  <c r="K14" i="1"/>
  <c r="K16" i="1"/>
  <c r="K19" i="1"/>
  <c r="K20" i="1"/>
  <c r="K4" i="1"/>
  <c r="M6" i="1"/>
  <c r="M7" i="1"/>
  <c r="M8" i="1"/>
  <c r="M9" i="1"/>
  <c r="M10" i="1"/>
  <c r="M11" i="1"/>
  <c r="M12" i="1"/>
  <c r="M14" i="1"/>
  <c r="M16" i="1"/>
  <c r="M19" i="1"/>
  <c r="M21" i="1"/>
  <c r="M4" i="1"/>
  <c r="E21" i="1"/>
  <c r="F21" i="1" s="1"/>
  <c r="K21" i="1"/>
  <c r="O21" i="1"/>
  <c r="Q21" i="1"/>
  <c r="AE21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4" i="1"/>
  <c r="F14" i="1" s="1"/>
  <c r="E16" i="1"/>
  <c r="F16" i="1" s="1"/>
  <c r="E19" i="1"/>
  <c r="F19" i="1" s="1"/>
  <c r="E20" i="1"/>
  <c r="F20" i="1" s="1"/>
  <c r="F4" i="1"/>
  <c r="AE6" i="1"/>
  <c r="AE7" i="1"/>
  <c r="AE8" i="1"/>
  <c r="AE9" i="1"/>
  <c r="AE10" i="1"/>
  <c r="AE11" i="1"/>
  <c r="AE12" i="1"/>
  <c r="AE14" i="1"/>
  <c r="AE16" i="1"/>
  <c r="AE19" i="1"/>
  <c r="AE20" i="1"/>
  <c r="AE4" i="1"/>
  <c r="W4" i="1"/>
  <c r="Q6" i="1"/>
  <c r="Q7" i="1"/>
  <c r="Q8" i="1"/>
  <c r="Q9" i="1"/>
  <c r="Q10" i="1"/>
  <c r="Q11" i="1"/>
  <c r="Q12" i="1"/>
  <c r="Q14" i="1"/>
  <c r="Q16" i="1"/>
  <c r="Q19" i="1"/>
  <c r="Q20" i="1"/>
  <c r="Q4" i="1"/>
  <c r="O6" i="1"/>
  <c r="O7" i="1"/>
  <c r="O8" i="1"/>
  <c r="O9" i="1"/>
  <c r="O10" i="1"/>
  <c r="O11" i="1"/>
  <c r="O12" i="1"/>
  <c r="O14" i="1"/>
  <c r="O16" i="1"/>
  <c r="O19" i="1"/>
  <c r="O20" i="1"/>
  <c r="O4" i="1"/>
  <c r="N1" i="1"/>
  <c r="C6" i="2" s="1"/>
  <c r="L1" i="1"/>
  <c r="C5" i="2" s="1"/>
  <c r="J1" i="1"/>
  <c r="C4" i="2" s="1"/>
  <c r="H1" i="1"/>
  <c r="C3" i="2" s="1"/>
  <c r="V1" i="1"/>
  <c r="C10" i="2" s="1"/>
  <c r="T1" i="1"/>
  <c r="C9" i="2" s="1"/>
  <c r="R1" i="1"/>
  <c r="C8" i="2" s="1"/>
  <c r="P1" i="1"/>
  <c r="C7" i="2" s="1"/>
  <c r="Z1" i="1"/>
  <c r="AB1" i="1"/>
  <c r="C13" i="2" s="1"/>
  <c r="C15" i="2" l="1"/>
  <c r="I1" i="1"/>
  <c r="D3" i="2" s="1"/>
  <c r="K1" i="1"/>
  <c r="D4" i="2" s="1"/>
  <c r="O1" i="1" l="1"/>
  <c r="D6" i="2" s="1"/>
  <c r="F1" i="1"/>
  <c r="E1" i="1"/>
  <c r="AD1" i="1"/>
  <c r="Q1" i="1" l="1"/>
  <c r="D7" i="2" s="1"/>
  <c r="S1" i="1" l="1"/>
  <c r="D8" i="2" s="1"/>
  <c r="U1" i="1" l="1"/>
  <c r="D9" i="2" s="1"/>
  <c r="W1" i="1" l="1"/>
  <c r="D10" i="2" s="1"/>
  <c r="Y1" i="1" l="1"/>
  <c r="D11" i="2" s="1"/>
  <c r="AA1" i="1" l="1"/>
  <c r="AE1" i="1" l="1"/>
  <c r="AC1" i="1"/>
  <c r="D13" i="2" s="1"/>
  <c r="M1" i="1" l="1"/>
  <c r="D5" i="2" s="1"/>
  <c r="D15" i="2" s="1"/>
</calcChain>
</file>

<file path=xl/sharedStrings.xml><?xml version="1.0" encoding="utf-8"?>
<sst xmlns="http://schemas.openxmlformats.org/spreadsheetml/2006/main" count="113" uniqueCount="70">
  <si>
    <t>รหัสสินค้า</t>
  </si>
  <si>
    <t>02-BB111</t>
  </si>
  <si>
    <t>02-BB116</t>
  </si>
  <si>
    <t>02-BB117</t>
  </si>
  <si>
    <t>02-BB28</t>
  </si>
  <si>
    <t>02-BB31</t>
  </si>
  <si>
    <t>02-BB32</t>
  </si>
  <si>
    <t>02-BB33</t>
  </si>
  <si>
    <t>02-BB64</t>
  </si>
  <si>
    <t>02-BB74</t>
  </si>
  <si>
    <t>5-C-907</t>
  </si>
  <si>
    <t>DS</t>
  </si>
  <si>
    <t>ยอดเบิก</t>
  </si>
  <si>
    <t>หน่วย</t>
  </si>
  <si>
    <t>แผ่นรองขนมปังปอนค์ ขนาด113x113:247cm(กล่องใน)</t>
  </si>
  <si>
    <t>กล่อง Carton 52*52*36 ใส่ซิฟฟ้อน+ปังแถว</t>
  </si>
  <si>
    <t>กล่อง CARTON ทรง B</t>
  </si>
  <si>
    <t>กล่อง CARTON ทรงสูง</t>
  </si>
  <si>
    <t>กล่อง CARTON ทรงเตี้ย</t>
  </si>
  <si>
    <t>กล่อง CARTON ทรงยาว</t>
  </si>
  <si>
    <t>กล่อง L (L)</t>
  </si>
  <si>
    <t>กล่องไปษณีย์ (F)</t>
  </si>
  <si>
    <t>ชื่อสินค้า</t>
  </si>
  <si>
    <t>เป็นเงิน</t>
  </si>
  <si>
    <t>ราคาต้นทุน</t>
  </si>
  <si>
    <t>Total</t>
  </si>
  <si>
    <t>ใบ</t>
  </si>
  <si>
    <t>กล่อง Carton 25*50*28 ใส่ชิฟฟ้อน 20</t>
  </si>
  <si>
    <t>5-C-817</t>
  </si>
  <si>
    <t>5-C-541</t>
  </si>
  <si>
    <t>5-S-015</t>
  </si>
  <si>
    <t>ม้วน</t>
  </si>
  <si>
    <t>สติ๊กเกอร์ลาเบล 100*100*500 mm.</t>
  </si>
  <si>
    <t>สติ๊กเกอร์ลาเบล 100*150*500 mm.</t>
  </si>
  <si>
    <t>สติ๊กเกอร์ลาเบล 90*50*500 mm.</t>
  </si>
  <si>
    <t>รายการเบิกวัสดุสิ้นเปลือง แผนกออนไลน์ ปี 2568</t>
  </si>
  <si>
    <t>5-SC-029</t>
  </si>
  <si>
    <t>สติ๊กเกอร์วันที่ผลิต แถวละ 10 ม้วน</t>
  </si>
  <si>
    <t>1021401005-1</t>
  </si>
  <si>
    <t>กล่องลูกฟูกไซร์ D</t>
  </si>
  <si>
    <t>พลาสติกกันกระแทกขนาด Air Bubber</t>
  </si>
  <si>
    <t>พลาสติกกันกระแทกขนาด 32.5 CM (ตัดเอง)</t>
  </si>
  <si>
    <t>กล่องขนมปังปอนด์ ขนาด 240x262x260 Cm.</t>
  </si>
  <si>
    <t>02-BB110</t>
  </si>
  <si>
    <t>5-C-027-1</t>
  </si>
  <si>
    <t>สรุปยอดเบิกวัสดุสิ้นเปลือง แผนกออนไลน์ ปี2568</t>
  </si>
  <si>
    <t>ลำดับ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</si>
  <si>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</si>
  <si>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</si>
  <si>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</si>
  <si>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</si>
  <si>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</si>
  <si>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</si>
  <si>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</si>
  <si>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</si>
  <si>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</si>
  <si>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</si>
  <si>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</si>
  <si>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</si>
  <si>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</si>
  <si>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จำนวนชิ้น</t>
  </si>
  <si>
    <t>ยอด</t>
  </si>
  <si>
    <t>บาท</t>
  </si>
  <si>
    <t>ยอดรวม</t>
  </si>
  <si>
    <t>หมายเหตุ</t>
  </si>
  <si>
    <t>กล่องลัง เบอร์ 3</t>
  </si>
  <si>
    <t>สติ๊กเกอร์ลาเบล 40*60*700 mm. แบบกระดาษ (เครื่องชั่ง)</t>
  </si>
  <si>
    <t>สติ๊กเกอร์ลาเบล 40*60*700 mm. แบบกันน้ำ (ลังละ 50 ม้วน)</t>
  </si>
  <si>
    <t>02-TAPE2-C</t>
  </si>
  <si>
    <t>เทปใส OPP 2"x1000 หลา ลังละ 6 ม้วน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</si>
</sst>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0"/>
      <color theme="1"/>
      <name val="Angsana New"/>
      <family val="1"/>
    </font>
    <font>
      <b/>
      <sz val="20"/>
      <color theme="1" tint="4.9989318521683403E-2"/>
      <name val="Angsana New"/>
      <family val="1"/>
    </font>
    <font>
      <b/>
      <sz val="18"/>
      <color theme="1" tint="4.9989318521683403E-2"/>
      <name val="Angsana New"/>
      <family val="1"/>
    </font>
    <font>
      <sz val="16"/>
      <color theme="1" tint="4.9989318521683403E-2"/>
      <name val="Angsana New"/>
      <family val="1"/>
    </font>
    <font>
      <b/>
      <sz val="20"/>
      <color rgb="FF0000CC"/>
      <name val="Angsana New"/>
      <family val="1"/>
    </font>
    <font>
      <b/>
      <sz val="18"/>
      <color rgb="FF0000CC"/>
      <name val="Angsana New"/>
      <family val="1"/>
    </font>
    <font>
      <sz val="16"/>
      <color rgb="FF0000CC"/>
      <name val="Angsana New"/>
      <family val="1"/>
    </font>
    <font>
      <b/>
      <sz val="20"/>
      <color rgb="FFFF0000"/>
      <name val="Angsana New"/>
      <family val="1"/>
    </font>
    <font>
      <b/>
      <sz val="18"/>
      <color rgb="FFFF0000"/>
      <name val="Angsana New"/>
      <family val="1"/>
    </font>
    <font>
      <sz val="16"/>
      <color rgb="FFFF0000"/>
      <name val="Angsana New"/>
      <family val="1"/>
    </font>
    <font>
      <b/>
      <sz val="16"/>
      <color theme="1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87" fontId="6" fillId="0" borderId="1" xfId="1" applyNumberFormat="1" applyFont="1" applyBorder="1" applyAlignment="1">
      <alignment vertical="center"/>
    </xf>
    <xf numFmtId="187" fontId="7" fillId="2" borderId="0" xfId="1" applyNumberFormat="1" applyFont="1" applyFill="1" applyAlignment="1">
      <alignment vertical="center"/>
    </xf>
    <xf numFmtId="187" fontId="8" fillId="0" borderId="0" xfId="1" applyNumberFormat="1" applyFont="1"/>
    <xf numFmtId="43" fontId="9" fillId="0" borderId="1" xfId="1" applyFont="1" applyBorder="1" applyAlignment="1">
      <alignment vertical="center"/>
    </xf>
    <xf numFmtId="43" fontId="10" fillId="2" borderId="0" xfId="1" applyFont="1" applyFill="1" applyAlignment="1">
      <alignment vertical="center"/>
    </xf>
    <xf numFmtId="43" fontId="11" fillId="0" borderId="0" xfId="1" applyFont="1"/>
    <xf numFmtId="43" fontId="12" fillId="0" borderId="0" xfId="1" applyFont="1" applyAlignment="1">
      <alignment vertical="center"/>
    </xf>
    <xf numFmtId="43" fontId="14" fillId="0" borderId="0" xfId="1" applyFont="1"/>
    <xf numFmtId="0" fontId="4" fillId="0" borderId="0" xfId="0" applyFont="1" applyAlignment="1">
      <alignment horizontal="center"/>
    </xf>
    <xf numFmtId="0" fontId="5" fillId="0" borderId="0" xfId="0" applyFont="1"/>
    <xf numFmtId="187" fontId="3" fillId="0" borderId="0" xfId="1" applyNumberFormat="1" applyFont="1" applyAlignment="1">
      <alignment horizontal="center"/>
    </xf>
    <xf numFmtId="43" fontId="3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187" fontId="15" fillId="0" borderId="1" xfId="0" applyNumberFormat="1" applyFont="1" applyBorder="1"/>
    <xf numFmtId="0" fontId="15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17" fontId="5" fillId="2" borderId="0" xfId="1" applyNumberFormat="1" applyFont="1" applyFill="1" applyAlignment="1">
      <alignment horizontal="center" vertical="center"/>
    </xf>
    <xf numFmtId="0" fontId="5" fillId="2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3" fontId="13" fillId="2" borderId="0" xfId="1" applyFont="1" applyFill="1" applyAlignment="1">
      <alignment horizontal="center" vertical="center"/>
    </xf>
    <xf numFmtId="43" fontId="4" fillId="2" borderId="0" xfId="1" applyFont="1" applyFill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400" b="1"/>
              <a:t>สรุปยอดเบิกวัสดุสิ้นเปลือง แผนกออนไลน์ ปี2568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2596512480474353"/>
          <c:y val="0.13448757913303733"/>
          <c:w val="0.85154274743997083"/>
          <c:h val="0.52538285261259232"/>
        </c:manualLayout>
      </c:layout>
      <c:lineChart>
        <c:grouping val="standard"/>
        <c:varyColors val="0"/>
        <c:ser>
          <c:idx val="0"/>
          <c:order val="0"/>
          <c:tx>
            <c:strRef>
              <c:f>All!$C$1:$C$2</c:f>
              <c:strCache>
                <c:ptCount val="2"/>
                <c:pt idx="0">
                  <c:v>สรุปยอดเบิกวัสดุสิ้นเปลือง แผนกออนไลน์ ปี2568</c:v>
                </c:pt>
                <c:pt idx="1">
                  <c:v>จำนวนชิ้น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All!$A$3:$B$15</c15:sqref>
                  </c15:fullRef>
                  <c15:levelRef>
                    <c15:sqref>All!$B$3:$B$15</c15:sqref>
                  </c15:levelRef>
                </c:ext>
              </c:extLst>
              <c:f>All!$B$3:$B$15</c:f>
              <c:strCache>
                <c:ptCount val="13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f>All!$C$3:$C$15</c:f>
              <c:numCache>
                <c:formatCode>_-* #,##0_-;\-* #,##0_-;_-* "-"??_-;_-@_-</c:formatCode>
                <c:ptCount val="13"/>
                <c:pt idx="0">
                  <c:v>22206</c:v>
                </c:pt>
                <c:pt idx="1">
                  <c:v>2536</c:v>
                </c:pt>
                <c:pt idx="2">
                  <c:v>5979</c:v>
                </c:pt>
                <c:pt idx="3">
                  <c:v>12994</c:v>
                </c:pt>
                <c:pt idx="4">
                  <c:v>12211</c:v>
                </c:pt>
                <c:pt idx="5">
                  <c:v>11840</c:v>
                </c:pt>
                <c:pt idx="6">
                  <c:v>7093</c:v>
                </c:pt>
                <c:pt idx="7">
                  <c:v>8148</c:v>
                </c:pt>
                <c:pt idx="8">
                  <c:v>11127</c:v>
                </c:pt>
                <c:pt idx="9">
                  <c:v>55523.199999999997</c:v>
                </c:pt>
                <c:pt idx="10">
                  <c:v>9597</c:v>
                </c:pt>
                <c:pt idx="11">
                  <c:v>26038</c:v>
                </c:pt>
                <c:pt idx="12">
                  <c:v>185292.2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D-4020-895C-08E0E9100E2F}"/>
            </c:ext>
          </c:extLst>
        </c:ser>
        <c:ser>
          <c:idx val="1"/>
          <c:order val="1"/>
          <c:tx>
            <c:strRef>
              <c:f>All!$D$1:$D$2</c:f>
              <c:strCache>
                <c:ptCount val="2"/>
                <c:pt idx="0">
                  <c:v>สรุปยอดเบิกวัสดุสิ้นเปลือง แผนกออนไลน์ ปี2568</c:v>
                </c:pt>
                <c:pt idx="1">
                  <c:v>ยอด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All!$A$3:$B$15</c15:sqref>
                  </c15:fullRef>
                  <c15:levelRef>
                    <c15:sqref>All!$B$3:$B$15</c15:sqref>
                  </c15:levelRef>
                </c:ext>
              </c:extLst>
              <c:f>All!$B$3:$B$15</c:f>
              <c:strCache>
                <c:ptCount val="13"/>
                <c:pt idx="0">
                  <c:v>มกราคม</c:v>
                </c:pt>
                <c:pt idx="1">
                  <c:v>กุมภาพันธ์</c:v>
                </c:pt>
                <c:pt idx="2">
                  <c:v>มีนาคม</c:v>
                </c:pt>
                <c:pt idx="3">
                  <c:v>เมษายน</c:v>
                </c:pt>
                <c:pt idx="4">
                  <c:v>พฤษภาคม</c:v>
                </c:pt>
                <c:pt idx="5">
                  <c:v>มิถุนายน</c:v>
                </c:pt>
                <c:pt idx="6">
                  <c:v>กรกฎาคม</c:v>
                </c:pt>
                <c:pt idx="7">
                  <c:v>สิงหาคม</c:v>
                </c:pt>
                <c:pt idx="8">
                  <c:v>กันยายน</c:v>
                </c:pt>
                <c:pt idx="9">
                  <c:v>ตุลาคม</c:v>
                </c:pt>
                <c:pt idx="10">
                  <c:v>พฤศจิกายน</c:v>
                </c:pt>
                <c:pt idx="11">
                  <c:v>ธันวาคม</c:v>
                </c:pt>
              </c:strCache>
            </c:strRef>
          </c:cat>
          <c:val>
            <c:numRef>
              <c:f>All!$D$3:$D$15</c:f>
              <c:numCache>
                <c:formatCode>_(* #,##0.00_);_(* \(#,##0.00\);_(* "-"??_);_(@_)</c:formatCode>
                <c:ptCount val="13"/>
                <c:pt idx="0">
                  <c:v>125870.56</c:v>
                </c:pt>
                <c:pt idx="1">
                  <c:v>25148</c:v>
                </c:pt>
                <c:pt idx="2">
                  <c:v>48992.86</c:v>
                </c:pt>
                <c:pt idx="3">
                  <c:v>79665.66</c:v>
                </c:pt>
                <c:pt idx="4">
                  <c:v>68258.039999999994</c:v>
                </c:pt>
                <c:pt idx="5">
                  <c:v>70083.840000000011</c:v>
                </c:pt>
                <c:pt idx="6">
                  <c:v>45399.9</c:v>
                </c:pt>
                <c:pt idx="7">
                  <c:v>52353.64</c:v>
                </c:pt>
                <c:pt idx="8">
                  <c:v>73574.38</c:v>
                </c:pt>
                <c:pt idx="9">
                  <c:v>11051.88</c:v>
                </c:pt>
                <c:pt idx="10">
                  <c:v>78809.66</c:v>
                </c:pt>
                <c:pt idx="11">
                  <c:v>176333.19</c:v>
                </c:pt>
                <c:pt idx="12" formatCode="_-* #,##0_-;\-* #,##0_-;_-* &quot;-&quot;??_-;_-@_-">
                  <c:v>855541.6100000001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D-4020-895C-08E0E9100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810911"/>
        <c:axId val="20218075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All!$E$1:$E$2</c15:sqref>
                        </c15:formulaRef>
                      </c:ext>
                    </c:extLst>
                    <c:strCache>
                      <c:ptCount val="2"/>
                      <c:pt idx="0">
                        <c:v>สรุปยอดเบิกวัสดุสิ้นเปลือง แผนกออนไลน์ ปี2568</c:v>
                      </c:pt>
                      <c:pt idx="1">
                        <c:v>หมายเหตุ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All!$A$3:$B$15</c15:sqref>
                        </c15:fullRef>
                        <c15:levelRef>
                          <c15:sqref>All!$B$3:$B$15</c15:sqref>
                        </c15:levelRef>
                        <c15:formulaRef>
                          <c15:sqref>All!$B$3:$B$15</c15:sqref>
                        </c15:formulaRef>
                      </c:ext>
                    </c:extLst>
                    <c:strCache>
                      <c:ptCount val="13"/>
                      <c:pt idx="0">
                        <c:v>มกราคม</c:v>
                      </c:pt>
                      <c:pt idx="1">
                        <c:v>กุมภาพันธ์</c:v>
                      </c:pt>
                      <c:pt idx="2">
                        <c:v>มีนาคม</c:v>
                      </c:pt>
                      <c:pt idx="3">
                        <c:v>เมษายน</c:v>
                      </c:pt>
                      <c:pt idx="4">
                        <c:v>พฤษภาคม</c:v>
                      </c:pt>
                      <c:pt idx="5">
                        <c:v>มิถุนายน</c:v>
                      </c:pt>
                      <c:pt idx="6">
                        <c:v>กรกฎาคม</c:v>
                      </c:pt>
                      <c:pt idx="7">
                        <c:v>สิงหาคม</c:v>
                      </c:pt>
                      <c:pt idx="8">
                        <c:v>กันยายน</c:v>
                      </c:pt>
                      <c:pt idx="9">
                        <c:v>ตุลาคม</c:v>
                      </c:pt>
                      <c:pt idx="10">
                        <c:v>พฤศจิกายน</c:v>
                      </c:pt>
                      <c:pt idx="11">
                        <c:v>ธันวาคม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All!$E$3:$E$15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1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98D-4020-895C-08E0E9100E2F}"/>
                  </c:ext>
                </c:extLst>
              </c15:ser>
            </c15:filteredLineSeries>
          </c:ext>
        </c:extLst>
      </c:lineChart>
      <c:catAx>
        <c:axId val="202181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2021807551"/>
        <c:crosses val="autoZero"/>
        <c:auto val="1"/>
        <c:lblAlgn val="ctr"/>
        <c:lblOffset val="100"/>
        <c:noMultiLvlLbl val="0"/>
      </c:catAx>
      <c:valAx>
        <c:axId val="202180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202181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>
              <a:lumMod val="95000"/>
              <a:lumOff val="5000"/>
            </a:schemeClr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0</xdr:row>
      <xdr:rowOff>342900</xdr:rowOff>
    </xdr:from>
    <xdr:to>
      <xdr:col>13</xdr:col>
      <xdr:colOff>518160</xdr:colOff>
      <xdr:row>15</xdr:row>
      <xdr:rowOff>34290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44D813B-0275-7239-894A-BC1AA872B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9C4F-C2BD-417E-8D24-E84B9670A249}">
  <sheetPr>
    <tabColor rgb="FF0000CC"/>
  </sheetPr>
  <dimension ref="A1:E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RowHeight="23.4" x14ac:dyDescent="0.6"/>
  <cols>
    <col min="1" max="2" width="8.796875" style="1"/>
    <col min="3" max="3" width="10.296875" style="1" bestFit="1" customWidth="1"/>
    <col min="4" max="4" width="11.296875" style="1" bestFit="1" customWidth="1"/>
    <col min="5" max="5" width="17.5" style="1" customWidth="1"/>
    <col min="6" max="16384" width="8.796875" style="1"/>
  </cols>
  <sheetData>
    <row r="1" spans="1:5" s="14" customFormat="1" ht="28.8" x14ac:dyDescent="0.75">
      <c r="A1" s="14" t="s">
        <v>45</v>
      </c>
    </row>
    <row r="2" spans="1:5" s="13" customFormat="1" ht="26.4" x14ac:dyDescent="0.7">
      <c r="A2" s="17" t="s">
        <v>46</v>
      </c>
      <c r="B2" s="17" t="s">
        <v>47</v>
      </c>
      <c r="C2" s="17" t="s">
        <v>60</v>
      </c>
      <c r="D2" s="17" t="s">
        <v>61</v>
      </c>
      <c r="E2" s="17" t="s">
        <v>64</v>
      </c>
    </row>
    <row r="3" spans="1:5" x14ac:dyDescent="0.6">
      <c r="A3" s="4">
        <v>1</v>
      </c>
      <c r="B3" s="4" t="s">
        <v>48</v>
      </c>
      <c r="C3" s="15">
        <f>+วัสดุสิ้นเปลือง!H1</f>
        <v>22206</v>
      </c>
      <c r="D3" s="16">
        <f>+วัสดุสิ้นเปลือง!I1</f>
        <v>125870.56</v>
      </c>
    </row>
    <row r="4" spans="1:5" x14ac:dyDescent="0.6">
      <c r="A4" s="4">
        <v>2</v>
      </c>
      <c r="B4" s="4" t="s">
        <v>49</v>
      </c>
      <c r="C4" s="15">
        <f>+วัสดุสิ้นเปลือง!J1</f>
        <v>2536</v>
      </c>
      <c r="D4" s="16">
        <f>+วัสดุสิ้นเปลือง!K1</f>
        <v>25148</v>
      </c>
    </row>
    <row r="5" spans="1:5" x14ac:dyDescent="0.6">
      <c r="A5" s="4">
        <v>3</v>
      </c>
      <c r="B5" s="4" t="s">
        <v>50</v>
      </c>
      <c r="C5" s="15">
        <f>+วัสดุสิ้นเปลือง!L1</f>
        <v>5979</v>
      </c>
      <c r="D5" s="16">
        <f>+วัสดุสิ้นเปลือง!M1</f>
        <v>48992.86</v>
      </c>
    </row>
    <row r="6" spans="1:5" x14ac:dyDescent="0.6">
      <c r="A6" s="4">
        <v>4</v>
      </c>
      <c r="B6" s="4" t="s">
        <v>51</v>
      </c>
      <c r="C6" s="15">
        <f>+วัสดุสิ้นเปลือง!N1</f>
        <v>12994</v>
      </c>
      <c r="D6" s="16">
        <f>+วัสดุสิ้นเปลือง!O1</f>
        <v>79665.66</v>
      </c>
    </row>
    <row r="7" spans="1:5" x14ac:dyDescent="0.6">
      <c r="A7" s="4">
        <v>5</v>
      </c>
      <c r="B7" s="4" t="s">
        <v>52</v>
      </c>
      <c r="C7" s="15">
        <f>+วัสดุสิ้นเปลือง!P1</f>
        <v>12211</v>
      </c>
      <c r="D7" s="16">
        <f>+วัสดุสิ้นเปลือง!Q1</f>
        <v>68258.039999999994</v>
      </c>
    </row>
    <row r="8" spans="1:5" x14ac:dyDescent="0.6">
      <c r="A8" s="4">
        <v>6</v>
      </c>
      <c r="B8" s="4" t="s">
        <v>53</v>
      </c>
      <c r="C8" s="15">
        <f>+วัสดุสิ้นเปลือง!R1</f>
        <v>11840</v>
      </c>
      <c r="D8" s="16">
        <f>+วัสดุสิ้นเปลือง!S1</f>
        <v>70083.840000000011</v>
      </c>
    </row>
    <row r="9" spans="1:5" x14ac:dyDescent="0.6">
      <c r="A9" s="4">
        <v>7</v>
      </c>
      <c r="B9" s="4" t="s">
        <v>54</v>
      </c>
      <c r="C9" s="15">
        <f>+วัสดุสิ้นเปลือง!T1</f>
        <v>7093</v>
      </c>
      <c r="D9" s="16">
        <f>+วัสดุสิ้นเปลือง!U1</f>
        <v>45399.9</v>
      </c>
    </row>
    <row r="10" spans="1:5" x14ac:dyDescent="0.6">
      <c r="A10" s="4">
        <v>8</v>
      </c>
      <c r="B10" s="4" t="s">
        <v>55</v>
      </c>
      <c r="C10" s="15">
        <f>+วัสดุสิ้นเปลือง!V1</f>
        <v>8148</v>
      </c>
      <c r="D10" s="16">
        <f>+วัสดุสิ้นเปลือง!W1</f>
        <v>52353.64</v>
      </c>
    </row>
    <row r="11" spans="1:5" x14ac:dyDescent="0.6">
      <c r="A11" s="4">
        <v>9</v>
      </c>
      <c r="B11" s="4" t="s">
        <v>56</v>
      </c>
      <c r="C11" s="15">
        <f>+วัสดุสิ้นเปลือง!X1</f>
        <v>11127</v>
      </c>
      <c r="D11" s="16">
        <f>+วัสดุสิ้นเปลือง!Y1</f>
        <v>73574.38</v>
      </c>
    </row>
    <row r="12" spans="1:5" x14ac:dyDescent="0.6">
      <c r="A12" s="4">
        <v>10</v>
      </c>
      <c r="B12" s="4" t="s">
        <v>57</v>
      </c>
      <c r="C12" s="15">
        <v>55523.199999999997</v>
      </c>
      <c r="D12" s="16">
        <v>11051.88</v>
      </c>
    </row>
    <row r="13" spans="1:5" x14ac:dyDescent="0.6">
      <c r="A13" s="4">
        <v>11</v>
      </c>
      <c r="B13" s="4" t="s">
        <v>58</v>
      </c>
      <c r="C13" s="15">
        <f>+วัสดุสิ้นเปลือง!AB1</f>
        <v>9597</v>
      </c>
      <c r="D13" s="16">
        <f>+วัสดุสิ้นเปลือง!AC1</f>
        <v>78809.66</v>
      </c>
    </row>
    <row r="14" spans="1:5" x14ac:dyDescent="0.6">
      <c r="A14" s="4">
        <v>12</v>
      </c>
      <c r="B14" s="4" t="s">
        <v>59</v>
      </c>
      <c r="C14" s="15">
        <f>+วัสดุสิ้นเปลือง!AD1</f>
        <v>26038</v>
      </c>
      <c r="D14" s="16">
        <f>+วัสดุสิ้นเปลือง!AE1</f>
        <v>176333.19</v>
      </c>
    </row>
    <row r="15" spans="1:5" ht="24" thickBot="1" x14ac:dyDescent="0.65">
      <c r="A15" s="22" t="s">
        <v>63</v>
      </c>
      <c r="B15" s="22"/>
      <c r="C15" s="18">
        <f>SUM(C3:C14)</f>
        <v>185292.2</v>
      </c>
      <c r="D15" s="18">
        <f>SUM(D3:D14)</f>
        <v>855541.6100000001</v>
      </c>
      <c r="E15" s="19" t="s">
        <v>62</v>
      </c>
    </row>
    <row r="16" spans="1:5" ht="24" thickTop="1" x14ac:dyDescent="0.6"/>
  </sheetData>
  <mergeCells count="1">
    <mergeCell ref="A15:B1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F9D2-3C84-4A26-AE03-CCE182EC5685}">
  <sheetPr>
    <tabColor rgb="FF92D050"/>
  </sheetPr>
  <dimension ref="A1:AE24"/>
  <sheetViews>
    <sheetView tabSelected="1" zoomScale="70" zoomScaleNormal="7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J16" sqref="J16"/>
    </sheetView>
  </sheetViews>
  <sheetFormatPr defaultColWidth="8.69921875" defaultRowHeight="23.4" x14ac:dyDescent="0.6"/>
  <cols>
    <col min="1" max="1" width="9.8984375" style="21" bestFit="1" customWidth="1"/>
    <col min="2" max="2" width="41.69921875" style="1" bestFit="1" customWidth="1"/>
    <col min="3" max="4" width="8.69921875" style="1" customWidth="1"/>
    <col min="5" max="5" width="11" style="7" customWidth="1"/>
    <col min="6" max="6" width="14.09765625" style="10" customWidth="1"/>
    <col min="7" max="7" width="10.19921875" style="12" customWidth="1"/>
    <col min="8" max="8" width="11" style="7" customWidth="1"/>
    <col min="9" max="9" width="14.09765625" style="10" customWidth="1"/>
    <col min="10" max="10" width="8.8984375" style="7" customWidth="1"/>
    <col min="11" max="11" width="12.69921875" style="10" customWidth="1"/>
    <col min="12" max="12" width="11" style="7" customWidth="1"/>
    <col min="13" max="13" width="12.69921875" style="10" customWidth="1"/>
    <col min="14" max="14" width="8.8984375" style="7" customWidth="1"/>
    <col min="15" max="15" width="12.09765625" style="10" customWidth="1"/>
    <col min="16" max="16" width="11" style="7" customWidth="1"/>
    <col min="17" max="17" width="12.09765625" style="10" customWidth="1"/>
    <col min="18" max="18" width="8.8984375" style="7" customWidth="1"/>
    <col min="19" max="19" width="12.09765625" style="10" customWidth="1"/>
    <col min="20" max="20" width="11" style="7" customWidth="1"/>
    <col min="21" max="21" width="12.09765625" style="10" customWidth="1"/>
    <col min="22" max="22" width="8.8984375" style="7" customWidth="1"/>
    <col min="23" max="23" width="12.09765625" style="10" customWidth="1"/>
    <col min="24" max="24" width="11" style="7" customWidth="1"/>
    <col min="25" max="25" width="12.69921875" style="10" customWidth="1"/>
    <col min="26" max="26" width="8.8984375" style="7" customWidth="1"/>
    <col min="27" max="27" width="12.69921875" style="10" customWidth="1"/>
    <col min="28" max="28" width="11" style="7" customWidth="1"/>
    <col min="29" max="29" width="12.09765625" style="10" customWidth="1"/>
    <col min="30" max="30" width="8.8984375" style="7" bestFit="1" customWidth="1"/>
    <col min="31" max="31" width="12.69921875" style="10" bestFit="1" customWidth="1"/>
    <col min="32" max="16384" width="8.69921875" style="1"/>
  </cols>
  <sheetData>
    <row r="1" spans="1:31" s="2" customFormat="1" ht="29.4" thickBot="1" x14ac:dyDescent="0.3">
      <c r="A1" s="20" t="s">
        <v>35</v>
      </c>
      <c r="E1" s="5">
        <f>SUBTOTAL(9,E4:E1048576)</f>
        <v>140238</v>
      </c>
      <c r="F1" s="8">
        <f>SUBTOTAL(9,F4:F1048576)</f>
        <v>911104.81</v>
      </c>
      <c r="G1" s="11"/>
      <c r="H1" s="5">
        <f t="shared" ref="H1:AE1" si="0">SUBTOTAL(9,H4:H1048576)</f>
        <v>22206</v>
      </c>
      <c r="I1" s="8">
        <f t="shared" si="0"/>
        <v>125870.56</v>
      </c>
      <c r="J1" s="5">
        <f t="shared" si="0"/>
        <v>2536</v>
      </c>
      <c r="K1" s="8">
        <f t="shared" si="0"/>
        <v>25148</v>
      </c>
      <c r="L1" s="5">
        <f t="shared" si="0"/>
        <v>5979</v>
      </c>
      <c r="M1" s="8">
        <f t="shared" si="0"/>
        <v>48992.86</v>
      </c>
      <c r="N1" s="5">
        <f t="shared" si="0"/>
        <v>12994</v>
      </c>
      <c r="O1" s="8">
        <f t="shared" si="0"/>
        <v>79665.66</v>
      </c>
      <c r="P1" s="5">
        <f t="shared" si="0"/>
        <v>12211</v>
      </c>
      <c r="Q1" s="8">
        <f t="shared" si="0"/>
        <v>68258.039999999994</v>
      </c>
      <c r="R1" s="5">
        <f t="shared" si="0"/>
        <v>11840</v>
      </c>
      <c r="S1" s="8">
        <f t="shared" si="0"/>
        <v>70083.840000000011</v>
      </c>
      <c r="T1" s="5">
        <f t="shared" si="0"/>
        <v>7093</v>
      </c>
      <c r="U1" s="8">
        <f t="shared" si="0"/>
        <v>45399.9</v>
      </c>
      <c r="V1" s="5">
        <f t="shared" si="0"/>
        <v>8148</v>
      </c>
      <c r="W1" s="8">
        <f t="shared" si="0"/>
        <v>52353.64</v>
      </c>
      <c r="X1" s="5">
        <f t="shared" si="0"/>
        <v>11127</v>
      </c>
      <c r="Y1" s="8">
        <f t="shared" si="0"/>
        <v>73574.38</v>
      </c>
      <c r="Z1" s="5">
        <f t="shared" si="0"/>
        <v>10469</v>
      </c>
      <c r="AA1" s="8">
        <f t="shared" si="0"/>
        <v>66615.08</v>
      </c>
      <c r="AB1" s="5">
        <f t="shared" si="0"/>
        <v>9597</v>
      </c>
      <c r="AC1" s="8">
        <f t="shared" si="0"/>
        <v>78809.66</v>
      </c>
      <c r="AD1" s="5">
        <f t="shared" si="0"/>
        <v>26038</v>
      </c>
      <c r="AE1" s="8">
        <f t="shared" si="0"/>
        <v>176333.19</v>
      </c>
    </row>
    <row r="2" spans="1:31" s="2" customFormat="1" ht="29.4" thickTop="1" x14ac:dyDescent="0.25">
      <c r="A2" s="25" t="s">
        <v>0</v>
      </c>
      <c r="B2" s="25" t="s">
        <v>22</v>
      </c>
      <c r="C2" s="25" t="s">
        <v>13</v>
      </c>
      <c r="D2" s="25" t="s">
        <v>11</v>
      </c>
      <c r="E2" s="27" t="s">
        <v>25</v>
      </c>
      <c r="F2" s="27"/>
      <c r="G2" s="26" t="s">
        <v>24</v>
      </c>
      <c r="H2" s="23">
        <v>243984</v>
      </c>
      <c r="I2" s="24"/>
      <c r="J2" s="23">
        <v>244015</v>
      </c>
      <c r="K2" s="24"/>
      <c r="L2" s="23">
        <v>244044</v>
      </c>
      <c r="M2" s="24"/>
      <c r="N2" s="23">
        <v>244075</v>
      </c>
      <c r="O2" s="24"/>
      <c r="P2" s="23">
        <v>244105</v>
      </c>
      <c r="Q2" s="24"/>
      <c r="R2" s="23">
        <v>244136</v>
      </c>
      <c r="S2" s="24"/>
      <c r="T2" s="23">
        <v>244166</v>
      </c>
      <c r="U2" s="24"/>
      <c r="V2" s="23">
        <v>244197</v>
      </c>
      <c r="W2" s="24"/>
      <c r="X2" s="23">
        <v>244228</v>
      </c>
      <c r="Y2" s="24"/>
      <c r="Z2" s="23">
        <v>244258</v>
      </c>
      <c r="AA2" s="24"/>
      <c r="AB2" s="23">
        <v>244289</v>
      </c>
      <c r="AC2" s="24"/>
      <c r="AD2" s="23">
        <v>244319</v>
      </c>
      <c r="AE2" s="24"/>
    </row>
    <row r="3" spans="1:31" s="3" customFormat="1" ht="26.4" x14ac:dyDescent="0.25">
      <c r="A3" s="25"/>
      <c r="B3" s="25"/>
      <c r="C3" s="25"/>
      <c r="D3" s="25"/>
      <c r="E3" s="6" t="s">
        <v>12</v>
      </c>
      <c r="F3" s="9" t="s">
        <v>23</v>
      </c>
      <c r="G3" s="26"/>
      <c r="H3" s="6" t="s">
        <v>12</v>
      </c>
      <c r="I3" s="9" t="s">
        <v>23</v>
      </c>
      <c r="J3" s="6" t="s">
        <v>12</v>
      </c>
      <c r="K3" s="9" t="s">
        <v>23</v>
      </c>
      <c r="L3" s="6" t="s">
        <v>12</v>
      </c>
      <c r="M3" s="9" t="s">
        <v>23</v>
      </c>
      <c r="N3" s="6" t="s">
        <v>12</v>
      </c>
      <c r="O3" s="9" t="s">
        <v>23</v>
      </c>
      <c r="P3" s="6" t="s">
        <v>12</v>
      </c>
      <c r="Q3" s="9" t="s">
        <v>23</v>
      </c>
      <c r="R3" s="6" t="s">
        <v>12</v>
      </c>
      <c r="S3" s="9" t="s">
        <v>23</v>
      </c>
      <c r="T3" s="6" t="s">
        <v>12</v>
      </c>
      <c r="U3" s="9" t="s">
        <v>23</v>
      </c>
      <c r="V3" s="6" t="s">
        <v>12</v>
      </c>
      <c r="W3" s="9" t="s">
        <v>23</v>
      </c>
      <c r="X3" s="6" t="s">
        <v>12</v>
      </c>
      <c r="Y3" s="9" t="s">
        <v>23</v>
      </c>
      <c r="Z3" s="6" t="s">
        <v>12</v>
      </c>
      <c r="AA3" s="9" t="s">
        <v>23</v>
      </c>
      <c r="AB3" s="6" t="s">
        <v>12</v>
      </c>
      <c r="AC3" s="9" t="s">
        <v>23</v>
      </c>
      <c r="AD3" s="6" t="s">
        <v>12</v>
      </c>
      <c r="AE3" s="9" t="s">
        <v>23</v>
      </c>
    </row>
    <row r="4" spans="1:31" x14ac:dyDescent="0.6">
      <c r="A4" s="21" t="s">
        <v>1</v>
      </c>
      <c r="B4" s="1" t="s">
        <v>14</v>
      </c>
      <c r="C4" s="4" t="s">
        <v>26</v>
      </c>
      <c r="E4" s="7">
        <f>+H4+J4+L4+N4+P4+R4+T4+V4+X4+Z4+AB4+AD4</f>
        <v>7520</v>
      </c>
      <c r="F4" s="10">
        <f>+E4*G4</f>
        <v>15792</v>
      </c>
      <c r="G4" s="12">
        <v>2.1</v>
      </c>
      <c r="H4" s="7">
        <v>4800</v>
      </c>
      <c r="I4" s="10">
        <f>+H4*G4</f>
        <v>10080</v>
      </c>
      <c r="J4" s="7">
        <v>0</v>
      </c>
      <c r="K4" s="10">
        <f>+J4*G4</f>
        <v>0</v>
      </c>
      <c r="L4" s="7">
        <v>0</v>
      </c>
      <c r="M4" s="10">
        <f>+L4*G4</f>
        <v>0</v>
      </c>
      <c r="O4" s="10">
        <f>+N4*G4</f>
        <v>0</v>
      </c>
      <c r="P4" s="7">
        <v>0</v>
      </c>
      <c r="Q4" s="10">
        <f>+P4*G4</f>
        <v>0</v>
      </c>
      <c r="R4" s="7">
        <v>700</v>
      </c>
      <c r="S4" s="10">
        <f>+R4*G4</f>
        <v>1470</v>
      </c>
      <c r="T4" s="7">
        <v>0</v>
      </c>
      <c r="U4" s="10">
        <f>+T4*G4</f>
        <v>0</v>
      </c>
      <c r="V4" s="7">
        <v>820</v>
      </c>
      <c r="W4" s="10">
        <f>+V4*G4</f>
        <v>1722</v>
      </c>
      <c r="X4" s="7">
        <v>800</v>
      </c>
      <c r="Y4" s="10">
        <f>+X4*G4</f>
        <v>1680</v>
      </c>
      <c r="Z4" s="7">
        <v>0</v>
      </c>
      <c r="AA4" s="10">
        <f>+Z4*G4</f>
        <v>0</v>
      </c>
      <c r="AB4" s="7">
        <v>0</v>
      </c>
      <c r="AC4" s="10">
        <f>+AB4*G4</f>
        <v>0</v>
      </c>
      <c r="AD4" s="7">
        <v>400</v>
      </c>
      <c r="AE4" s="10">
        <f>+AD4*G4</f>
        <v>840</v>
      </c>
    </row>
    <row r="5" spans="1:31" x14ac:dyDescent="0.6">
      <c r="A5" s="21" t="s">
        <v>43</v>
      </c>
      <c r="B5" s="1" t="s">
        <v>42</v>
      </c>
      <c r="C5" s="4" t="s">
        <v>26</v>
      </c>
      <c r="E5" s="7">
        <f t="shared" ref="E5" si="1">+H5+J5+L5+N5+P5+R5+T5+V5+X5+Z5+AB5+AD5</f>
        <v>150</v>
      </c>
      <c r="F5" s="10">
        <f t="shared" ref="F5" si="2">+E5*G5</f>
        <v>900</v>
      </c>
      <c r="G5" s="12">
        <v>6</v>
      </c>
      <c r="H5" s="7">
        <v>0</v>
      </c>
      <c r="I5" s="10">
        <f t="shared" ref="I5:I21" si="3">+H5*G5</f>
        <v>0</v>
      </c>
      <c r="J5" s="7">
        <v>0</v>
      </c>
      <c r="K5" s="10">
        <f t="shared" ref="K5" si="4">+J5*G5</f>
        <v>0</v>
      </c>
      <c r="L5" s="7">
        <v>0</v>
      </c>
      <c r="M5" s="10">
        <f t="shared" ref="M5" si="5">+L5*G5</f>
        <v>0</v>
      </c>
      <c r="O5" s="10">
        <f t="shared" ref="O5" si="6">+N5*G5</f>
        <v>0</v>
      </c>
      <c r="P5" s="7">
        <v>0</v>
      </c>
      <c r="Q5" s="10">
        <f t="shared" ref="Q5" si="7">+P5*G5</f>
        <v>0</v>
      </c>
      <c r="R5" s="7">
        <v>100</v>
      </c>
      <c r="S5" s="10">
        <f t="shared" ref="S5:S21" si="8">+R5*G5</f>
        <v>600</v>
      </c>
      <c r="T5" s="7">
        <v>0</v>
      </c>
      <c r="U5" s="10">
        <f t="shared" ref="U5:U21" si="9">+T5*G5</f>
        <v>0</v>
      </c>
      <c r="V5" s="7">
        <v>50</v>
      </c>
      <c r="W5" s="10">
        <f t="shared" ref="W5:W21" si="10">+V5*G5</f>
        <v>300</v>
      </c>
      <c r="X5" s="7">
        <v>0</v>
      </c>
      <c r="Y5" s="10">
        <f t="shared" ref="Y5:Y21" si="11">+X5*G5</f>
        <v>0</v>
      </c>
      <c r="Z5" s="7">
        <v>0</v>
      </c>
      <c r="AA5" s="10">
        <f t="shared" ref="AA5:AA21" si="12">+Z5*G5</f>
        <v>0</v>
      </c>
      <c r="AB5" s="7">
        <v>0</v>
      </c>
      <c r="AC5" s="10">
        <f t="shared" ref="AC5:AC21" si="13">+AB5*G5</f>
        <v>0</v>
      </c>
      <c r="AE5" s="10">
        <f t="shared" ref="AE5" si="14">+AD5*G5</f>
        <v>0</v>
      </c>
    </row>
    <row r="6" spans="1:31" x14ac:dyDescent="0.6">
      <c r="A6" s="21" t="s">
        <v>2</v>
      </c>
      <c r="B6" s="1" t="s">
        <v>15</v>
      </c>
      <c r="C6" s="4" t="s">
        <v>26</v>
      </c>
      <c r="E6" s="7">
        <f t="shared" ref="E6:E20" si="15">+H6+J6+L6+N6+P6+R6+T6+V6+X6+Z6+AB6+AD6</f>
        <v>1208</v>
      </c>
      <c r="F6" s="10">
        <f t="shared" ref="F6:F20" si="16">+E6*G6</f>
        <v>18844.8</v>
      </c>
      <c r="G6" s="12">
        <v>15.6</v>
      </c>
      <c r="H6" s="7">
        <v>410</v>
      </c>
      <c r="I6" s="10">
        <f t="shared" si="3"/>
        <v>6396</v>
      </c>
      <c r="J6" s="7">
        <v>0</v>
      </c>
      <c r="K6" s="10">
        <f t="shared" ref="K6:K20" si="17">+J6*G6</f>
        <v>0</v>
      </c>
      <c r="L6" s="7">
        <v>0</v>
      </c>
      <c r="M6" s="10">
        <f t="shared" ref="M6:M21" si="18">+L6*G6</f>
        <v>0</v>
      </c>
      <c r="O6" s="10">
        <f t="shared" ref="O6:O20" si="19">+N6*G6</f>
        <v>0</v>
      </c>
      <c r="P6" s="7">
        <v>0</v>
      </c>
      <c r="Q6" s="10">
        <f t="shared" ref="Q6:Q20" si="20">+P6*G6</f>
        <v>0</v>
      </c>
      <c r="R6" s="7">
        <v>100</v>
      </c>
      <c r="S6" s="10">
        <f t="shared" si="8"/>
        <v>1560</v>
      </c>
      <c r="T6" s="7">
        <v>50</v>
      </c>
      <c r="U6" s="10">
        <f t="shared" si="9"/>
        <v>780</v>
      </c>
      <c r="V6" s="7">
        <v>20</v>
      </c>
      <c r="W6" s="10">
        <f t="shared" si="10"/>
        <v>312</v>
      </c>
      <c r="X6" s="7">
        <v>140</v>
      </c>
      <c r="Y6" s="10">
        <f t="shared" si="11"/>
        <v>2184</v>
      </c>
      <c r="Z6" s="7">
        <v>0</v>
      </c>
      <c r="AA6" s="10">
        <f t="shared" si="12"/>
        <v>0</v>
      </c>
      <c r="AB6" s="7">
        <v>108</v>
      </c>
      <c r="AC6" s="10">
        <f t="shared" si="13"/>
        <v>1684.8</v>
      </c>
      <c r="AD6" s="7">
        <v>380</v>
      </c>
      <c r="AE6" s="10">
        <f t="shared" ref="AE6:AE20" si="21">+AD6*G6</f>
        <v>5928</v>
      </c>
    </row>
    <row r="7" spans="1:31" x14ac:dyDescent="0.6">
      <c r="A7" s="21" t="s">
        <v>3</v>
      </c>
      <c r="B7" s="1" t="s">
        <v>27</v>
      </c>
      <c r="C7" s="4" t="s">
        <v>26</v>
      </c>
      <c r="E7" s="7">
        <f t="shared" si="15"/>
        <v>15175</v>
      </c>
      <c r="F7" s="10">
        <f t="shared" si="16"/>
        <v>132326</v>
      </c>
      <c r="G7" s="12">
        <v>8.7200000000000006</v>
      </c>
      <c r="H7" s="7">
        <v>3040</v>
      </c>
      <c r="I7" s="10">
        <f t="shared" si="3"/>
        <v>26508.800000000003</v>
      </c>
      <c r="J7" s="7">
        <v>980</v>
      </c>
      <c r="K7" s="10">
        <f t="shared" si="17"/>
        <v>8545.6</v>
      </c>
      <c r="L7" s="7">
        <v>2160</v>
      </c>
      <c r="M7" s="10">
        <f t="shared" si="18"/>
        <v>18835.2</v>
      </c>
      <c r="O7" s="10">
        <f t="shared" si="19"/>
        <v>0</v>
      </c>
      <c r="P7" s="7">
        <v>0</v>
      </c>
      <c r="Q7" s="10">
        <f t="shared" si="20"/>
        <v>0</v>
      </c>
      <c r="S7" s="10">
        <f t="shared" si="8"/>
        <v>0</v>
      </c>
      <c r="T7" s="7">
        <v>0</v>
      </c>
      <c r="U7" s="10">
        <f t="shared" si="9"/>
        <v>0</v>
      </c>
      <c r="V7" s="7">
        <v>1470</v>
      </c>
      <c r="W7" s="10">
        <f t="shared" si="10"/>
        <v>12818.400000000001</v>
      </c>
      <c r="X7" s="7">
        <v>2315</v>
      </c>
      <c r="Y7" s="10">
        <f t="shared" si="11"/>
        <v>20186.800000000003</v>
      </c>
      <c r="Z7" s="7">
        <v>1560</v>
      </c>
      <c r="AA7" s="10">
        <f t="shared" si="12"/>
        <v>13603.2</v>
      </c>
      <c r="AB7" s="7">
        <v>1200</v>
      </c>
      <c r="AC7" s="10">
        <f t="shared" si="13"/>
        <v>10464</v>
      </c>
      <c r="AD7" s="7">
        <v>2450</v>
      </c>
      <c r="AE7" s="10">
        <f t="shared" si="21"/>
        <v>21364</v>
      </c>
    </row>
    <row r="8" spans="1:31" x14ac:dyDescent="0.6">
      <c r="A8" s="21" t="s">
        <v>4</v>
      </c>
      <c r="B8" s="1" t="s">
        <v>16</v>
      </c>
      <c r="C8" s="4" t="s">
        <v>26</v>
      </c>
      <c r="E8" s="7">
        <f t="shared" si="15"/>
        <v>3860</v>
      </c>
      <c r="F8" s="10">
        <f t="shared" si="16"/>
        <v>11773</v>
      </c>
      <c r="G8" s="12">
        <v>3.05</v>
      </c>
      <c r="H8" s="7">
        <v>2600</v>
      </c>
      <c r="I8" s="10">
        <f t="shared" si="3"/>
        <v>7929.9999999999991</v>
      </c>
      <c r="J8" s="7">
        <v>400</v>
      </c>
      <c r="K8" s="10">
        <f t="shared" si="17"/>
        <v>1220</v>
      </c>
      <c r="L8" s="7">
        <v>0</v>
      </c>
      <c r="M8" s="10">
        <f t="shared" si="18"/>
        <v>0</v>
      </c>
      <c r="O8" s="10">
        <f t="shared" si="19"/>
        <v>0</v>
      </c>
      <c r="P8" s="7">
        <v>0</v>
      </c>
      <c r="Q8" s="10">
        <f t="shared" si="20"/>
        <v>0</v>
      </c>
      <c r="S8" s="10">
        <f t="shared" si="8"/>
        <v>0</v>
      </c>
      <c r="T8" s="7">
        <v>0</v>
      </c>
      <c r="U8" s="10">
        <f t="shared" si="9"/>
        <v>0</v>
      </c>
      <c r="V8" s="7">
        <v>100</v>
      </c>
      <c r="W8" s="10">
        <f t="shared" si="10"/>
        <v>305</v>
      </c>
      <c r="X8" s="7">
        <v>260</v>
      </c>
      <c r="Y8" s="10">
        <f t="shared" si="11"/>
        <v>793</v>
      </c>
      <c r="Z8" s="7">
        <v>300</v>
      </c>
      <c r="AA8" s="10">
        <f t="shared" si="12"/>
        <v>915</v>
      </c>
      <c r="AB8" s="7">
        <v>100</v>
      </c>
      <c r="AC8" s="10">
        <f t="shared" si="13"/>
        <v>305</v>
      </c>
      <c r="AD8" s="7">
        <v>100</v>
      </c>
      <c r="AE8" s="10">
        <f t="shared" si="21"/>
        <v>305</v>
      </c>
    </row>
    <row r="9" spans="1:31" x14ac:dyDescent="0.6">
      <c r="A9" s="21" t="s">
        <v>5</v>
      </c>
      <c r="B9" s="1" t="s">
        <v>17</v>
      </c>
      <c r="C9" s="4" t="s">
        <v>26</v>
      </c>
      <c r="E9" s="7">
        <f t="shared" si="15"/>
        <v>20280</v>
      </c>
      <c r="F9" s="10">
        <f t="shared" si="16"/>
        <v>113162.4</v>
      </c>
      <c r="G9" s="12">
        <v>5.58</v>
      </c>
      <c r="H9" s="7">
        <v>2570</v>
      </c>
      <c r="I9" s="10">
        <f t="shared" si="3"/>
        <v>14340.6</v>
      </c>
      <c r="J9" s="7">
        <v>0</v>
      </c>
      <c r="K9" s="10">
        <f t="shared" si="17"/>
        <v>0</v>
      </c>
      <c r="L9" s="7">
        <v>500</v>
      </c>
      <c r="M9" s="10">
        <f t="shared" si="18"/>
        <v>2790</v>
      </c>
      <c r="N9" s="7">
        <v>1950</v>
      </c>
      <c r="O9" s="10">
        <f t="shared" si="19"/>
        <v>10881</v>
      </c>
      <c r="P9" s="7">
        <v>1300</v>
      </c>
      <c r="Q9" s="10">
        <f t="shared" si="20"/>
        <v>7254</v>
      </c>
      <c r="R9" s="7">
        <v>1200</v>
      </c>
      <c r="S9" s="10">
        <f t="shared" si="8"/>
        <v>6696</v>
      </c>
      <c r="T9" s="7">
        <v>1000</v>
      </c>
      <c r="U9" s="10">
        <f t="shared" si="9"/>
        <v>5580</v>
      </c>
      <c r="V9" s="7">
        <v>1500</v>
      </c>
      <c r="W9" s="10">
        <f t="shared" si="10"/>
        <v>8370</v>
      </c>
      <c r="X9" s="7">
        <v>1500</v>
      </c>
      <c r="Y9" s="10">
        <f t="shared" si="11"/>
        <v>8370</v>
      </c>
      <c r="Z9" s="7">
        <v>1500</v>
      </c>
      <c r="AA9" s="10">
        <f t="shared" si="12"/>
        <v>8370</v>
      </c>
      <c r="AB9" s="7">
        <v>1650</v>
      </c>
      <c r="AC9" s="10">
        <f t="shared" si="13"/>
        <v>9207</v>
      </c>
      <c r="AD9" s="7">
        <v>5610</v>
      </c>
      <c r="AE9" s="10">
        <f t="shared" si="21"/>
        <v>31303.8</v>
      </c>
    </row>
    <row r="10" spans="1:31" x14ac:dyDescent="0.6">
      <c r="A10" s="21" t="s">
        <v>6</v>
      </c>
      <c r="B10" s="1" t="s">
        <v>18</v>
      </c>
      <c r="C10" s="4" t="s">
        <v>26</v>
      </c>
      <c r="E10" s="7">
        <f t="shared" si="15"/>
        <v>40160</v>
      </c>
      <c r="F10" s="10">
        <f t="shared" si="16"/>
        <v>200800</v>
      </c>
      <c r="G10" s="12">
        <v>5</v>
      </c>
      <c r="H10" s="7">
        <v>4370</v>
      </c>
      <c r="I10" s="10">
        <f t="shared" si="3"/>
        <v>21850</v>
      </c>
      <c r="J10" s="7">
        <v>300</v>
      </c>
      <c r="K10" s="10">
        <f t="shared" si="17"/>
        <v>1500</v>
      </c>
      <c r="L10" s="7">
        <v>2350</v>
      </c>
      <c r="M10" s="10">
        <f t="shared" si="18"/>
        <v>11750</v>
      </c>
      <c r="N10" s="7">
        <v>3560</v>
      </c>
      <c r="O10" s="10">
        <f t="shared" si="19"/>
        <v>17800</v>
      </c>
      <c r="P10" s="7">
        <v>3480</v>
      </c>
      <c r="Q10" s="10">
        <f t="shared" si="20"/>
        <v>17400</v>
      </c>
      <c r="R10" s="7">
        <v>3900</v>
      </c>
      <c r="S10" s="10">
        <f t="shared" si="8"/>
        <v>19500</v>
      </c>
      <c r="T10" s="7">
        <v>2000</v>
      </c>
      <c r="U10" s="10">
        <f t="shared" si="9"/>
        <v>10000</v>
      </c>
      <c r="V10" s="7">
        <v>2340</v>
      </c>
      <c r="W10" s="10">
        <f t="shared" si="10"/>
        <v>11700</v>
      </c>
      <c r="X10" s="7">
        <v>2100</v>
      </c>
      <c r="Y10" s="10">
        <f t="shared" si="11"/>
        <v>10500</v>
      </c>
      <c r="Z10" s="7">
        <v>2990</v>
      </c>
      <c r="AA10" s="10">
        <f t="shared" si="12"/>
        <v>14950</v>
      </c>
      <c r="AB10" s="7">
        <v>3010</v>
      </c>
      <c r="AC10" s="10">
        <f t="shared" si="13"/>
        <v>15050</v>
      </c>
      <c r="AD10" s="7">
        <v>9760</v>
      </c>
      <c r="AE10" s="10">
        <f t="shared" si="21"/>
        <v>48800</v>
      </c>
    </row>
    <row r="11" spans="1:31" x14ac:dyDescent="0.6">
      <c r="A11" s="21" t="s">
        <v>7</v>
      </c>
      <c r="B11" s="1" t="s">
        <v>19</v>
      </c>
      <c r="C11" s="4" t="s">
        <v>26</v>
      </c>
      <c r="E11" s="7">
        <f t="shared" si="15"/>
        <v>35380</v>
      </c>
      <c r="F11" s="10">
        <f t="shared" si="16"/>
        <v>137982</v>
      </c>
      <c r="G11" s="12">
        <v>3.9</v>
      </c>
      <c r="H11" s="7">
        <v>3000</v>
      </c>
      <c r="I11" s="10">
        <f t="shared" si="3"/>
        <v>11700</v>
      </c>
      <c r="J11" s="7">
        <v>0</v>
      </c>
      <c r="K11" s="10">
        <f t="shared" si="17"/>
        <v>0</v>
      </c>
      <c r="L11" s="7">
        <v>0</v>
      </c>
      <c r="M11" s="10">
        <f t="shared" si="18"/>
        <v>0</v>
      </c>
      <c r="N11" s="7">
        <v>5100</v>
      </c>
      <c r="O11" s="10">
        <f t="shared" si="19"/>
        <v>19890</v>
      </c>
      <c r="P11" s="7">
        <v>7200</v>
      </c>
      <c r="Q11" s="10">
        <f t="shared" si="20"/>
        <v>28080</v>
      </c>
      <c r="R11" s="7">
        <v>5000</v>
      </c>
      <c r="S11" s="10">
        <f t="shared" si="8"/>
        <v>19500</v>
      </c>
      <c r="T11" s="7">
        <v>3100</v>
      </c>
      <c r="U11" s="10">
        <f t="shared" si="9"/>
        <v>12090</v>
      </c>
      <c r="V11" s="7">
        <v>1300</v>
      </c>
      <c r="W11" s="10">
        <f t="shared" si="10"/>
        <v>5070</v>
      </c>
      <c r="X11" s="7">
        <v>3300</v>
      </c>
      <c r="Y11" s="10">
        <f t="shared" si="11"/>
        <v>12870</v>
      </c>
      <c r="Z11" s="7">
        <v>3700</v>
      </c>
      <c r="AA11" s="10">
        <f t="shared" si="12"/>
        <v>14430</v>
      </c>
      <c r="AB11" s="7">
        <v>1580</v>
      </c>
      <c r="AC11" s="10">
        <f t="shared" si="13"/>
        <v>6162</v>
      </c>
      <c r="AD11" s="7">
        <v>2100</v>
      </c>
      <c r="AE11" s="10">
        <f t="shared" si="21"/>
        <v>8190</v>
      </c>
    </row>
    <row r="12" spans="1:31" x14ac:dyDescent="0.6">
      <c r="A12" s="21" t="s">
        <v>8</v>
      </c>
      <c r="B12" s="1" t="s">
        <v>20</v>
      </c>
      <c r="C12" s="4" t="s">
        <v>26</v>
      </c>
      <c r="E12" s="7">
        <f t="shared" si="15"/>
        <v>2870</v>
      </c>
      <c r="F12" s="10">
        <f t="shared" si="16"/>
        <v>47355</v>
      </c>
      <c r="G12" s="12">
        <v>16.5</v>
      </c>
      <c r="H12" s="7">
        <v>700</v>
      </c>
      <c r="I12" s="10">
        <f t="shared" si="3"/>
        <v>11550</v>
      </c>
      <c r="J12" s="7">
        <v>330</v>
      </c>
      <c r="K12" s="10">
        <f t="shared" si="17"/>
        <v>5445</v>
      </c>
      <c r="L12" s="7">
        <v>370</v>
      </c>
      <c r="M12" s="10">
        <f t="shared" si="18"/>
        <v>6105</v>
      </c>
      <c r="N12" s="7">
        <v>100</v>
      </c>
      <c r="O12" s="10">
        <f t="shared" si="19"/>
        <v>1650</v>
      </c>
      <c r="P12" s="7">
        <v>0</v>
      </c>
      <c r="Q12" s="10">
        <f t="shared" si="20"/>
        <v>0</v>
      </c>
      <c r="S12" s="10">
        <f t="shared" si="8"/>
        <v>0</v>
      </c>
      <c r="T12" s="7">
        <v>100</v>
      </c>
      <c r="U12" s="10">
        <f t="shared" si="9"/>
        <v>1650</v>
      </c>
      <c r="V12" s="7">
        <v>60</v>
      </c>
      <c r="W12" s="10">
        <f t="shared" si="10"/>
        <v>990</v>
      </c>
      <c r="X12" s="7">
        <v>70</v>
      </c>
      <c r="Y12" s="10">
        <f t="shared" si="11"/>
        <v>1155</v>
      </c>
      <c r="Z12" s="7">
        <v>140</v>
      </c>
      <c r="AA12" s="10">
        <f t="shared" si="12"/>
        <v>2310</v>
      </c>
      <c r="AB12" s="7">
        <v>720</v>
      </c>
      <c r="AC12" s="10">
        <f t="shared" si="13"/>
        <v>11880</v>
      </c>
      <c r="AD12" s="7">
        <v>280</v>
      </c>
      <c r="AE12" s="10">
        <f t="shared" si="21"/>
        <v>4620</v>
      </c>
    </row>
    <row r="13" spans="1:31" ht="27" customHeight="1" x14ac:dyDescent="0.6">
      <c r="A13" s="21" t="s">
        <v>38</v>
      </c>
      <c r="B13" s="1" t="s">
        <v>39</v>
      </c>
      <c r="C13" s="4" t="s">
        <v>26</v>
      </c>
      <c r="E13" s="7">
        <f t="shared" ref="E13" si="22">+H13+J13+L13+N13+P13+R13+T13+V13+X13+Z13+AB13+AD13</f>
        <v>1680</v>
      </c>
      <c r="F13" s="10">
        <f t="shared" ref="F13" si="23">+E13*G13</f>
        <v>11088</v>
      </c>
      <c r="G13" s="12">
        <v>6.6</v>
      </c>
      <c r="H13" s="7">
        <v>0</v>
      </c>
      <c r="I13" s="10">
        <f t="shared" si="3"/>
        <v>0</v>
      </c>
      <c r="J13" s="7">
        <v>0</v>
      </c>
      <c r="K13" s="10">
        <f t="shared" ref="K13" si="24">+J13*G13</f>
        <v>0</v>
      </c>
      <c r="L13" s="7">
        <v>0</v>
      </c>
      <c r="M13" s="10">
        <f t="shared" ref="M13" si="25">+L13*G13</f>
        <v>0</v>
      </c>
      <c r="N13" s="7">
        <v>1400</v>
      </c>
      <c r="O13" s="10">
        <f t="shared" ref="O13" si="26">+N13*G13</f>
        <v>9240</v>
      </c>
      <c r="P13" s="7">
        <v>0</v>
      </c>
      <c r="Q13" s="10">
        <f t="shared" ref="Q13" si="27">+P13*G13</f>
        <v>0</v>
      </c>
      <c r="S13" s="10">
        <f t="shared" si="8"/>
        <v>0</v>
      </c>
      <c r="T13" s="7">
        <v>0</v>
      </c>
      <c r="U13" s="10">
        <f t="shared" si="9"/>
        <v>0</v>
      </c>
      <c r="V13" s="7">
        <v>0</v>
      </c>
      <c r="W13" s="10">
        <f t="shared" si="10"/>
        <v>0</v>
      </c>
      <c r="X13" s="7">
        <v>0</v>
      </c>
      <c r="Y13" s="10">
        <f t="shared" si="11"/>
        <v>0</v>
      </c>
      <c r="Z13" s="7">
        <v>0</v>
      </c>
      <c r="AA13" s="10">
        <f t="shared" si="12"/>
        <v>0</v>
      </c>
      <c r="AB13" s="7">
        <v>0</v>
      </c>
      <c r="AC13" s="10">
        <f t="shared" si="13"/>
        <v>0</v>
      </c>
      <c r="AD13" s="7">
        <v>280</v>
      </c>
      <c r="AE13" s="10">
        <f t="shared" ref="AE13" si="28">+AD13*G13</f>
        <v>1848</v>
      </c>
    </row>
    <row r="14" spans="1:31" x14ac:dyDescent="0.6">
      <c r="A14" s="21" t="s">
        <v>9</v>
      </c>
      <c r="B14" s="1" t="s">
        <v>21</v>
      </c>
      <c r="C14" s="4" t="s">
        <v>26</v>
      </c>
      <c r="E14" s="7">
        <f t="shared" si="15"/>
        <v>6210</v>
      </c>
      <c r="F14" s="10">
        <f t="shared" si="16"/>
        <v>61168.5</v>
      </c>
      <c r="G14" s="12">
        <v>9.85</v>
      </c>
      <c r="H14" s="7">
        <v>520</v>
      </c>
      <c r="I14" s="10">
        <f t="shared" si="3"/>
        <v>5122</v>
      </c>
      <c r="J14" s="7">
        <v>470</v>
      </c>
      <c r="K14" s="10">
        <f t="shared" si="17"/>
        <v>4629.5</v>
      </c>
      <c r="L14" s="7">
        <v>540</v>
      </c>
      <c r="M14" s="10">
        <f t="shared" si="18"/>
        <v>5319</v>
      </c>
      <c r="N14" s="7">
        <v>660</v>
      </c>
      <c r="O14" s="10">
        <f t="shared" si="19"/>
        <v>6501</v>
      </c>
      <c r="P14" s="7">
        <v>0</v>
      </c>
      <c r="Q14" s="10">
        <f t="shared" si="20"/>
        <v>0</v>
      </c>
      <c r="R14" s="7">
        <v>640</v>
      </c>
      <c r="S14" s="10">
        <f t="shared" si="8"/>
        <v>6304</v>
      </c>
      <c r="T14" s="7">
        <v>720</v>
      </c>
      <c r="U14" s="10">
        <f t="shared" si="9"/>
        <v>7092</v>
      </c>
      <c r="V14" s="7">
        <v>360</v>
      </c>
      <c r="W14" s="10">
        <f t="shared" si="10"/>
        <v>3546</v>
      </c>
      <c r="X14" s="7">
        <v>480</v>
      </c>
      <c r="Y14" s="10">
        <f t="shared" si="11"/>
        <v>4728</v>
      </c>
      <c r="Z14" s="7">
        <v>100</v>
      </c>
      <c r="AA14" s="10">
        <f t="shared" si="12"/>
        <v>985</v>
      </c>
      <c r="AB14" s="7">
        <v>520</v>
      </c>
      <c r="AC14" s="10">
        <f t="shared" si="13"/>
        <v>5122</v>
      </c>
      <c r="AD14" s="7">
        <v>1200</v>
      </c>
      <c r="AE14" s="10">
        <f t="shared" si="21"/>
        <v>11820</v>
      </c>
    </row>
    <row r="15" spans="1:31" x14ac:dyDescent="0.6">
      <c r="A15" s="21">
        <v>1020501042</v>
      </c>
      <c r="B15" s="1" t="s">
        <v>65</v>
      </c>
      <c r="C15" s="4" t="s">
        <v>26</v>
      </c>
      <c r="E15" s="7">
        <f t="shared" ref="E15" si="29">+H15+J15+L15+N15+P15+R15+T15+V15+X15+Z15+AB15+AD15</f>
        <v>3000</v>
      </c>
      <c r="F15" s="10">
        <f t="shared" ref="F15" si="30">+E15*G15</f>
        <v>13200.000000000002</v>
      </c>
      <c r="G15" s="12">
        <v>4.4000000000000004</v>
      </c>
      <c r="I15" s="10">
        <f t="shared" si="3"/>
        <v>0</v>
      </c>
      <c r="K15" s="10">
        <f t="shared" si="17"/>
        <v>0</v>
      </c>
      <c r="M15" s="10">
        <f t="shared" si="18"/>
        <v>0</v>
      </c>
      <c r="O15" s="10">
        <f t="shared" si="19"/>
        <v>0</v>
      </c>
      <c r="Q15" s="10">
        <f t="shared" si="20"/>
        <v>0</v>
      </c>
      <c r="S15" s="10">
        <f t="shared" si="8"/>
        <v>0</v>
      </c>
      <c r="U15" s="10">
        <f t="shared" si="9"/>
        <v>0</v>
      </c>
      <c r="W15" s="10">
        <f t="shared" si="10"/>
        <v>0</v>
      </c>
      <c r="Y15" s="10">
        <f t="shared" si="11"/>
        <v>0</v>
      </c>
      <c r="AA15" s="10">
        <f t="shared" si="12"/>
        <v>0</v>
      </c>
      <c r="AC15" s="10">
        <f t="shared" si="13"/>
        <v>0</v>
      </c>
      <c r="AD15" s="7">
        <v>3000</v>
      </c>
      <c r="AE15" s="10">
        <f t="shared" si="21"/>
        <v>13200.000000000002</v>
      </c>
    </row>
    <row r="16" spans="1:31" x14ac:dyDescent="0.6">
      <c r="A16" s="21" t="s">
        <v>10</v>
      </c>
      <c r="B16" s="1" t="s">
        <v>41</v>
      </c>
      <c r="C16" s="4" t="s">
        <v>31</v>
      </c>
      <c r="E16" s="7">
        <f t="shared" si="15"/>
        <v>557</v>
      </c>
      <c r="F16" s="10">
        <f t="shared" si="16"/>
        <v>41775</v>
      </c>
      <c r="G16" s="12">
        <v>75</v>
      </c>
      <c r="H16" s="7">
        <v>38</v>
      </c>
      <c r="I16" s="10">
        <f t="shared" si="3"/>
        <v>2850</v>
      </c>
      <c r="J16" s="7">
        <v>0</v>
      </c>
      <c r="K16" s="10">
        <f t="shared" si="17"/>
        <v>0</v>
      </c>
      <c r="L16" s="7">
        <v>16</v>
      </c>
      <c r="M16" s="10">
        <f t="shared" si="18"/>
        <v>1200</v>
      </c>
      <c r="N16" s="7">
        <v>103</v>
      </c>
      <c r="O16" s="10">
        <f t="shared" si="19"/>
        <v>7725</v>
      </c>
      <c r="P16" s="7">
        <v>116</v>
      </c>
      <c r="Q16" s="10">
        <f t="shared" si="20"/>
        <v>8700</v>
      </c>
      <c r="R16" s="7">
        <v>72</v>
      </c>
      <c r="S16" s="10">
        <f t="shared" si="8"/>
        <v>5400</v>
      </c>
      <c r="T16" s="7">
        <v>41</v>
      </c>
      <c r="U16" s="10">
        <f t="shared" si="9"/>
        <v>3075</v>
      </c>
      <c r="V16" s="7">
        <v>24</v>
      </c>
      <c r="W16" s="10">
        <f t="shared" si="10"/>
        <v>1800</v>
      </c>
      <c r="X16" s="7">
        <v>52</v>
      </c>
      <c r="Y16" s="10">
        <f t="shared" si="11"/>
        <v>3900</v>
      </c>
      <c r="Z16" s="7">
        <v>48</v>
      </c>
      <c r="AA16" s="10">
        <f t="shared" si="12"/>
        <v>3600</v>
      </c>
      <c r="AB16" s="7">
        <v>15</v>
      </c>
      <c r="AC16" s="10">
        <f t="shared" si="13"/>
        <v>1125</v>
      </c>
      <c r="AD16" s="7">
        <v>32</v>
      </c>
      <c r="AE16" s="10">
        <f t="shared" si="21"/>
        <v>2400</v>
      </c>
    </row>
    <row r="17" spans="1:31" x14ac:dyDescent="0.6">
      <c r="A17" s="21" t="s">
        <v>44</v>
      </c>
      <c r="B17" s="1" t="s">
        <v>40</v>
      </c>
      <c r="C17" s="4" t="s">
        <v>31</v>
      </c>
      <c r="E17" s="7">
        <f t="shared" ref="E17" si="31">+H17+J17+L17+N17+P17+R17+T17+V17+X17+Z17+AB17+AD17</f>
        <v>15</v>
      </c>
      <c r="F17" s="10">
        <f t="shared" ref="F17" si="32">+E17*G17</f>
        <v>2733.6000000000004</v>
      </c>
      <c r="G17" s="12">
        <v>182.24</v>
      </c>
      <c r="H17" s="7">
        <v>0</v>
      </c>
      <c r="I17" s="10">
        <f t="shared" si="3"/>
        <v>0</v>
      </c>
      <c r="J17" s="7">
        <v>0</v>
      </c>
      <c r="K17" s="10">
        <f t="shared" ref="K17" si="33">+J17*G17</f>
        <v>0</v>
      </c>
      <c r="L17" s="7">
        <v>0</v>
      </c>
      <c r="M17" s="10">
        <f t="shared" ref="M17" si="34">+L17*G17</f>
        <v>0</v>
      </c>
      <c r="N17" s="7">
        <v>0</v>
      </c>
      <c r="O17" s="10">
        <f t="shared" ref="O17" si="35">+N17*G17</f>
        <v>0</v>
      </c>
      <c r="P17" s="7">
        <v>0</v>
      </c>
      <c r="Q17" s="10">
        <f t="shared" ref="Q17" si="36">+P17*G17</f>
        <v>0</v>
      </c>
      <c r="R17" s="7">
        <v>15</v>
      </c>
      <c r="S17" s="10">
        <f t="shared" si="8"/>
        <v>2733.6000000000004</v>
      </c>
      <c r="T17" s="7">
        <v>0</v>
      </c>
      <c r="U17" s="10">
        <f t="shared" si="9"/>
        <v>0</v>
      </c>
      <c r="V17" s="7">
        <v>0</v>
      </c>
      <c r="W17" s="10">
        <f t="shared" si="10"/>
        <v>0</v>
      </c>
      <c r="X17" s="7">
        <v>0</v>
      </c>
      <c r="Y17" s="10">
        <f t="shared" si="11"/>
        <v>0</v>
      </c>
      <c r="Z17" s="7">
        <v>0</v>
      </c>
      <c r="AA17" s="10">
        <f t="shared" si="12"/>
        <v>0</v>
      </c>
      <c r="AB17" s="7">
        <v>0</v>
      </c>
      <c r="AC17" s="10">
        <f t="shared" si="13"/>
        <v>0</v>
      </c>
      <c r="AE17" s="10">
        <f t="shared" ref="AE17" si="37">+AD17*G17</f>
        <v>0</v>
      </c>
    </row>
    <row r="18" spans="1:31" x14ac:dyDescent="0.6">
      <c r="A18" s="21" t="s">
        <v>28</v>
      </c>
      <c r="B18" s="1" t="s">
        <v>32</v>
      </c>
      <c r="C18" s="4" t="s">
        <v>31</v>
      </c>
      <c r="E18" s="7">
        <f t="shared" si="15"/>
        <v>55</v>
      </c>
      <c r="F18" s="10">
        <f t="shared" si="16"/>
        <v>3850</v>
      </c>
      <c r="G18" s="12">
        <v>70</v>
      </c>
      <c r="H18" s="7">
        <v>2</v>
      </c>
      <c r="I18" s="10">
        <f t="shared" si="3"/>
        <v>140</v>
      </c>
      <c r="J18" s="7">
        <v>0</v>
      </c>
      <c r="K18" s="10">
        <f t="shared" si="17"/>
        <v>0</v>
      </c>
      <c r="L18" s="7">
        <v>0</v>
      </c>
      <c r="M18" s="10">
        <f t="shared" si="18"/>
        <v>0</v>
      </c>
      <c r="N18" s="7">
        <v>33</v>
      </c>
      <c r="O18" s="10">
        <f t="shared" si="19"/>
        <v>2310</v>
      </c>
      <c r="P18" s="7">
        <v>0</v>
      </c>
      <c r="Q18" s="10">
        <f t="shared" si="20"/>
        <v>0</v>
      </c>
      <c r="R18" s="7">
        <v>0</v>
      </c>
      <c r="S18" s="10">
        <f t="shared" si="8"/>
        <v>0</v>
      </c>
      <c r="T18" s="7">
        <v>0</v>
      </c>
      <c r="U18" s="10">
        <f t="shared" si="9"/>
        <v>0</v>
      </c>
      <c r="V18" s="7">
        <v>0</v>
      </c>
      <c r="W18" s="10">
        <f t="shared" si="10"/>
        <v>0</v>
      </c>
      <c r="X18" s="7">
        <v>10</v>
      </c>
      <c r="Y18" s="10">
        <f t="shared" si="11"/>
        <v>700</v>
      </c>
      <c r="Z18" s="7">
        <v>0</v>
      </c>
      <c r="AA18" s="10">
        <f t="shared" si="12"/>
        <v>0</v>
      </c>
      <c r="AB18" s="7">
        <v>0</v>
      </c>
      <c r="AC18" s="10">
        <f t="shared" si="13"/>
        <v>0</v>
      </c>
      <c r="AD18" s="7">
        <v>10</v>
      </c>
      <c r="AE18" s="10">
        <f t="shared" si="21"/>
        <v>700</v>
      </c>
    </row>
    <row r="19" spans="1:31" x14ac:dyDescent="0.6">
      <c r="A19" s="21" t="s">
        <v>29</v>
      </c>
      <c r="B19" s="1" t="s">
        <v>33</v>
      </c>
      <c r="C19" s="4" t="s">
        <v>31</v>
      </c>
      <c r="E19" s="7">
        <f t="shared" si="15"/>
        <v>295</v>
      </c>
      <c r="F19" s="10">
        <f t="shared" si="16"/>
        <v>29500</v>
      </c>
      <c r="G19" s="12">
        <v>100</v>
      </c>
      <c r="H19" s="7">
        <v>48</v>
      </c>
      <c r="I19" s="10">
        <f t="shared" si="3"/>
        <v>4800</v>
      </c>
      <c r="J19" s="7">
        <v>6</v>
      </c>
      <c r="K19" s="10">
        <f t="shared" si="17"/>
        <v>600</v>
      </c>
      <c r="L19" s="7">
        <v>0</v>
      </c>
      <c r="M19" s="10">
        <f t="shared" si="18"/>
        <v>0</v>
      </c>
      <c r="O19" s="10">
        <f t="shared" si="19"/>
        <v>0</v>
      </c>
      <c r="P19" s="7">
        <v>33</v>
      </c>
      <c r="Q19" s="10">
        <f t="shared" si="20"/>
        <v>3300</v>
      </c>
      <c r="R19" s="7">
        <v>21</v>
      </c>
      <c r="S19" s="10">
        <f t="shared" si="8"/>
        <v>2100</v>
      </c>
      <c r="T19" s="7">
        <v>17</v>
      </c>
      <c r="U19" s="10">
        <f t="shared" si="9"/>
        <v>1700</v>
      </c>
      <c r="V19" s="7">
        <v>12</v>
      </c>
      <c r="W19" s="10">
        <f t="shared" si="10"/>
        <v>1200</v>
      </c>
      <c r="X19" s="7">
        <v>21</v>
      </c>
      <c r="Y19" s="10">
        <f t="shared" si="11"/>
        <v>2100</v>
      </c>
      <c r="Z19" s="7">
        <v>17</v>
      </c>
      <c r="AA19" s="10">
        <f t="shared" si="12"/>
        <v>1700</v>
      </c>
      <c r="AB19" s="7">
        <v>53</v>
      </c>
      <c r="AC19" s="10">
        <f t="shared" si="13"/>
        <v>5300</v>
      </c>
      <c r="AD19" s="7">
        <v>67</v>
      </c>
      <c r="AE19" s="10">
        <f t="shared" si="21"/>
        <v>6700</v>
      </c>
    </row>
    <row r="20" spans="1:31" x14ac:dyDescent="0.6">
      <c r="A20" s="21" t="s">
        <v>30</v>
      </c>
      <c r="B20" s="1" t="s">
        <v>34</v>
      </c>
      <c r="C20" s="4" t="s">
        <v>31</v>
      </c>
      <c r="E20" s="7">
        <f t="shared" si="15"/>
        <v>612</v>
      </c>
      <c r="F20" s="10">
        <f t="shared" si="16"/>
        <v>42607.44</v>
      </c>
      <c r="G20" s="12">
        <v>69.62</v>
      </c>
      <c r="H20" s="7">
        <v>18</v>
      </c>
      <c r="I20" s="10">
        <f t="shared" si="3"/>
        <v>1253.1600000000001</v>
      </c>
      <c r="J20" s="7">
        <v>45</v>
      </c>
      <c r="K20" s="10">
        <f t="shared" si="17"/>
        <v>3132.9</v>
      </c>
      <c r="L20" s="7">
        <v>43</v>
      </c>
      <c r="M20" s="10">
        <f t="shared" si="18"/>
        <v>2993.6600000000003</v>
      </c>
      <c r="N20" s="7">
        <v>43</v>
      </c>
      <c r="O20" s="10">
        <f t="shared" si="19"/>
        <v>2993.6600000000003</v>
      </c>
      <c r="P20" s="7">
        <v>42</v>
      </c>
      <c r="Q20" s="10">
        <f t="shared" si="20"/>
        <v>2924.04</v>
      </c>
      <c r="R20" s="7">
        <v>52</v>
      </c>
      <c r="S20" s="10">
        <f t="shared" si="8"/>
        <v>3620.2400000000002</v>
      </c>
      <c r="T20" s="7">
        <v>45</v>
      </c>
      <c r="U20" s="10">
        <f t="shared" si="9"/>
        <v>3132.9</v>
      </c>
      <c r="V20" s="7">
        <v>52</v>
      </c>
      <c r="W20" s="10">
        <f t="shared" si="10"/>
        <v>3620.2400000000002</v>
      </c>
      <c r="X20" s="7">
        <v>59</v>
      </c>
      <c r="Y20" s="10">
        <f t="shared" si="11"/>
        <v>4107.58</v>
      </c>
      <c r="Z20" s="7">
        <v>74</v>
      </c>
      <c r="AA20" s="10">
        <f t="shared" si="12"/>
        <v>5151.88</v>
      </c>
      <c r="AB20" s="7">
        <v>53</v>
      </c>
      <c r="AC20" s="10">
        <f t="shared" si="13"/>
        <v>3689.86</v>
      </c>
      <c r="AD20" s="7">
        <v>86</v>
      </c>
      <c r="AE20" s="10">
        <f t="shared" si="21"/>
        <v>5987.3200000000006</v>
      </c>
    </row>
    <row r="21" spans="1:31" x14ac:dyDescent="0.6">
      <c r="A21" s="21" t="s">
        <v>36</v>
      </c>
      <c r="B21" s="1" t="s">
        <v>37</v>
      </c>
      <c r="C21" s="4" t="s">
        <v>31</v>
      </c>
      <c r="E21" s="7">
        <f t="shared" ref="E21:E22" si="38">+H21+J21+L21+N21+P21+R21+T21+V21+X21+Z21+AB21+AD21</f>
        <v>1143</v>
      </c>
      <c r="F21" s="10">
        <f t="shared" ref="F21:F22" si="39">+E21*G21</f>
        <v>17145</v>
      </c>
      <c r="G21" s="12">
        <v>15</v>
      </c>
      <c r="H21" s="7">
        <v>90</v>
      </c>
      <c r="I21" s="10">
        <f t="shared" si="3"/>
        <v>1350</v>
      </c>
      <c r="J21" s="7">
        <v>5</v>
      </c>
      <c r="K21" s="10">
        <f t="shared" ref="K21:K23" si="40">+J21*G21</f>
        <v>75</v>
      </c>
      <c r="L21" s="7">
        <v>0</v>
      </c>
      <c r="M21" s="10">
        <f t="shared" si="18"/>
        <v>0</v>
      </c>
      <c r="N21" s="7">
        <v>45</v>
      </c>
      <c r="O21" s="10">
        <f t="shared" ref="O21" si="41">+N21*G21</f>
        <v>675</v>
      </c>
      <c r="P21" s="7">
        <v>40</v>
      </c>
      <c r="Q21" s="10">
        <f t="shared" ref="Q21" si="42">+P21*G21</f>
        <v>600</v>
      </c>
      <c r="R21" s="7">
        <v>40</v>
      </c>
      <c r="S21" s="10">
        <f t="shared" si="8"/>
        <v>600</v>
      </c>
      <c r="T21" s="7">
        <v>20</v>
      </c>
      <c r="U21" s="10">
        <f t="shared" si="9"/>
        <v>300</v>
      </c>
      <c r="V21" s="7">
        <v>40</v>
      </c>
      <c r="W21" s="10">
        <f t="shared" si="10"/>
        <v>600</v>
      </c>
      <c r="X21" s="7">
        <v>20</v>
      </c>
      <c r="Y21" s="10">
        <f t="shared" si="11"/>
        <v>300</v>
      </c>
      <c r="Z21" s="7">
        <v>40</v>
      </c>
      <c r="AA21" s="10">
        <f t="shared" si="12"/>
        <v>600</v>
      </c>
      <c r="AB21" s="7">
        <v>588</v>
      </c>
      <c r="AC21" s="10">
        <f t="shared" si="13"/>
        <v>8820</v>
      </c>
      <c r="AD21" s="7">
        <v>215</v>
      </c>
      <c r="AE21" s="10">
        <f t="shared" ref="AE21:AE22" si="43">+AD21*G21</f>
        <v>3225</v>
      </c>
    </row>
    <row r="22" spans="1:31" x14ac:dyDescent="0.6">
      <c r="A22" s="21">
        <v>1023101040</v>
      </c>
      <c r="B22" s="1" t="s">
        <v>66</v>
      </c>
      <c r="C22" s="4" t="s">
        <v>31</v>
      </c>
      <c r="E22" s="7">
        <f t="shared" si="38"/>
        <v>39</v>
      </c>
      <c r="F22" s="10">
        <f t="shared" si="39"/>
        <v>3280.29</v>
      </c>
      <c r="G22" s="12">
        <v>84.11</v>
      </c>
      <c r="H22" s="7">
        <v>0</v>
      </c>
      <c r="I22" s="10">
        <f t="shared" ref="I22:I23" si="44">+H22*E22</f>
        <v>0</v>
      </c>
      <c r="J22" s="7">
        <v>0</v>
      </c>
      <c r="K22" s="10">
        <f t="shared" si="40"/>
        <v>0</v>
      </c>
      <c r="L22" s="7">
        <v>0</v>
      </c>
      <c r="M22" s="10">
        <f t="shared" ref="M22:M23" si="45">+L22*I22</f>
        <v>0</v>
      </c>
      <c r="N22" s="7">
        <v>0</v>
      </c>
      <c r="O22" s="10">
        <f t="shared" ref="O22:O23" si="46">+N22*K22</f>
        <v>0</v>
      </c>
      <c r="P22" s="7">
        <v>0</v>
      </c>
      <c r="Q22" s="10">
        <f t="shared" ref="Q22:Q23" si="47">+P22*M22</f>
        <v>0</v>
      </c>
      <c r="R22" s="7">
        <v>0</v>
      </c>
      <c r="S22" s="10">
        <f t="shared" ref="S22:S23" si="48">+R22*O22</f>
        <v>0</v>
      </c>
      <c r="T22" s="7">
        <v>0</v>
      </c>
      <c r="U22" s="10">
        <f t="shared" ref="U22:U23" si="49">+T22*Q22</f>
        <v>0</v>
      </c>
      <c r="V22" s="7">
        <v>0</v>
      </c>
      <c r="W22" s="10">
        <f t="shared" ref="W22:W23" si="50">+V22*S22</f>
        <v>0</v>
      </c>
      <c r="X22" s="7">
        <v>0</v>
      </c>
      <c r="Y22" s="10">
        <f t="shared" ref="Y22:Y23" si="51">+X22*U22</f>
        <v>0</v>
      </c>
      <c r="Z22" s="7">
        <v>0</v>
      </c>
      <c r="AA22" s="10">
        <f t="shared" ref="AA22:AA23" si="52">+Z22*W22</f>
        <v>0</v>
      </c>
      <c r="AB22" s="7">
        <v>0</v>
      </c>
      <c r="AC22" s="10">
        <f t="shared" ref="AC22:AC23" si="53">+AB22*Y22</f>
        <v>0</v>
      </c>
      <c r="AD22" s="7">
        <v>39</v>
      </c>
      <c r="AE22" s="10">
        <f t="shared" si="43"/>
        <v>3280.29</v>
      </c>
    </row>
    <row r="23" spans="1:31" x14ac:dyDescent="0.6">
      <c r="A23" s="21">
        <v>1023101046</v>
      </c>
      <c r="B23" s="1" t="s">
        <v>67</v>
      </c>
      <c r="C23" s="4" t="s">
        <v>31</v>
      </c>
      <c r="E23" s="7">
        <f>+H23+J23+L23+N23+P23+R23+T23+V23+X23+Z23+AB23+AD23</f>
        <v>23</v>
      </c>
      <c r="F23" s="10">
        <f t="shared" ref="F23" si="54">+E23*G23</f>
        <v>3331.78</v>
      </c>
      <c r="G23" s="12">
        <v>144.86000000000001</v>
      </c>
      <c r="H23" s="7">
        <v>0</v>
      </c>
      <c r="I23" s="10">
        <f t="shared" si="44"/>
        <v>0</v>
      </c>
      <c r="J23" s="7">
        <v>0</v>
      </c>
      <c r="K23" s="10">
        <f t="shared" si="40"/>
        <v>0</v>
      </c>
      <c r="L23" s="7">
        <v>0</v>
      </c>
      <c r="M23" s="10">
        <f t="shared" si="45"/>
        <v>0</v>
      </c>
      <c r="N23" s="7">
        <v>0</v>
      </c>
      <c r="O23" s="10">
        <f t="shared" si="46"/>
        <v>0</v>
      </c>
      <c r="P23" s="7">
        <v>0</v>
      </c>
      <c r="Q23" s="10">
        <f t="shared" si="47"/>
        <v>0</v>
      </c>
      <c r="R23" s="7">
        <v>0</v>
      </c>
      <c r="S23" s="10">
        <f t="shared" si="48"/>
        <v>0</v>
      </c>
      <c r="T23" s="7">
        <v>0</v>
      </c>
      <c r="U23" s="10">
        <f t="shared" si="49"/>
        <v>0</v>
      </c>
      <c r="V23" s="7">
        <v>0</v>
      </c>
      <c r="W23" s="10">
        <f t="shared" si="50"/>
        <v>0</v>
      </c>
      <c r="X23" s="7">
        <v>0</v>
      </c>
      <c r="Y23" s="10">
        <f t="shared" si="51"/>
        <v>0</v>
      </c>
      <c r="Z23" s="7">
        <v>0</v>
      </c>
      <c r="AA23" s="10">
        <f t="shared" si="52"/>
        <v>0</v>
      </c>
      <c r="AB23" s="7">
        <v>0</v>
      </c>
      <c r="AC23" s="10">
        <f t="shared" si="53"/>
        <v>0</v>
      </c>
      <c r="AD23" s="7">
        <v>23</v>
      </c>
      <c r="AE23" s="10">
        <f t="shared" ref="AE23" si="55">+AD23*G23</f>
        <v>3331.78</v>
      </c>
    </row>
    <row r="24" spans="1:31" x14ac:dyDescent="0.6">
      <c r="A24" s="21" t="s">
        <v>68</v>
      </c>
      <c r="B24" s="1" t="s">
        <v>69</v>
      </c>
      <c r="C24" s="4" t="s">
        <v>31</v>
      </c>
      <c r="E24" s="7">
        <f>+H24+J24+L24+N24+P24+R24+T24+V24+X24+Z24+AB24+AD24</f>
        <v>6</v>
      </c>
      <c r="F24" s="10">
        <f t="shared" ref="F24" si="56">+E24*G24</f>
        <v>2490</v>
      </c>
      <c r="G24" s="12">
        <v>415</v>
      </c>
      <c r="H24" s="7">
        <v>0</v>
      </c>
      <c r="I24" s="10">
        <f t="shared" ref="I24" si="57">+H24*E24</f>
        <v>0</v>
      </c>
      <c r="J24" s="7">
        <v>0</v>
      </c>
      <c r="K24" s="10">
        <f t="shared" ref="K24" si="58">+J24*G24</f>
        <v>0</v>
      </c>
      <c r="L24" s="7">
        <v>0</v>
      </c>
      <c r="M24" s="10">
        <f t="shared" ref="M24" si="59">+L24*I24</f>
        <v>0</v>
      </c>
      <c r="N24" s="7">
        <v>0</v>
      </c>
      <c r="O24" s="10">
        <f t="shared" ref="O24" si="60">+N24*K24</f>
        <v>0</v>
      </c>
      <c r="P24" s="7">
        <v>0</v>
      </c>
      <c r="Q24" s="10">
        <f t="shared" ref="Q24" si="61">+P24*M24</f>
        <v>0</v>
      </c>
      <c r="R24" s="7">
        <v>0</v>
      </c>
      <c r="S24" s="10">
        <f t="shared" ref="S24" si="62">+R24*O24</f>
        <v>0</v>
      </c>
      <c r="T24" s="7">
        <v>0</v>
      </c>
      <c r="U24" s="10">
        <f t="shared" ref="U24" si="63">+T24*Q24</f>
        <v>0</v>
      </c>
      <c r="V24" s="7">
        <v>0</v>
      </c>
      <c r="W24" s="10">
        <f t="shared" ref="W24" si="64">+V24*S24</f>
        <v>0</v>
      </c>
      <c r="X24" s="7">
        <v>0</v>
      </c>
      <c r="Y24" s="10">
        <f t="shared" ref="Y24" si="65">+X24*U24</f>
        <v>0</v>
      </c>
      <c r="Z24" s="7">
        <v>0</v>
      </c>
      <c r="AA24" s="10">
        <f t="shared" ref="AA24" si="66">+Z24*W24</f>
        <v>0</v>
      </c>
      <c r="AB24" s="7">
        <v>0</v>
      </c>
      <c r="AC24" s="10">
        <f t="shared" ref="AC24" si="67">+AB24*Y24</f>
        <v>0</v>
      </c>
      <c r="AD24" s="7">
        <v>6</v>
      </c>
      <c r="AE24" s="10">
        <f t="shared" ref="AE24" si="68">+AD24*G24</f>
        <v>2490</v>
      </c>
    </row>
  </sheetData>
  <autoFilter ref="A3:AE24" xr:uid="{2F71F9D2-3C84-4A26-AE03-CCE182EC5685}"/>
  <mergeCells count="18">
    <mergeCell ref="A2:A3"/>
    <mergeCell ref="B2:B3"/>
    <mergeCell ref="C2:C3"/>
    <mergeCell ref="D2:D3"/>
    <mergeCell ref="G2:G3"/>
    <mergeCell ref="E2:F2"/>
    <mergeCell ref="H2:I2"/>
    <mergeCell ref="J2:K2"/>
    <mergeCell ref="L2:M2"/>
    <mergeCell ref="N2:O2"/>
    <mergeCell ref="AD2:AE2"/>
    <mergeCell ref="AB2:AC2"/>
    <mergeCell ref="X2:Y2"/>
    <mergeCell ref="Z2:AA2"/>
    <mergeCell ref="P2:Q2"/>
    <mergeCell ref="R2:S2"/>
    <mergeCell ref="T2:U2"/>
    <mergeCell ref="V2:W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All</vt:lpstr>
      <vt:lpstr>วัสดุสิ้นเปลือง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dcterms:created xsi:type="dcterms:W3CDTF">2024-12-01T09:32:57Z</dcterms:created>
  <dcterms:modified xsi:type="dcterms:W3CDTF">2026-01-02T07:53:04Z</dcterms:modified>
</cp:coreProperties>
</file>