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คำนวนต้นทุน ออนไลน์\ปี 68\"/>
    </mc:Choice>
  </mc:AlternateContent>
  <xr:revisionPtr revIDLastSave="0" documentId="13_ncr:1_{29744B9F-2543-4D63-A50B-D4A5152FDADF}" xr6:coauthVersionLast="47" xr6:coauthVersionMax="47" xr10:uidLastSave="{00000000-0000-0000-0000-000000000000}"/>
  <bookViews>
    <workbookView xWindow="-108" yWindow="-108" windowWidth="23256" windowHeight="12456" tabRatio="964" activeTab="1" xr2:uid="{00000000-000D-0000-FFFF-FFFF00000000}"/>
  </bookViews>
  <sheets>
    <sheet name="สรุป" sheetId="41" r:id="rId1"/>
    <sheet name="ยอดขาย ปี 68" sheetId="40" r:id="rId2"/>
    <sheet name="ต้นทุน ปี 68" sheetId="39" r:id="rId3"/>
  </sheets>
  <externalReferences>
    <externalReference r:id="rId4"/>
    <externalReference r:id="rId5"/>
    <externalReference r:id="rId6"/>
  </externalReferences>
  <calcPr calcId="191029"/>
</workbook>
</file>

<file path=xl/calcChain.xml><?xml version="1.0" encoding="utf-8"?>
<calcChain xmlns="http://schemas.openxmlformats.org/spreadsheetml/2006/main">
  <c r="T8" i="41" l="1"/>
  <c r="D8" i="39" l="1"/>
  <c r="R7" i="41" l="1"/>
  <c r="R6" i="41"/>
  <c r="R5" i="41"/>
  <c r="Q7" i="41"/>
  <c r="Q6" i="41"/>
  <c r="Q5" i="41"/>
  <c r="F17" i="39"/>
  <c r="C14" i="39" l="1"/>
  <c r="C15" i="39"/>
  <c r="T4" i="41" l="1"/>
  <c r="B4" i="41" s="1"/>
  <c r="C4" i="41" s="1"/>
  <c r="B8" i="41"/>
  <c r="T9" i="41"/>
  <c r="T10" i="41"/>
  <c r="T11" i="41"/>
  <c r="T12" i="41"/>
  <c r="T13" i="41"/>
  <c r="T14" i="41"/>
  <c r="T15" i="41"/>
  <c r="T16" i="41"/>
  <c r="T3" i="41"/>
  <c r="B3" i="41" s="1"/>
  <c r="C3" i="41" s="1"/>
  <c r="S7" i="41"/>
  <c r="P7" i="41"/>
  <c r="O7" i="41"/>
  <c r="N7" i="41"/>
  <c r="M7" i="41"/>
  <c r="L7" i="41"/>
  <c r="K7" i="41"/>
  <c r="J7" i="41"/>
  <c r="I7" i="41"/>
  <c r="H7" i="41"/>
  <c r="G7" i="41"/>
  <c r="S6" i="41"/>
  <c r="P6" i="41"/>
  <c r="O6" i="41"/>
  <c r="N6" i="41"/>
  <c r="M6" i="41"/>
  <c r="L6" i="41"/>
  <c r="K6" i="41"/>
  <c r="J6" i="41"/>
  <c r="I6" i="41"/>
  <c r="H6" i="41"/>
  <c r="S5" i="41"/>
  <c r="D13" i="39"/>
  <c r="C13" i="39" s="1"/>
  <c r="T7" i="41" l="1"/>
  <c r="B7" i="41" s="1"/>
  <c r="S17" i="41"/>
  <c r="P5" i="41"/>
  <c r="P17" i="41" s="1"/>
  <c r="G6" i="41" l="1"/>
  <c r="T6" i="41" s="1"/>
  <c r="U6" i="41"/>
  <c r="U5" i="41"/>
  <c r="B6" i="41" l="1"/>
  <c r="U17" i="41"/>
  <c r="U14" i="40"/>
  <c r="T14" i="40"/>
  <c r="S14" i="40"/>
  <c r="U13" i="40"/>
  <c r="T13" i="40"/>
  <c r="S13" i="40"/>
  <c r="U12" i="40"/>
  <c r="T12" i="40"/>
  <c r="S12" i="40"/>
  <c r="U11" i="40"/>
  <c r="T11" i="40"/>
  <c r="S11" i="40"/>
  <c r="U10" i="40"/>
  <c r="T10" i="40"/>
  <c r="S10" i="40"/>
  <c r="U9" i="40"/>
  <c r="T9" i="40"/>
  <c r="S9" i="40"/>
  <c r="U8" i="40"/>
  <c r="T8" i="40"/>
  <c r="S8" i="40"/>
  <c r="U7" i="40"/>
  <c r="T7" i="40"/>
  <c r="S7" i="40"/>
  <c r="V15" i="40"/>
  <c r="N15" i="40"/>
  <c r="H15" i="40"/>
  <c r="F15" i="40"/>
  <c r="P15" i="40" l="1"/>
  <c r="B7" i="40"/>
  <c r="D9" i="41" s="1"/>
  <c r="B9" i="41" s="1"/>
  <c r="C9" i="41" s="1"/>
  <c r="B13" i="40"/>
  <c r="D15" i="41" s="1"/>
  <c r="B15" i="41" s="1"/>
  <c r="B9" i="40"/>
  <c r="D11" i="41" s="1"/>
  <c r="B11" i="41" s="1"/>
  <c r="B11" i="40"/>
  <c r="D13" i="41" s="1"/>
  <c r="B13" i="41" s="1"/>
  <c r="B14" i="40"/>
  <c r="D16" i="41" s="1"/>
  <c r="B16" i="41" s="1"/>
  <c r="Q15" i="40"/>
  <c r="R15" i="40"/>
  <c r="C15" i="40"/>
  <c r="S15" i="40"/>
  <c r="I15" i="40"/>
  <c r="J15" i="40"/>
  <c r="K15" i="40"/>
  <c r="D15" i="40"/>
  <c r="L15" i="40"/>
  <c r="B12" i="40"/>
  <c r="D14" i="41" s="1"/>
  <c r="B14" i="41" s="1"/>
  <c r="B10" i="40"/>
  <c r="D12" i="41" s="1"/>
  <c r="B12" i="41" s="1"/>
  <c r="B8" i="40"/>
  <c r="D10" i="41" s="1"/>
  <c r="B10" i="41" s="1"/>
  <c r="T15" i="40"/>
  <c r="M15" i="40"/>
  <c r="U15" i="40"/>
  <c r="E15" i="40"/>
  <c r="G15" i="40"/>
  <c r="O15" i="40"/>
  <c r="C16" i="41" l="1"/>
  <c r="C13" i="41"/>
  <c r="C11" i="41"/>
  <c r="C15" i="41"/>
  <c r="C7" i="41"/>
  <c r="D17" i="41"/>
  <c r="C8" i="41"/>
  <c r="C10" i="41"/>
  <c r="C12" i="41"/>
  <c r="C14" i="41"/>
  <c r="B15" i="40"/>
  <c r="D12" i="39"/>
  <c r="O5" i="41" s="1"/>
  <c r="O17" i="41" s="1"/>
  <c r="D11" i="39"/>
  <c r="D10" i="39"/>
  <c r="N17" i="41" s="1"/>
  <c r="D9" i="39"/>
  <c r="K5" i="41"/>
  <c r="K17" i="41" s="1"/>
  <c r="D7" i="39"/>
  <c r="J5" i="41" s="1"/>
  <c r="J17" i="41" s="1"/>
  <c r="D6" i="39"/>
  <c r="I5" i="41" s="1"/>
  <c r="I17" i="41" s="1"/>
  <c r="D5" i="39"/>
  <c r="H5" i="41" s="1"/>
  <c r="H17" i="41" s="1"/>
  <c r="D4" i="39"/>
  <c r="D17" i="39" l="1"/>
  <c r="G5" i="41"/>
  <c r="M17" i="41"/>
  <c r="L5" i="41"/>
  <c r="L17" i="41" s="1"/>
  <c r="E17" i="39"/>
  <c r="C6" i="41" s="1"/>
  <c r="G17" i="39"/>
  <c r="H17" i="39"/>
  <c r="I17" i="39"/>
  <c r="J17" i="39"/>
  <c r="K17" i="39"/>
  <c r="L17" i="39"/>
  <c r="M17" i="39"/>
  <c r="N17" i="39"/>
  <c r="O17" i="39"/>
  <c r="C5" i="39"/>
  <c r="C6" i="39"/>
  <c r="C7" i="39"/>
  <c r="C8" i="39"/>
  <c r="C9" i="39"/>
  <c r="C10" i="39"/>
  <c r="C11" i="39"/>
  <c r="C12" i="39"/>
  <c r="C16" i="39"/>
  <c r="C4" i="39"/>
  <c r="T5" i="41" l="1"/>
  <c r="B5" i="41" s="1"/>
  <c r="G17" i="41"/>
  <c r="C17" i="39"/>
  <c r="T17" i="41" l="1"/>
  <c r="B17" i="41"/>
  <c r="C17" i="41" s="1"/>
  <c r="C5" i="41"/>
</calcChain>
</file>

<file path=xl/sharedStrings.xml><?xml version="1.0" encoding="utf-8"?>
<sst xmlns="http://schemas.openxmlformats.org/spreadsheetml/2006/main" count="104" uniqueCount="71">
  <si>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</si>
  <si>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</si>
  <si>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</si>
  <si>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</si>
  <si>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</si>
  <si>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</si>
  <si>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</si>
  <si>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</si>
  <si>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</si>
  <si>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</si>
  <si>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ต้นทุนเบิกสินค้าไลฟ์สด</t>
  </si>
  <si>
    <t>Total</t>
  </si>
  <si>
    <t>เดือน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</si>
  <si>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</si>
  <si>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</si>
  <si>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</si>
  <si>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</si>
  <si>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</si>
  <si>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</si>
  <si>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</si>
  <si>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</si>
  <si>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</si>
  <si>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</si>
  <si>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</si>
  <si>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</si>
  <si>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NO.</t>
  </si>
  <si>
    <t>สรุปต้นทุน + ค่าใช้จ่าย แผนกขายออนไลน์ ปี 2568</t>
  </si>
  <si>
    <t>ยอดขายออนไลน์ปี 2568</t>
  </si>
  <si>
    <t>ลูกค้าออนไลน์</t>
  </si>
  <si>
    <t>นัดรับเปิดบิล</t>
  </si>
  <si>
    <t>ไลน์แอดนัดรับ</t>
  </si>
  <si>
    <t>Shopee 1</t>
  </si>
  <si>
    <t>Shopee 2</t>
  </si>
  <si>
    <t>Lazada 1</t>
  </si>
  <si>
    <t>Lazada 2</t>
  </si>
  <si>
    <t>Lazada 3</t>
  </si>
  <si>
    <t>Lazada 4</t>
  </si>
  <si>
    <t>Lazada 5</t>
  </si>
  <si>
    <t>Lazada 6</t>
  </si>
  <si>
    <t>Lazada 7</t>
  </si>
  <si>
    <t>Lazada 8</t>
  </si>
  <si>
    <t>Lazada 9</t>
  </si>
  <si>
    <t>Lazada 10</t>
  </si>
  <si>
    <t>Tiktok1</t>
  </si>
  <si>
    <t>Tiktok2</t>
  </si>
  <si>
    <t>Tiktok3</t>
  </si>
  <si>
    <t>Tiktok4</t>
  </si>
  <si>
    <t>Tiktok5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</si>
  <si>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</si>
  <si>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</si>
  <si>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</si>
  <si>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</si>
  <si>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</si>
  <si>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</si>
  <si>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</si>
  <si>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</si>
  <si>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</si>
  <si>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</si>
  <si>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</si>
  <si>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</si>
  <si>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ยอดขาย</t>
  </si>
  <si>
    <t>เหลือกำไร</t>
  </si>
  <si>
    <t>สรุปกำไร - ขาดทุน แผนกออนไลน์ ปี 2568</t>
  </si>
  <si>
    <t>กำไร %</t>
  </si>
  <si>
    <t>หักยอดเคลม + ตีกลับ + โอนเงินคืนลูกค้า</t>
  </si>
  <si>
    <t>ค่าโทรศัพท์</t>
  </si>
  <si>
    <t>Total ค่าใช้จ่าย</t>
  </si>
  <si>
    <t>ต้นทุน Outsource</t>
  </si>
  <si>
    <t>ค่าเบิกของจัดฉากไลฟ์สด</t>
  </si>
  <si>
    <t>ยอดยกเลิก</t>
  </si>
  <si>
    <t>ส่วนลดผู้ขาย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</si>
</sst>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.00_-;\-* #,##0.00_-;_-* &quot;-&quot;??_-;_-@"/>
  </numFmts>
  <fonts count="14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8"/>
      <name val="Tahoma"/>
      <family val="2"/>
      <scheme val="minor"/>
    </font>
    <font>
      <b/>
      <sz val="18"/>
      <color rgb="FF0000FF"/>
      <name val="Angsana New"/>
      <family val="1"/>
    </font>
    <font>
      <b/>
      <sz val="16"/>
      <color theme="1"/>
      <name val="Angsana New"/>
      <family val="1"/>
    </font>
    <font>
      <sz val="16"/>
      <color rgb="FF0000FF"/>
      <name val="Angsana New"/>
      <family val="1"/>
    </font>
    <font>
      <b/>
      <sz val="16"/>
      <color rgb="FF0000FF"/>
      <name val="Angsana New"/>
      <family val="1"/>
    </font>
    <font>
      <b/>
      <sz val="18"/>
      <color rgb="FFFF0000"/>
      <name val="Angsana New"/>
      <family val="1"/>
    </font>
    <font>
      <sz val="16"/>
      <color rgb="FFFF0000"/>
      <name val="Angsana New"/>
      <family val="1"/>
    </font>
    <font>
      <b/>
      <sz val="16"/>
      <color rgb="FFFF0000"/>
      <name val="Angsana New"/>
      <family val="1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000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43" fontId="2" fillId="2" borderId="1" xfId="1" applyFont="1" applyFill="1" applyBorder="1" applyAlignment="1">
      <alignment horizontal="left"/>
    </xf>
    <xf numFmtId="43" fontId="2" fillId="0" borderId="0" xfId="1" applyFont="1" applyFill="1" applyAlignment="1">
      <alignment horizontal="left"/>
    </xf>
    <xf numFmtId="0" fontId="4" fillId="0" borderId="0" xfId="3" applyFont="1"/>
    <xf numFmtId="0" fontId="2" fillId="0" borderId="0" xfId="3" applyFont="1"/>
    <xf numFmtId="0" fontId="5" fillId="4" borderId="0" xfId="3" applyFont="1" applyFill="1" applyAlignment="1">
      <alignment horizontal="center"/>
    </xf>
    <xf numFmtId="0" fontId="7" fillId="5" borderId="0" xfId="3" applyFont="1" applyFill="1" applyAlignment="1">
      <alignment horizontal="center"/>
    </xf>
    <xf numFmtId="187" fontId="5" fillId="4" borderId="0" xfId="3" applyNumberFormat="1" applyFont="1" applyFill="1" applyAlignment="1">
      <alignment horizontal="center"/>
    </xf>
    <xf numFmtId="0" fontId="5" fillId="0" borderId="0" xfId="3" applyFont="1"/>
    <xf numFmtId="0" fontId="8" fillId="0" borderId="0" xfId="3" applyFont="1"/>
    <xf numFmtId="43" fontId="9" fillId="5" borderId="0" xfId="4" applyFont="1" applyFill="1"/>
    <xf numFmtId="43" fontId="2" fillId="0" borderId="0" xfId="3" applyNumberFormat="1" applyFont="1"/>
    <xf numFmtId="0" fontId="8" fillId="0" borderId="0" xfId="3" applyFont="1" applyAlignment="1">
      <alignment horizontal="right"/>
    </xf>
    <xf numFmtId="43" fontId="9" fillId="5" borderId="1" xfId="4" applyFont="1" applyFill="1" applyBorder="1"/>
    <xf numFmtId="43" fontId="2" fillId="0" borderId="1" xfId="4" applyFont="1" applyBorder="1"/>
    <xf numFmtId="9" fontId="12" fillId="5" borderId="0" xfId="2" applyFont="1" applyFill="1"/>
    <xf numFmtId="0" fontId="5" fillId="4" borderId="0" xfId="3" applyFont="1" applyFill="1" applyAlignment="1">
      <alignment horizontal="center" vertical="center"/>
    </xf>
    <xf numFmtId="0" fontId="7" fillId="5" borderId="0" xfId="3" applyFont="1" applyFill="1" applyAlignment="1">
      <alignment horizontal="center" vertical="center"/>
    </xf>
    <xf numFmtId="0" fontId="11" fillId="5" borderId="0" xfId="3" applyFont="1" applyFill="1" applyAlignment="1">
      <alignment horizontal="center" vertical="center"/>
    </xf>
    <xf numFmtId="0" fontId="5" fillId="6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9" fillId="2" borderId="0" xfId="1" applyFont="1" applyFill="1" applyAlignment="1">
      <alignment horizontal="left"/>
    </xf>
    <xf numFmtId="43" fontId="9" fillId="2" borderId="1" xfId="1" applyFont="1" applyFill="1" applyBorder="1" applyAlignment="1">
      <alignment horizontal="left"/>
    </xf>
    <xf numFmtId="43" fontId="2" fillId="0" borderId="0" xfId="0" applyNumberFormat="1" applyFont="1"/>
    <xf numFmtId="43" fontId="0" fillId="0" borderId="0" xfId="1" applyFont="1"/>
    <xf numFmtId="43" fontId="5" fillId="8" borderId="0" xfId="1" applyFont="1" applyFill="1" applyAlignment="1">
      <alignment horizontal="center" vertical="center"/>
    </xf>
    <xf numFmtId="43" fontId="2" fillId="8" borderId="0" xfId="1" applyFont="1" applyFill="1" applyAlignment="1">
      <alignment horizontal="left"/>
    </xf>
    <xf numFmtId="43" fontId="2" fillId="8" borderId="0" xfId="1" applyFont="1" applyFill="1"/>
    <xf numFmtId="0" fontId="5" fillId="9" borderId="0" xfId="3" applyFont="1" applyFill="1" applyAlignment="1">
      <alignment horizontal="center" vertical="center"/>
    </xf>
    <xf numFmtId="0" fontId="5" fillId="10" borderId="0" xfId="3" applyFont="1" applyFill="1" applyAlignment="1">
      <alignment horizontal="center" vertical="center"/>
    </xf>
    <xf numFmtId="43" fontId="9" fillId="0" borderId="0" xfId="4" applyFont="1" applyFill="1"/>
    <xf numFmtId="9" fontId="12" fillId="0" borderId="0" xfId="2" applyFont="1" applyFill="1"/>
    <xf numFmtId="43" fontId="2" fillId="0" borderId="0" xfId="1" applyFont="1" applyFill="1"/>
    <xf numFmtId="43" fontId="5" fillId="0" borderId="0" xfId="1" applyFont="1" applyFill="1" applyAlignment="1">
      <alignment horizontal="center" vertical="center"/>
    </xf>
    <xf numFmtId="43" fontId="10" fillId="0" borderId="1" xfId="4" applyFont="1" applyFill="1" applyBorder="1"/>
    <xf numFmtId="43" fontId="13" fillId="0" borderId="1" xfId="4" applyFont="1" applyFill="1" applyBorder="1"/>
    <xf numFmtId="43" fontId="8" fillId="0" borderId="1" xfId="4" applyFont="1" applyFill="1" applyBorder="1"/>
    <xf numFmtId="43" fontId="8" fillId="0" borderId="1" xfId="1" applyFont="1" applyFill="1" applyBorder="1"/>
    <xf numFmtId="43" fontId="0" fillId="0" borderId="0" xfId="0" applyNumberFormat="1"/>
    <xf numFmtId="0" fontId="5" fillId="8" borderId="0" xfId="3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5">
    <cellStyle name="จุลภาค" xfId="1" builtinId="3"/>
    <cellStyle name="จุลภาค 2" xfId="4" xr:uid="{DF8357D8-45E2-4982-8126-B11B16DC4B6B}"/>
    <cellStyle name="ปกติ" xfId="0" builtinId="0"/>
    <cellStyle name="ปกติ 2" xfId="3" xr:uid="{4599F709-530D-4D47-8179-52A54B0F7567}"/>
    <cellStyle name="เปอร์เซ็นต์" xfId="2" builtinId="5"/>
  </cellStyles>
  <dxfs count="0"/>
  <tableStyles count="0" defaultTableStyle="TableStyleMedium9" defaultPivotStyle="PivotStyleMedium4"/>
  <colors>
    <mruColors>
      <color rgb="FF0000FF"/>
      <color rgb="FFFF0000"/>
      <color rgb="FF66FF66"/>
      <color rgb="FF00FF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88;&#3635;&#3609;&#3623;&#3609;&#3605;&#3657;&#3609;&#3607;&#3640;&#3609;%20&#3629;&#3629;&#3609;&#3652;&#3621;&#3609;&#3660;\&#3611;&#3637;%2068\1.&#3619;&#3634;&#3618;&#3585;&#3634;&#3619;&#3586;&#3634;&#3618;&#3626;&#3636;&#3609;&#3588;&#3657;&#3634;&#3629;&#3629;&#3609;&#3652;&#3621;&#3609;&#3660;&#3649;&#3618;&#3585;&#3592;&#3635;&#3609;&#3623;&#3609;&#3594;&#3636;&#3657;&#3609;&#3619;&#3634;&#3618;&#3623;&#3633;&#3609;%20&#3648;&#3604;&#3639;&#3629;&#3609;&#3617;&#3585;&#3619;&#3634;&#3588;&#3617;%202568.xlsx" TargetMode="External"/><Relationship Id="rId1" Type="http://schemas.openxmlformats.org/officeDocument/2006/relationships/externalLinkPath" Target="1.&#3619;&#3634;&#3618;&#3585;&#3634;&#3619;&#3586;&#3634;&#3618;&#3626;&#3636;&#3609;&#3588;&#3657;&#3634;&#3629;&#3629;&#3609;&#3652;&#3621;&#3609;&#3660;&#3649;&#3618;&#3585;&#3592;&#3635;&#3609;&#3623;&#3609;&#3594;&#3636;&#3657;&#3609;&#3619;&#3634;&#3618;&#3623;&#3633;&#3609;%20&#3648;&#3604;&#3639;&#3629;&#3609;&#3617;&#3585;&#3619;&#3634;&#3588;&#3617;%20256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88;&#3635;&#3609;&#3623;&#3609;&#3605;&#3657;&#3609;&#3607;&#3640;&#3609;%20&#3629;&#3629;&#3609;&#3652;&#3621;&#3609;&#3660;\&#3611;&#3637;%2068\2.&#3619;&#3634;&#3618;&#3585;&#3634;&#3619;&#3586;&#3634;&#3618;&#3626;&#3636;&#3609;&#3588;&#3657;&#3634;&#3629;&#3629;&#3609;&#3652;&#3621;&#3609;&#3660;&#3649;&#3618;&#3585;&#3592;&#3635;&#3609;&#3623;&#3609;&#3594;&#3636;&#3657;&#3609;&#3619;&#3634;&#3618;&#3623;&#3633;&#3609;%20&#3648;&#3604;&#3639;&#3629;&#3609;&#3585;&#3640;&#3617;&#3616;&#3634;&#3614;&#3633;&#3609;&#3608;&#3660;%202568.xlsx" TargetMode="External"/><Relationship Id="rId1" Type="http://schemas.openxmlformats.org/officeDocument/2006/relationships/externalLinkPath" Target="2.&#3619;&#3634;&#3618;&#3585;&#3634;&#3619;&#3586;&#3634;&#3618;&#3626;&#3636;&#3609;&#3588;&#3657;&#3634;&#3629;&#3629;&#3609;&#3652;&#3621;&#3609;&#3660;&#3649;&#3618;&#3585;&#3592;&#3635;&#3609;&#3623;&#3609;&#3594;&#3636;&#3657;&#3609;&#3619;&#3634;&#3618;&#3623;&#3633;&#3609;%20&#3648;&#3604;&#3639;&#3629;&#3609;&#3585;&#3640;&#3617;&#3616;&#3634;&#3614;&#3633;&#3609;&#3608;&#3660;%20256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626;&#3619;&#3640;&#3611;&#3618;&#3629;&#3604;&#3586;&#3634;&#3618;%20+%20&#3594;&#3609;&#3618;&#3629;&#3604;&#3648;&#3591;&#3636;&#3609;%20&#3611;&#3619;&#3632;&#3592;&#3635;&#3623;&#3633;&#3609;\&#3611;&#3637;%2068\&#3626;&#3619;&#3640;&#3611;&#3618;&#3629;&#3604;&#3586;&#3634;&#3618;&#3629;&#3629;&#3609;&#3652;&#3621;&#3609;&#3660;%20%20&#3619;&#3634;&#3618;&#3611;&#3637;%202568.xlsx" TargetMode="External"/><Relationship Id="rId1" Type="http://schemas.openxmlformats.org/officeDocument/2006/relationships/externalLinkPath" Target="/&#3591;&#3634;&#3609;&#3605;&#3657;&#3609;&#3611;&#3634;&#3621;&#3660;&#3617;/&#3619;&#3623;&#3617;&#3629;&#3629;&#3609;&#3652;&#3621;&#3609;&#3660;/&#3626;&#3619;&#3640;&#3611;&#3618;&#3629;&#3604;&#3586;&#3634;&#3618;%20+%20&#3594;&#3609;&#3618;&#3629;&#3604;&#3648;&#3591;&#3636;&#3609;%20&#3611;&#3619;&#3632;&#3592;&#3635;&#3623;&#3633;&#3609;/&#3611;&#3637;%2068/&#3626;&#3619;&#3640;&#3611;&#3618;&#3629;&#3604;&#3586;&#3634;&#3618;&#3629;&#3629;&#3609;&#3652;&#3621;&#3609;&#3660;%20%20&#3619;&#3634;&#3618;&#3611;&#3637;%2025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ม.ค."/>
      <sheetName val="ALL"/>
      <sheetName val="ALL เซต"/>
      <sheetName val="คำนวนต้นทุน(1-31)"/>
      <sheetName val="คำนวนต้นทุน"/>
      <sheetName val="ADS - Campaign"/>
      <sheetName val="NOTE"/>
      <sheetName val="สินค้า"/>
      <sheetName val="ต้นฉบับ"/>
      <sheetName val="เซต1-3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>
        <row r="3">
          <cell r="C3">
            <v>1093315.7500000002</v>
          </cell>
        </row>
        <row r="4">
          <cell r="C4">
            <v>115477.4</v>
          </cell>
        </row>
        <row r="5">
          <cell r="C5">
            <v>10393.16</v>
          </cell>
          <cell r="G5">
            <v>320400.64000000001</v>
          </cell>
        </row>
        <row r="6">
          <cell r="C6">
            <v>331113.89</v>
          </cell>
        </row>
        <row r="7">
          <cell r="C7">
            <v>29133.419999999995</v>
          </cell>
        </row>
        <row r="8">
          <cell r="C8">
            <v>205840.92</v>
          </cell>
          <cell r="G8">
            <v>69207.399999999994</v>
          </cell>
        </row>
        <row r="9">
          <cell r="C9">
            <v>12000</v>
          </cell>
        </row>
        <row r="10">
          <cell r="C10">
            <v>0</v>
          </cell>
        </row>
        <row r="11">
          <cell r="C11">
            <v>10172.450000000001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ก.พ."/>
      <sheetName val="ALL"/>
      <sheetName val="คำนวนต้นทุน(1-28)ใช้ชีทนี้"/>
      <sheetName val="คำนวนต้นทุน"/>
      <sheetName val="Feb"/>
      <sheetName val="ADS - Campaign"/>
      <sheetName val="NOTE"/>
      <sheetName val="สินค้า"/>
      <sheetName val="ต้นฉบับ"/>
      <sheetName val="เซต1-28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>
        <row r="12">
          <cell r="G12">
            <v>10381.49</v>
          </cell>
        </row>
        <row r="13">
          <cell r="G13">
            <v>5228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ปี 68"/>
      <sheetName val="แผนภูมิ 68"/>
    </sheetNames>
    <sheetDataSet>
      <sheetData sheetId="0">
        <row r="3">
          <cell r="S3">
            <v>0</v>
          </cell>
          <cell r="T3">
            <v>0</v>
          </cell>
          <cell r="U3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DEA5-95D0-4694-B285-8A361B2F5ABA}">
  <sheetPr>
    <tabColor rgb="FF66FF66"/>
  </sheetPr>
  <dimension ref="A1:V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9" sqref="B9:I11"/>
    </sheetView>
  </sheetViews>
  <sheetFormatPr defaultRowHeight="15" x14ac:dyDescent="0.25"/>
  <cols>
    <col min="2" max="2" width="10.36328125" bestFit="1" customWidth="1"/>
    <col min="3" max="3" width="6.36328125" bestFit="1" customWidth="1"/>
    <col min="4" max="4" width="10.36328125" bestFit="1" customWidth="1"/>
    <col min="5" max="5" width="9.1796875" bestFit="1" customWidth="1"/>
    <col min="6" max="6" width="10.36328125" bestFit="1" customWidth="1"/>
    <col min="7" max="7" width="14.1796875" bestFit="1" customWidth="1"/>
    <col min="8" max="8" width="14.1796875" customWidth="1"/>
    <col min="9" max="9" width="19.36328125" bestFit="1" customWidth="1"/>
    <col min="10" max="10" width="25" bestFit="1" customWidth="1"/>
    <col min="11" max="11" width="21.453125" bestFit="1" customWidth="1"/>
    <col min="12" max="12" width="17.90625" bestFit="1" customWidth="1"/>
    <col min="13" max="13" width="27" bestFit="1" customWidth="1"/>
    <col min="14" max="14" width="14.08984375" bestFit="1" customWidth="1"/>
    <col min="15" max="15" width="21.54296875" bestFit="1" customWidth="1"/>
    <col min="16" max="16" width="18.36328125" bestFit="1" customWidth="1"/>
    <col min="17" max="19" width="18.36328125" customWidth="1"/>
    <col min="20" max="20" width="18.36328125" style="32" customWidth="1"/>
    <col min="21" max="21" width="16.81640625" bestFit="1" customWidth="1"/>
    <col min="22" max="22" width="12.7265625" bestFit="1" customWidth="1"/>
  </cols>
  <sheetData>
    <row r="1" spans="1:22" ht="28.8" x14ac:dyDescent="0.75">
      <c r="A1" s="9" t="s">
        <v>62</v>
      </c>
    </row>
    <row r="2" spans="1:22" s="28" customFormat="1" ht="64.2" customHeight="1" x14ac:dyDescent="0.25">
      <c r="A2" s="22" t="s">
        <v>12</v>
      </c>
      <c r="B2" s="23" t="s">
        <v>61</v>
      </c>
      <c r="C2" s="24" t="s">
        <v>63</v>
      </c>
      <c r="D2" s="25" t="s">
        <v>60</v>
      </c>
      <c r="E2" s="36" t="s">
        <v>69</v>
      </c>
      <c r="F2" s="37" t="s">
        <v>70</v>
      </c>
      <c r="G2" s="47" t="s">
        <v>0</v>
      </c>
      <c r="H2" s="26" t="s">
        <v>1</v>
      </c>
      <c r="I2" s="26" t="s">
        <v>2</v>
      </c>
      <c r="J2" s="26" t="s">
        <v>3</v>
      </c>
      <c r="K2" s="26" t="s">
        <v>4</v>
      </c>
      <c r="L2" s="26" t="s">
        <v>5</v>
      </c>
      <c r="M2" s="26" t="s">
        <v>6</v>
      </c>
      <c r="N2" s="26" t="s">
        <v>7</v>
      </c>
      <c r="O2" s="26" t="s">
        <v>8</v>
      </c>
      <c r="P2" s="26" t="s">
        <v>10</v>
      </c>
      <c r="Q2" s="26" t="s">
        <v>67</v>
      </c>
      <c r="R2" s="26" t="s">
        <v>68</v>
      </c>
      <c r="S2" s="26" t="s">
        <v>65</v>
      </c>
      <c r="T2" s="33" t="s">
        <v>66</v>
      </c>
      <c r="U2" s="27" t="s">
        <v>64</v>
      </c>
    </row>
    <row r="3" spans="1:22" s="28" customFormat="1" ht="26.4" hidden="1" x14ac:dyDescent="0.6">
      <c r="A3" s="15" t="s">
        <v>58</v>
      </c>
      <c r="B3" s="16">
        <f t="shared" ref="B3:B4" si="0">+D3-T3-U3</f>
        <v>0</v>
      </c>
      <c r="C3" s="21" t="e">
        <f t="shared" ref="C3:C4" si="1">+B3/D3</f>
        <v>#DIV/0!</v>
      </c>
      <c r="D3" s="25"/>
      <c r="E3" s="36"/>
      <c r="F3" s="37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33">
        <f>SUM(G3:S3)</f>
        <v>0</v>
      </c>
      <c r="U3" s="27"/>
    </row>
    <row r="4" spans="1:22" s="28" customFormat="1" ht="26.4" hidden="1" x14ac:dyDescent="0.6">
      <c r="A4" s="15" t="s">
        <v>59</v>
      </c>
      <c r="B4" s="16">
        <f t="shared" si="0"/>
        <v>0</v>
      </c>
      <c r="C4" s="21" t="e">
        <f t="shared" si="1"/>
        <v>#DIV/0!</v>
      </c>
      <c r="D4" s="25"/>
      <c r="E4" s="36"/>
      <c r="F4" s="37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33">
        <f t="shared" ref="T4:T16" si="2">SUM(G4:S4)</f>
        <v>0</v>
      </c>
      <c r="U4" s="27"/>
    </row>
    <row r="5" spans="1:22" ht="26.4" x14ac:dyDescent="0.6">
      <c r="A5" s="15" t="s">
        <v>48</v>
      </c>
      <c r="B5" s="38">
        <f>+D5-E5-F5-T5-U5</f>
        <v>-108356.24000000031</v>
      </c>
      <c r="C5" s="39">
        <f>+B5/D5</f>
        <v>-2.6993432929536737E-2</v>
      </c>
      <c r="D5" s="40">
        <v>4014170.42</v>
      </c>
      <c r="E5" s="40">
        <v>823743.63</v>
      </c>
      <c r="F5" s="40">
        <v>1101130</v>
      </c>
      <c r="G5" s="40">
        <f>+'ต้นทุน ปี 68'!D4</f>
        <v>1093315.7500000002</v>
      </c>
      <c r="H5" s="40">
        <f>+'ต้นทุน ปี 68'!D5</f>
        <v>115477.4</v>
      </c>
      <c r="I5" s="40">
        <f>++'ต้นทุน ปี 68'!D6</f>
        <v>10393.16</v>
      </c>
      <c r="J5" s="40">
        <f>+'ต้นทุน ปี 68'!D7</f>
        <v>331113.89</v>
      </c>
      <c r="K5" s="40">
        <f>+'ต้นทุน ปี 68'!D8</f>
        <v>320400.64000000001</v>
      </c>
      <c r="L5" s="40">
        <f>+'ต้นทุน ปี 68'!D9</f>
        <v>29133.419999999995</v>
      </c>
      <c r="M5" s="40">
        <v>205840.92</v>
      </c>
      <c r="N5" s="40">
        <v>12000</v>
      </c>
      <c r="O5" s="40">
        <f>+'ต้นทุน ปี 68'!D12</f>
        <v>0</v>
      </c>
      <c r="P5" s="40">
        <f>+'ต้นทุน ปี 68'!D13</f>
        <v>10172.450000000001</v>
      </c>
      <c r="Q5" s="40">
        <f>+'ต้นทุน ปี 68'!D14</f>
        <v>0</v>
      </c>
      <c r="R5" s="40">
        <f>+'ต้นทุน ปี 68'!D15</f>
        <v>0</v>
      </c>
      <c r="S5" s="40">
        <f>+'ต้นทุน ปี 68'!D16</f>
        <v>598</v>
      </c>
      <c r="T5" s="41">
        <f>SUM(G5:S5)</f>
        <v>2128445.6300000004</v>
      </c>
      <c r="U5" s="40">
        <f>+'[1]คำนวนต้นทุน(1-31)'!$G$8</f>
        <v>69207.399999999994</v>
      </c>
    </row>
    <row r="6" spans="1:22" ht="26.4" x14ac:dyDescent="0.6">
      <c r="A6" s="15" t="s">
        <v>49</v>
      </c>
      <c r="B6" s="38">
        <f t="shared" ref="B6:B16" si="3">+D6-E6-F6-T6-U6</f>
        <v>-274452.52</v>
      </c>
      <c r="C6" s="39">
        <f t="shared" ref="C6:C17" si="4">+B6/D6</f>
        <v>-0.2990995621972401</v>
      </c>
      <c r="D6" s="40">
        <v>917595.86</v>
      </c>
      <c r="E6" s="40">
        <v>115733.91</v>
      </c>
      <c r="F6" s="40">
        <v>124038.48</v>
      </c>
      <c r="G6" s="40">
        <f>+'ต้นทุน ปี 68'!E4</f>
        <v>350398.31999999995</v>
      </c>
      <c r="H6" s="40">
        <f>+'ต้นทุน ปี 68'!E5</f>
        <v>21340.1</v>
      </c>
      <c r="I6" s="40">
        <f>+'ต้นทุน ปี 68'!E6</f>
        <v>3807.9</v>
      </c>
      <c r="J6" s="40">
        <f>+'ต้นทุน ปี 68'!E7</f>
        <v>297383.76</v>
      </c>
      <c r="K6" s="40">
        <f>+'ต้นทุน ปี 68'!E8</f>
        <v>90298.77</v>
      </c>
      <c r="L6" s="40">
        <f>+'ต้นทุน ปี 68'!E9</f>
        <v>18121.839999999997</v>
      </c>
      <c r="M6" s="40">
        <f>+'ต้นทุน ปี 68'!E10</f>
        <v>86017.790000000008</v>
      </c>
      <c r="N6" s="40">
        <f>+'ต้นทุน ปี 68'!E11</f>
        <v>58458.34</v>
      </c>
      <c r="O6" s="40">
        <f>+'ต้นทุน ปี 68'!E12</f>
        <v>0</v>
      </c>
      <c r="P6" s="40">
        <f>+'ต้นทุน ปี 68'!E13</f>
        <v>10241.68</v>
      </c>
      <c r="Q6" s="40">
        <f>+'ต้นทุน ปี 68'!E14</f>
        <v>0</v>
      </c>
      <c r="R6" s="40">
        <f>+'ต้นทุน ปี 68'!E15</f>
        <v>0</v>
      </c>
      <c r="S6" s="40">
        <f>+'ต้นทุน ปี 68'!E16</f>
        <v>598</v>
      </c>
      <c r="T6" s="41">
        <f t="shared" si="2"/>
        <v>936666.5</v>
      </c>
      <c r="U6" s="40">
        <f>+[2]คำนวนต้นทุน!$G$12+[2]คำนวนต้นทุน!$G$13</f>
        <v>15609.49</v>
      </c>
    </row>
    <row r="7" spans="1:22" ht="26.4" x14ac:dyDescent="0.6">
      <c r="A7" s="15" t="s">
        <v>50</v>
      </c>
      <c r="B7" s="38">
        <f t="shared" si="3"/>
        <v>-76593.499999999782</v>
      </c>
      <c r="C7" s="39">
        <f t="shared" si="4"/>
        <v>-5.0029847361397088E-2</v>
      </c>
      <c r="D7" s="40">
        <v>1530956.1</v>
      </c>
      <c r="E7" s="40">
        <v>430792.89</v>
      </c>
      <c r="F7" s="40">
        <v>203124.93</v>
      </c>
      <c r="G7" s="40">
        <f>+'ต้นทุน ปี 68'!F4</f>
        <v>370992.26999999984</v>
      </c>
      <c r="H7" s="40">
        <f>+'ต้นทุน ปี 68'!F5</f>
        <v>44799.199999999997</v>
      </c>
      <c r="I7" s="40">
        <f>+'ต้นทุน ปี 68'!F6</f>
        <v>4193.66</v>
      </c>
      <c r="J7" s="40">
        <f>+'ต้นทุน ปี 68'!F7</f>
        <v>284736.14</v>
      </c>
      <c r="K7" s="40">
        <f>+'ต้นทุน ปี 68'!F8</f>
        <v>124023.27</v>
      </c>
      <c r="L7" s="40">
        <f>+'ต้นทุน ปี 68'!F9</f>
        <v>12916.52</v>
      </c>
      <c r="M7" s="40">
        <f>+'ต้นทุน ปี 68'!F10</f>
        <v>73410.069999999992</v>
      </c>
      <c r="N7" s="40">
        <f>+'ต้นทุน ปี 68'!F11</f>
        <v>46669.39</v>
      </c>
      <c r="O7" s="40">
        <f>+'ต้นทุน ปี 68'!F12</f>
        <v>0</v>
      </c>
      <c r="P7" s="40">
        <f>+'ต้นทุน ปี 68'!F13</f>
        <v>3983.52</v>
      </c>
      <c r="Q7" s="40">
        <f>+'ต้นทุน ปี 68'!F14</f>
        <v>0</v>
      </c>
      <c r="R7" s="40">
        <f>+'ต้นทุน ปี 68'!F15</f>
        <v>1671</v>
      </c>
      <c r="S7" s="40">
        <f>+'ต้นทุน ปี 68'!F16</f>
        <v>598</v>
      </c>
      <c r="T7" s="41">
        <f t="shared" si="2"/>
        <v>967993.0399999998</v>
      </c>
      <c r="U7" s="40">
        <v>5638.74</v>
      </c>
    </row>
    <row r="8" spans="1:22" ht="26.4" x14ac:dyDescent="0.6">
      <c r="A8" s="15" t="s">
        <v>51</v>
      </c>
      <c r="B8" s="38">
        <f t="shared" si="3"/>
        <v>166032.97509999946</v>
      </c>
      <c r="C8" s="39">
        <f t="shared" si="4"/>
        <v>5.0420162087879826E-2</v>
      </c>
      <c r="D8" s="40">
        <v>3292987.73</v>
      </c>
      <c r="E8" s="35">
        <v>658597.55000000005</v>
      </c>
      <c r="F8" s="35">
        <v>428088.40490000002</v>
      </c>
      <c r="G8" s="40">
        <v>913065.91</v>
      </c>
      <c r="H8" s="40">
        <v>65962</v>
      </c>
      <c r="I8" s="40">
        <v>13703.66</v>
      </c>
      <c r="J8" s="35">
        <v>290000</v>
      </c>
      <c r="K8" s="35">
        <v>395158.53</v>
      </c>
      <c r="L8" s="40">
        <v>18469.349999999999</v>
      </c>
      <c r="M8" s="40">
        <v>214437.16</v>
      </c>
      <c r="N8" s="40">
        <v>43326.35</v>
      </c>
      <c r="O8" s="40">
        <v>0</v>
      </c>
      <c r="P8" s="40">
        <v>271.3</v>
      </c>
      <c r="Q8" s="40">
        <v>69106.539999999994</v>
      </c>
      <c r="R8" s="40">
        <v>0</v>
      </c>
      <c r="S8" s="40">
        <v>598</v>
      </c>
      <c r="T8" s="41">
        <f t="shared" si="2"/>
        <v>2024098.8000000003</v>
      </c>
      <c r="U8" s="40">
        <v>16170</v>
      </c>
    </row>
    <row r="9" spans="1:22" ht="26.4" x14ac:dyDescent="0.6">
      <c r="A9" s="15" t="s">
        <v>52</v>
      </c>
      <c r="B9" s="38">
        <f t="shared" si="3"/>
        <v>0</v>
      </c>
      <c r="C9" s="39" t="e">
        <f t="shared" si="4"/>
        <v>#DIV/0!</v>
      </c>
      <c r="D9" s="40">
        <f>+'ยอดขาย ปี 68'!B7</f>
        <v>0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1">
        <f t="shared" si="2"/>
        <v>0</v>
      </c>
      <c r="U9" s="40"/>
    </row>
    <row r="10" spans="1:22" ht="26.4" x14ac:dyDescent="0.6">
      <c r="A10" s="15" t="s">
        <v>53</v>
      </c>
      <c r="B10" s="38">
        <f t="shared" si="3"/>
        <v>0</v>
      </c>
      <c r="C10" s="39" t="e">
        <f t="shared" si="4"/>
        <v>#DIV/0!</v>
      </c>
      <c r="D10" s="40">
        <f>+'ยอดขาย ปี 68'!B8</f>
        <v>0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1">
        <f t="shared" si="2"/>
        <v>0</v>
      </c>
      <c r="U10" s="40"/>
    </row>
    <row r="11" spans="1:22" ht="26.4" x14ac:dyDescent="0.6">
      <c r="A11" s="15" t="s">
        <v>54</v>
      </c>
      <c r="B11" s="38">
        <f t="shared" si="3"/>
        <v>0</v>
      </c>
      <c r="C11" s="39" t="e">
        <f t="shared" si="4"/>
        <v>#DIV/0!</v>
      </c>
      <c r="D11" s="40">
        <f>+'ยอดขาย ปี 68'!B9</f>
        <v>0</v>
      </c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>
        <f t="shared" si="2"/>
        <v>0</v>
      </c>
      <c r="U11" s="40"/>
    </row>
    <row r="12" spans="1:22" ht="26.4" x14ac:dyDescent="0.6">
      <c r="A12" s="15" t="s">
        <v>55</v>
      </c>
      <c r="B12" s="38">
        <f>+D12-E12-F12-T12-U12</f>
        <v>0</v>
      </c>
      <c r="C12" s="39" t="e">
        <f t="shared" si="4"/>
        <v>#DIV/0!</v>
      </c>
      <c r="D12" s="40">
        <f>+'ยอดขาย ปี 68'!B10</f>
        <v>0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1">
        <f t="shared" si="2"/>
        <v>0</v>
      </c>
      <c r="U12" s="40"/>
    </row>
    <row r="13" spans="1:22" ht="26.4" x14ac:dyDescent="0.6">
      <c r="A13" s="15" t="s">
        <v>56</v>
      </c>
      <c r="B13" s="38">
        <f>+D13-E13-F13-T13-U13</f>
        <v>0</v>
      </c>
      <c r="C13" s="39" t="e">
        <f t="shared" si="4"/>
        <v>#DIV/0!</v>
      </c>
      <c r="D13" s="40">
        <f>+'ยอดขาย ปี 68'!B11</f>
        <v>0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>
        <f t="shared" si="2"/>
        <v>0</v>
      </c>
      <c r="U13" s="40"/>
      <c r="V13" s="46"/>
    </row>
    <row r="14" spans="1:22" ht="26.4" x14ac:dyDescent="0.6">
      <c r="A14" s="15" t="s">
        <v>57</v>
      </c>
      <c r="B14" s="38">
        <f t="shared" si="3"/>
        <v>0</v>
      </c>
      <c r="C14" s="39" t="e">
        <f t="shared" si="4"/>
        <v>#DIV/0!</v>
      </c>
      <c r="D14" s="40">
        <f>+'ยอดขาย ปี 68'!B12</f>
        <v>0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>
        <f t="shared" si="2"/>
        <v>0</v>
      </c>
      <c r="U14" s="40"/>
    </row>
    <row r="15" spans="1:22" ht="26.4" x14ac:dyDescent="0.6">
      <c r="A15" s="15" t="s">
        <v>58</v>
      </c>
      <c r="B15" s="38">
        <f t="shared" si="3"/>
        <v>0</v>
      </c>
      <c r="C15" s="39" t="e">
        <f t="shared" si="4"/>
        <v>#DIV/0!</v>
      </c>
      <c r="D15" s="40">
        <f>+'ยอดขาย ปี 68'!B13</f>
        <v>0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>
        <f t="shared" si="2"/>
        <v>0</v>
      </c>
      <c r="U15" s="40"/>
    </row>
    <row r="16" spans="1:22" ht="26.4" x14ac:dyDescent="0.6">
      <c r="A16" s="15" t="s">
        <v>59</v>
      </c>
      <c r="B16" s="38">
        <f t="shared" si="3"/>
        <v>0</v>
      </c>
      <c r="C16" s="39" t="e">
        <f t="shared" si="4"/>
        <v>#DIV/0!</v>
      </c>
      <c r="D16" s="40">
        <f>+'ยอดขาย ปี 68'!B14</f>
        <v>0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>
        <f t="shared" si="2"/>
        <v>0</v>
      </c>
      <c r="U16" s="40"/>
    </row>
    <row r="17" spans="1:21" ht="24" thickBot="1" x14ac:dyDescent="0.65">
      <c r="A17" s="18" t="s">
        <v>11</v>
      </c>
      <c r="B17" s="42">
        <f>SUM(B3:B16)</f>
        <v>-293369.28490000067</v>
      </c>
      <c r="C17" s="43">
        <f t="shared" si="4"/>
        <v>-3.0071545955356459E-2</v>
      </c>
      <c r="D17" s="44">
        <f>SUM(D3:D16)</f>
        <v>9755710.1100000013</v>
      </c>
      <c r="E17" s="44"/>
      <c r="F17" s="44"/>
      <c r="G17" s="44">
        <f>SUM(G3:G16)</f>
        <v>2727772.25</v>
      </c>
      <c r="H17" s="44">
        <f t="shared" ref="H17:S17" si="5">SUM(H3:H16)</f>
        <v>247578.7</v>
      </c>
      <c r="I17" s="44">
        <f t="shared" si="5"/>
        <v>32098.38</v>
      </c>
      <c r="J17" s="44">
        <f t="shared" si="5"/>
        <v>1203233.79</v>
      </c>
      <c r="K17" s="44">
        <f t="shared" si="5"/>
        <v>929881.21000000008</v>
      </c>
      <c r="L17" s="44">
        <f t="shared" si="5"/>
        <v>78641.13</v>
      </c>
      <c r="M17" s="44">
        <f t="shared" si="5"/>
        <v>579705.94000000006</v>
      </c>
      <c r="N17" s="44">
        <f t="shared" si="5"/>
        <v>160454.07999999999</v>
      </c>
      <c r="O17" s="44">
        <f t="shared" si="5"/>
        <v>0</v>
      </c>
      <c r="P17" s="44">
        <f t="shared" si="5"/>
        <v>24668.95</v>
      </c>
      <c r="Q17" s="44"/>
      <c r="R17" s="44"/>
      <c r="S17" s="44">
        <f t="shared" si="5"/>
        <v>2392</v>
      </c>
      <c r="T17" s="45">
        <f>SUM(T3:T16)</f>
        <v>6057203.9700000007</v>
      </c>
      <c r="U17" s="44">
        <f>SUM(U3:U16)</f>
        <v>106625.63</v>
      </c>
    </row>
    <row r="18" spans="1:21" ht="15.6" thickTop="1" x14ac:dyDescent="0.25"/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8FE9-33F5-42D6-9095-F220480E5E7C}">
  <sheetPr>
    <tabColor rgb="FFFF66FF"/>
  </sheetPr>
  <dimension ref="A1:V16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6" sqref="B6"/>
    </sheetView>
  </sheetViews>
  <sheetFormatPr defaultColWidth="8.7265625" defaultRowHeight="23.4" x14ac:dyDescent="0.6"/>
  <cols>
    <col min="1" max="1" width="11.36328125" style="10" customWidth="1"/>
    <col min="2" max="2" width="11.1796875" style="10" bestFit="1" customWidth="1"/>
    <col min="3" max="3" width="11.81640625" style="10" bestFit="1" customWidth="1"/>
    <col min="4" max="4" width="10.81640625" style="10" bestFit="1" customWidth="1"/>
    <col min="5" max="5" width="12.1796875" style="10" bestFit="1" customWidth="1"/>
    <col min="6" max="6" width="10.36328125" style="10" bestFit="1" customWidth="1"/>
    <col min="7" max="7" width="9.1796875" style="10" bestFit="1" customWidth="1"/>
    <col min="8" max="8" width="10.36328125" style="10" bestFit="1" customWidth="1"/>
    <col min="9" max="11" width="8.453125" style="10" bestFit="1" customWidth="1"/>
    <col min="12" max="13" width="9.1796875" style="10" bestFit="1" customWidth="1"/>
    <col min="14" max="15" width="8.453125" style="10" bestFit="1" customWidth="1"/>
    <col min="16" max="16" width="9.1796875" style="10" bestFit="1" customWidth="1"/>
    <col min="17" max="17" width="9.453125" style="10" bestFit="1" customWidth="1"/>
    <col min="18" max="18" width="10.36328125" style="10" bestFit="1" customWidth="1"/>
    <col min="19" max="21" width="8.36328125" style="10" bestFit="1" customWidth="1"/>
    <col min="22" max="22" width="10.36328125" style="10" bestFit="1" customWidth="1"/>
    <col min="23" max="16384" width="8.7265625" style="10"/>
  </cols>
  <sheetData>
    <row r="1" spans="1:22" ht="28.8" x14ac:dyDescent="0.75">
      <c r="A1" s="9" t="s">
        <v>27</v>
      </c>
    </row>
    <row r="2" spans="1:22" s="14" customFormat="1" ht="26.4" x14ac:dyDescent="0.7">
      <c r="A2" s="11" t="s">
        <v>12</v>
      </c>
      <c r="B2" s="12" t="s">
        <v>11</v>
      </c>
      <c r="C2" s="13" t="s">
        <v>28</v>
      </c>
      <c r="D2" s="13" t="s">
        <v>29</v>
      </c>
      <c r="E2" s="13" t="s">
        <v>30</v>
      </c>
      <c r="F2" s="13" t="s">
        <v>31</v>
      </c>
      <c r="G2" s="13" t="s">
        <v>32</v>
      </c>
      <c r="H2" s="13" t="s">
        <v>33</v>
      </c>
      <c r="I2" s="13" t="s">
        <v>34</v>
      </c>
      <c r="J2" s="13" t="s">
        <v>35</v>
      </c>
      <c r="K2" s="13" t="s">
        <v>36</v>
      </c>
      <c r="L2" s="13" t="s">
        <v>37</v>
      </c>
      <c r="M2" s="13" t="s">
        <v>38</v>
      </c>
      <c r="N2" s="13" t="s">
        <v>39</v>
      </c>
      <c r="O2" s="13" t="s">
        <v>40</v>
      </c>
      <c r="P2" s="13" t="s">
        <v>41</v>
      </c>
      <c r="Q2" s="13" t="s">
        <v>42</v>
      </c>
      <c r="R2" s="13" t="s">
        <v>43</v>
      </c>
      <c r="S2" s="13" t="s">
        <v>44</v>
      </c>
      <c r="T2" s="13" t="s">
        <v>45</v>
      </c>
      <c r="U2" s="13" t="s">
        <v>46</v>
      </c>
      <c r="V2" s="13" t="s">
        <v>47</v>
      </c>
    </row>
    <row r="3" spans="1:22" x14ac:dyDescent="0.6">
      <c r="A3" s="15" t="s">
        <v>48</v>
      </c>
      <c r="B3" s="16">
        <v>2713783.0100000002</v>
      </c>
      <c r="C3" s="17">
        <v>177831.4</v>
      </c>
      <c r="D3" s="17">
        <v>333473</v>
      </c>
      <c r="E3" s="17">
        <v>0</v>
      </c>
      <c r="F3" s="17">
        <v>272043</v>
      </c>
      <c r="G3" s="17">
        <v>84827</v>
      </c>
      <c r="H3" s="17">
        <v>88600.639999999985</v>
      </c>
      <c r="I3" s="17">
        <v>1127.06</v>
      </c>
      <c r="J3" s="17">
        <v>62.65</v>
      </c>
      <c r="K3" s="17">
        <v>432.03</v>
      </c>
      <c r="L3" s="17">
        <v>54940.97</v>
      </c>
      <c r="M3" s="17">
        <v>5891.71</v>
      </c>
      <c r="N3" s="17">
        <v>706.59999999999991</v>
      </c>
      <c r="O3" s="17">
        <v>132.61000000000001</v>
      </c>
      <c r="P3" s="17">
        <v>92171.210000000036</v>
      </c>
      <c r="Q3" s="17">
        <v>21705.86</v>
      </c>
      <c r="R3" s="17">
        <v>996398.86</v>
      </c>
      <c r="S3" s="17">
        <v>0</v>
      </c>
      <c r="T3" s="17">
        <v>0</v>
      </c>
      <c r="U3" s="17">
        <v>0</v>
      </c>
      <c r="V3" s="17">
        <v>583438.41</v>
      </c>
    </row>
    <row r="4" spans="1:22" x14ac:dyDescent="0.6">
      <c r="A4" s="15" t="s">
        <v>49</v>
      </c>
      <c r="B4" s="16">
        <v>768220.03000000014</v>
      </c>
      <c r="C4" s="17">
        <v>172443</v>
      </c>
      <c r="D4" s="17">
        <v>196567.87</v>
      </c>
      <c r="E4" s="17">
        <v>0</v>
      </c>
      <c r="F4" s="17">
        <v>70978</v>
      </c>
      <c r="G4" s="17">
        <v>16668</v>
      </c>
      <c r="H4" s="17">
        <v>27447.969999999998</v>
      </c>
      <c r="I4" s="17">
        <v>165.61</v>
      </c>
      <c r="J4" s="17">
        <v>0</v>
      </c>
      <c r="K4" s="17">
        <v>1248.3800000000001</v>
      </c>
      <c r="L4" s="17">
        <v>303.27999999999997</v>
      </c>
      <c r="M4" s="17">
        <v>3317.4600000000009</v>
      </c>
      <c r="N4" s="17">
        <v>317.93000000000006</v>
      </c>
      <c r="O4" s="17">
        <v>1124.6199999999999</v>
      </c>
      <c r="P4" s="17">
        <v>44912.049999999996</v>
      </c>
      <c r="Q4" s="17">
        <v>3933.6699999999992</v>
      </c>
      <c r="R4" s="17">
        <v>52155.240000000013</v>
      </c>
      <c r="S4" s="17">
        <v>0</v>
      </c>
      <c r="T4" s="17">
        <v>0</v>
      </c>
      <c r="U4" s="17">
        <v>0</v>
      </c>
      <c r="V4" s="17">
        <v>176636.95000000004</v>
      </c>
    </row>
    <row r="5" spans="1:22" x14ac:dyDescent="0.6">
      <c r="A5" s="15" t="s">
        <v>50</v>
      </c>
      <c r="B5" s="16">
        <v>796131.60599999991</v>
      </c>
      <c r="C5" s="17">
        <v>109136</v>
      </c>
      <c r="D5" s="17">
        <v>242120</v>
      </c>
      <c r="E5" s="17">
        <v>0</v>
      </c>
      <c r="F5" s="17">
        <v>97020</v>
      </c>
      <c r="G5" s="17">
        <v>13788</v>
      </c>
      <c r="H5" s="17">
        <v>73401.91</v>
      </c>
      <c r="I5" s="17">
        <v>0</v>
      </c>
      <c r="J5" s="17">
        <v>0</v>
      </c>
      <c r="K5" s="17">
        <v>1596.6999999999998</v>
      </c>
      <c r="L5" s="17">
        <v>0</v>
      </c>
      <c r="M5" s="17">
        <v>5662.7000000000007</v>
      </c>
      <c r="N5" s="17">
        <v>0</v>
      </c>
      <c r="O5" s="17">
        <v>259.03000000000003</v>
      </c>
      <c r="P5" s="17">
        <v>27163.036</v>
      </c>
      <c r="Q5" s="17">
        <v>6295.37</v>
      </c>
      <c r="R5" s="17">
        <v>18845.98</v>
      </c>
      <c r="S5" s="17">
        <v>0</v>
      </c>
      <c r="T5" s="17">
        <v>0</v>
      </c>
      <c r="U5" s="17">
        <v>0</v>
      </c>
      <c r="V5" s="17">
        <v>200842.88</v>
      </c>
    </row>
    <row r="6" spans="1:22" x14ac:dyDescent="0.6">
      <c r="A6" s="15" t="s">
        <v>51</v>
      </c>
      <c r="B6" s="16">
        <v>1723910.5300000003</v>
      </c>
      <c r="C6" s="17">
        <v>156696</v>
      </c>
      <c r="D6" s="17">
        <v>214385</v>
      </c>
      <c r="E6" s="17">
        <v>0</v>
      </c>
      <c r="F6" s="17">
        <v>158810</v>
      </c>
      <c r="G6" s="17">
        <v>25063</v>
      </c>
      <c r="H6" s="17">
        <v>61357.989999999991</v>
      </c>
      <c r="I6" s="17">
        <v>0</v>
      </c>
      <c r="J6" s="17">
        <v>0</v>
      </c>
      <c r="K6" s="17">
        <v>4298.74</v>
      </c>
      <c r="L6" s="17">
        <v>0</v>
      </c>
      <c r="M6" s="17">
        <v>21651.79</v>
      </c>
      <c r="N6" s="17">
        <v>0</v>
      </c>
      <c r="O6" s="17">
        <v>0</v>
      </c>
      <c r="P6" s="17">
        <v>3090.6000000000008</v>
      </c>
      <c r="Q6" s="17">
        <v>2615.5899999999997</v>
      </c>
      <c r="R6" s="17">
        <v>224982.25999999995</v>
      </c>
      <c r="S6" s="17">
        <v>0</v>
      </c>
      <c r="T6" s="17">
        <v>0</v>
      </c>
      <c r="U6" s="17">
        <v>0</v>
      </c>
      <c r="V6" s="17">
        <v>850959.56000000017</v>
      </c>
    </row>
    <row r="7" spans="1:22" x14ac:dyDescent="0.6">
      <c r="A7" s="15" t="s">
        <v>52</v>
      </c>
      <c r="B7" s="16">
        <f t="shared" ref="B7:B14" si="0">SUM(C7:V7)</f>
        <v>0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>
        <f>+'[3]ปี 68'!$S$3</f>
        <v>0</v>
      </c>
      <c r="T7" s="17">
        <f>+'[3]ปี 68'!$T$3</f>
        <v>0</v>
      </c>
      <c r="U7" s="17">
        <f>+'[3]ปี 68'!$U$3</f>
        <v>0</v>
      </c>
      <c r="V7" s="17"/>
    </row>
    <row r="8" spans="1:22" x14ac:dyDescent="0.6">
      <c r="A8" s="15" t="s">
        <v>53</v>
      </c>
      <c r="B8" s="16">
        <f t="shared" si="0"/>
        <v>0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>
        <f>+'[3]ปี 68'!$S$3</f>
        <v>0</v>
      </c>
      <c r="T8" s="17">
        <f>+'[3]ปี 68'!$T$3</f>
        <v>0</v>
      </c>
      <c r="U8" s="17">
        <f>+'[3]ปี 68'!$U$3</f>
        <v>0</v>
      </c>
      <c r="V8" s="17"/>
    </row>
    <row r="9" spans="1:22" x14ac:dyDescent="0.6">
      <c r="A9" s="15" t="s">
        <v>54</v>
      </c>
      <c r="B9" s="16">
        <f t="shared" si="0"/>
        <v>0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>
        <f>+'[3]ปี 68'!$S$3</f>
        <v>0</v>
      </c>
      <c r="T9" s="17">
        <f>+'[3]ปี 68'!$T$3</f>
        <v>0</v>
      </c>
      <c r="U9" s="17">
        <f>+'[3]ปี 68'!$U$3</f>
        <v>0</v>
      </c>
      <c r="V9" s="17"/>
    </row>
    <row r="10" spans="1:22" x14ac:dyDescent="0.6">
      <c r="A10" s="15" t="s">
        <v>55</v>
      </c>
      <c r="B10" s="16">
        <f t="shared" si="0"/>
        <v>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>
        <f>+'[3]ปี 68'!$S$3</f>
        <v>0</v>
      </c>
      <c r="T10" s="17">
        <f>+'[3]ปี 68'!$T$3</f>
        <v>0</v>
      </c>
      <c r="U10" s="17">
        <f>+'[3]ปี 68'!$U$3</f>
        <v>0</v>
      </c>
      <c r="V10" s="17"/>
    </row>
    <row r="11" spans="1:22" x14ac:dyDescent="0.6">
      <c r="A11" s="15" t="s">
        <v>56</v>
      </c>
      <c r="B11" s="16">
        <f t="shared" si="0"/>
        <v>0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>
        <f>+'[3]ปี 68'!$S$3</f>
        <v>0</v>
      </c>
      <c r="T11" s="17">
        <f>+'[3]ปี 68'!$T$3</f>
        <v>0</v>
      </c>
      <c r="U11" s="17">
        <f>+'[3]ปี 68'!$U$3</f>
        <v>0</v>
      </c>
      <c r="V11" s="17"/>
    </row>
    <row r="12" spans="1:22" x14ac:dyDescent="0.6">
      <c r="A12" s="15" t="s">
        <v>57</v>
      </c>
      <c r="B12" s="16">
        <f t="shared" si="0"/>
        <v>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>
        <f>+'[3]ปี 68'!$S$3</f>
        <v>0</v>
      </c>
      <c r="T12" s="17">
        <f>+'[3]ปี 68'!$T$3</f>
        <v>0</v>
      </c>
      <c r="U12" s="17">
        <f>+'[3]ปี 68'!$U$3</f>
        <v>0</v>
      </c>
      <c r="V12" s="17"/>
    </row>
    <row r="13" spans="1:22" x14ac:dyDescent="0.6">
      <c r="A13" s="15" t="s">
        <v>58</v>
      </c>
      <c r="B13" s="16">
        <f t="shared" si="0"/>
        <v>0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>
        <f>+'[3]ปี 68'!$S$3</f>
        <v>0</v>
      </c>
      <c r="T13" s="17">
        <f>+'[3]ปี 68'!$T$3</f>
        <v>0</v>
      </c>
      <c r="U13" s="17">
        <f>+'[3]ปี 68'!$U$3</f>
        <v>0</v>
      </c>
      <c r="V13" s="17"/>
    </row>
    <row r="14" spans="1:22" x14ac:dyDescent="0.6">
      <c r="A14" s="15" t="s">
        <v>59</v>
      </c>
      <c r="B14" s="16">
        <f t="shared" si="0"/>
        <v>0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>
        <f>+'[3]ปี 68'!$S$3</f>
        <v>0</v>
      </c>
      <c r="T14" s="17">
        <f>+'[3]ปี 68'!$T$3</f>
        <v>0</v>
      </c>
      <c r="U14" s="17">
        <f>+'[3]ปี 68'!$U$3</f>
        <v>0</v>
      </c>
      <c r="V14" s="17"/>
    </row>
    <row r="15" spans="1:22" ht="24" thickBot="1" x14ac:dyDescent="0.65">
      <c r="A15" s="18" t="s">
        <v>11</v>
      </c>
      <c r="B15" s="19">
        <f>SUM(B3:B14)</f>
        <v>6002045.1760000009</v>
      </c>
      <c r="C15" s="20">
        <f t="shared" ref="C15:V15" si="1">SUM(C3:C14)</f>
        <v>616106.4</v>
      </c>
      <c r="D15" s="20">
        <f t="shared" si="1"/>
        <v>986545.87</v>
      </c>
      <c r="E15" s="20">
        <f t="shared" si="1"/>
        <v>0</v>
      </c>
      <c r="F15" s="20">
        <f t="shared" si="1"/>
        <v>598851</v>
      </c>
      <c r="G15" s="20">
        <f t="shared" si="1"/>
        <v>140346</v>
      </c>
      <c r="H15" s="20">
        <f t="shared" si="1"/>
        <v>250808.50999999998</v>
      </c>
      <c r="I15" s="20">
        <f t="shared" si="1"/>
        <v>1292.67</v>
      </c>
      <c r="J15" s="20">
        <f t="shared" si="1"/>
        <v>62.65</v>
      </c>
      <c r="K15" s="20">
        <f t="shared" si="1"/>
        <v>7575.8499999999995</v>
      </c>
      <c r="L15" s="20">
        <f t="shared" si="1"/>
        <v>55244.25</v>
      </c>
      <c r="M15" s="20">
        <f t="shared" si="1"/>
        <v>36523.660000000003</v>
      </c>
      <c r="N15" s="20">
        <f t="shared" si="1"/>
        <v>1024.53</v>
      </c>
      <c r="O15" s="20">
        <f t="shared" si="1"/>
        <v>1516.26</v>
      </c>
      <c r="P15" s="20">
        <f t="shared" si="1"/>
        <v>167336.89600000004</v>
      </c>
      <c r="Q15" s="20">
        <f t="shared" si="1"/>
        <v>34550.49</v>
      </c>
      <c r="R15" s="20">
        <f t="shared" si="1"/>
        <v>1292382.3400000001</v>
      </c>
      <c r="S15" s="20">
        <f t="shared" si="1"/>
        <v>0</v>
      </c>
      <c r="T15" s="20">
        <f t="shared" si="1"/>
        <v>0</v>
      </c>
      <c r="U15" s="20">
        <f t="shared" si="1"/>
        <v>0</v>
      </c>
      <c r="V15" s="20">
        <f t="shared" si="1"/>
        <v>1811877.8000000003</v>
      </c>
    </row>
    <row r="16" spans="1:22" ht="24" thickTop="1" x14ac:dyDescent="0.6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8718-E39E-423E-BD42-D24ED60E99C8}">
  <sheetPr>
    <tabColor rgb="FF00FFFF"/>
    <pageSetUpPr fitToPage="1"/>
  </sheetPr>
  <dimension ref="A1:O20"/>
  <sheetViews>
    <sheetView zoomScaleNormal="100" workbookViewId="0">
      <pane xSplit="3" ySplit="3" topLeftCell="D7" activePane="bottomRight" state="frozen"/>
      <selection pane="topRight" activeCell="D1" sqref="D1"/>
      <selection pane="bottomLeft" activeCell="A4" sqref="A4"/>
      <selection pane="bottomRight" activeCell="J11" sqref="J11"/>
    </sheetView>
  </sheetViews>
  <sheetFormatPr defaultRowHeight="15" x14ac:dyDescent="0.25"/>
  <cols>
    <col min="1" max="1" width="7" customWidth="1"/>
    <col min="2" max="2" width="22.6328125" bestFit="1" customWidth="1"/>
    <col min="3" max="3" width="11.90625" customWidth="1"/>
    <col min="4" max="4" width="12.7265625" bestFit="1" customWidth="1"/>
    <col min="5" max="5" width="11.1796875" bestFit="1" customWidth="1"/>
    <col min="6" max="6" width="9.1796875" bestFit="1" customWidth="1"/>
    <col min="7" max="7" width="10.36328125" bestFit="1" customWidth="1"/>
    <col min="17" max="17" width="9.1796875" bestFit="1" customWidth="1"/>
  </cols>
  <sheetData>
    <row r="1" spans="1:15" ht="28.8" x14ac:dyDescent="0.75">
      <c r="A1" s="3" t="s">
        <v>26</v>
      </c>
    </row>
    <row r="2" spans="1:15" ht="26.4" x14ac:dyDescent="0.7">
      <c r="A2" s="49" t="s">
        <v>25</v>
      </c>
      <c r="B2" s="49" t="s">
        <v>9</v>
      </c>
      <c r="C2" s="50" t="s">
        <v>11</v>
      </c>
      <c r="D2" s="48" t="s">
        <v>12</v>
      </c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26.4" x14ac:dyDescent="0.7">
      <c r="A3" s="49"/>
      <c r="B3" s="49"/>
      <c r="C3" s="50"/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</row>
    <row r="4" spans="1:15" ht="23.4" x14ac:dyDescent="0.6">
      <c r="A4" s="2">
        <v>1</v>
      </c>
      <c r="B4" s="1" t="s">
        <v>0</v>
      </c>
      <c r="C4" s="29">
        <f>SUM(D4:O4)</f>
        <v>2727772.2500000005</v>
      </c>
      <c r="D4" s="8">
        <f>+'[1]คำนวนต้นทุน(1-31)'!$C$3</f>
        <v>1093315.7500000002</v>
      </c>
      <c r="E4" s="31">
        <v>350398.31999999995</v>
      </c>
      <c r="F4" s="31">
        <v>370992.26999999984</v>
      </c>
      <c r="G4" s="8">
        <v>913065.91000000027</v>
      </c>
      <c r="H4" s="8"/>
      <c r="I4" s="8"/>
      <c r="J4" s="8"/>
      <c r="K4" s="8"/>
      <c r="L4" s="8"/>
      <c r="M4" s="8"/>
      <c r="N4" s="8"/>
      <c r="O4" s="8"/>
    </row>
    <row r="5" spans="1:15" ht="23.4" x14ac:dyDescent="0.6">
      <c r="A5" s="2">
        <v>2</v>
      </c>
      <c r="B5" s="1" t="s">
        <v>1</v>
      </c>
      <c r="C5" s="29">
        <f t="shared" ref="C5:C16" si="0">SUM(D5:O5)</f>
        <v>247578.7</v>
      </c>
      <c r="D5" s="8">
        <f>+'[1]คำนวนต้นทุน(1-31)'!$C$4</f>
        <v>115477.4</v>
      </c>
      <c r="E5" s="31">
        <v>21340.1</v>
      </c>
      <c r="F5" s="31">
        <v>44799.199999999997</v>
      </c>
      <c r="G5" s="8">
        <v>65962</v>
      </c>
      <c r="H5" s="8"/>
      <c r="I5" s="8"/>
      <c r="J5" s="8"/>
      <c r="K5" s="8"/>
      <c r="L5" s="8"/>
      <c r="M5" s="8"/>
      <c r="N5" s="8"/>
      <c r="O5" s="8"/>
    </row>
    <row r="6" spans="1:15" ht="23.4" x14ac:dyDescent="0.6">
      <c r="A6" s="2">
        <v>3</v>
      </c>
      <c r="B6" s="1" t="s">
        <v>2</v>
      </c>
      <c r="C6" s="29">
        <f t="shared" si="0"/>
        <v>32098.38</v>
      </c>
      <c r="D6" s="8">
        <f>+'[1]คำนวนต้นทุน(1-31)'!$C$5</f>
        <v>10393.16</v>
      </c>
      <c r="E6" s="31">
        <v>3807.9</v>
      </c>
      <c r="F6" s="31">
        <v>4193.66</v>
      </c>
      <c r="G6" s="8">
        <v>13703.66</v>
      </c>
      <c r="H6" s="8"/>
      <c r="I6" s="8"/>
      <c r="J6" s="8"/>
      <c r="K6" s="8"/>
      <c r="L6" s="8"/>
      <c r="M6" s="8"/>
      <c r="N6" s="8"/>
      <c r="O6" s="8"/>
    </row>
    <row r="7" spans="1:15" ht="23.4" x14ac:dyDescent="0.6">
      <c r="A7" s="2">
        <v>4</v>
      </c>
      <c r="B7" s="1" t="s">
        <v>3</v>
      </c>
      <c r="C7" s="29">
        <f t="shared" si="0"/>
        <v>1203233.79</v>
      </c>
      <c r="D7" s="8">
        <f>+'[1]คำนวนต้นทุน(1-31)'!$C$6</f>
        <v>331113.89</v>
      </c>
      <c r="E7" s="31">
        <v>297383.76</v>
      </c>
      <c r="F7" s="31">
        <v>284736.14</v>
      </c>
      <c r="G7" s="34">
        <v>290000</v>
      </c>
      <c r="H7" s="8"/>
      <c r="I7" s="8"/>
      <c r="J7" s="8"/>
      <c r="K7" s="8"/>
      <c r="L7" s="8"/>
      <c r="M7" s="8"/>
      <c r="N7" s="8"/>
      <c r="O7" s="8"/>
    </row>
    <row r="8" spans="1:15" ht="23.4" x14ac:dyDescent="0.6">
      <c r="A8" s="2">
        <v>5</v>
      </c>
      <c r="B8" s="1" t="s">
        <v>4</v>
      </c>
      <c r="C8" s="29">
        <f t="shared" si="0"/>
        <v>929881.20760000008</v>
      </c>
      <c r="D8" s="8">
        <f>+'[1]คำนวนต้นทุน(1-31)'!$G$5</f>
        <v>320400.64000000001</v>
      </c>
      <c r="E8" s="8">
        <v>90298.77</v>
      </c>
      <c r="F8" s="31">
        <v>124023.27</v>
      </c>
      <c r="G8" s="34">
        <v>395158.52759999997</v>
      </c>
      <c r="H8" s="8"/>
      <c r="I8" s="8"/>
      <c r="J8" s="8"/>
      <c r="K8" s="8"/>
      <c r="L8" s="8"/>
      <c r="M8" s="8"/>
      <c r="N8" s="8"/>
      <c r="O8" s="8"/>
    </row>
    <row r="9" spans="1:15" ht="23.4" x14ac:dyDescent="0.6">
      <c r="A9" s="2">
        <v>6</v>
      </c>
      <c r="B9" s="1" t="s">
        <v>5</v>
      </c>
      <c r="C9" s="29">
        <f t="shared" si="0"/>
        <v>78641.13</v>
      </c>
      <c r="D9" s="8">
        <f>+'[1]คำนวนต้นทุน(1-31)'!$C$7</f>
        <v>29133.419999999995</v>
      </c>
      <c r="E9" s="8">
        <v>18121.839999999997</v>
      </c>
      <c r="F9" s="31">
        <v>12916.52</v>
      </c>
      <c r="G9" s="8">
        <v>18469.350000000002</v>
      </c>
      <c r="H9" s="8"/>
      <c r="I9" s="8"/>
      <c r="J9" s="8"/>
      <c r="K9" s="8"/>
      <c r="L9" s="8"/>
      <c r="M9" s="8"/>
      <c r="N9" s="8"/>
      <c r="O9" s="8"/>
    </row>
    <row r="10" spans="1:15" ht="23.4" x14ac:dyDescent="0.6">
      <c r="A10" s="2">
        <v>7</v>
      </c>
      <c r="B10" s="1" t="s">
        <v>6</v>
      </c>
      <c r="C10" s="29">
        <f t="shared" si="0"/>
        <v>579705.94000000006</v>
      </c>
      <c r="D10" s="8">
        <f>+'[1]คำนวนต้นทุน(1-31)'!$C$8</f>
        <v>205840.92</v>
      </c>
      <c r="E10" s="8">
        <v>86017.790000000008</v>
      </c>
      <c r="F10" s="31">
        <v>73410.069999999992</v>
      </c>
      <c r="G10" s="8">
        <v>214437.16</v>
      </c>
      <c r="H10" s="8"/>
      <c r="I10" s="8"/>
      <c r="J10" s="8"/>
      <c r="K10" s="8"/>
      <c r="L10" s="8"/>
      <c r="M10" s="8"/>
      <c r="N10" s="8"/>
      <c r="O10" s="8"/>
    </row>
    <row r="11" spans="1:15" ht="23.4" x14ac:dyDescent="0.6">
      <c r="A11" s="2">
        <v>8</v>
      </c>
      <c r="B11" s="1" t="s">
        <v>7</v>
      </c>
      <c r="C11" s="29">
        <f t="shared" si="0"/>
        <v>160454.07999999999</v>
      </c>
      <c r="D11" s="8">
        <f>+'[1]คำนวนต้นทุน(1-31)'!$C$9</f>
        <v>12000</v>
      </c>
      <c r="E11" s="8">
        <v>58458.34</v>
      </c>
      <c r="F11" s="31">
        <v>46669.39</v>
      </c>
      <c r="G11" s="8">
        <v>43326.35</v>
      </c>
      <c r="H11" s="8"/>
      <c r="I11" s="8"/>
      <c r="J11" s="8"/>
      <c r="K11" s="8"/>
      <c r="L11" s="8"/>
      <c r="M11" s="8"/>
      <c r="N11" s="8"/>
      <c r="O11" s="8"/>
    </row>
    <row r="12" spans="1:15" ht="23.4" x14ac:dyDescent="0.6">
      <c r="A12" s="2">
        <v>9</v>
      </c>
      <c r="B12" s="1" t="s">
        <v>8</v>
      </c>
      <c r="C12" s="29">
        <f t="shared" si="0"/>
        <v>0</v>
      </c>
      <c r="D12" s="8">
        <f>+'[1]คำนวนต้นทุน(1-31)'!$C$10</f>
        <v>0</v>
      </c>
      <c r="E12" s="8">
        <v>0</v>
      </c>
      <c r="F12" s="31">
        <v>0</v>
      </c>
      <c r="G12" s="8">
        <v>0</v>
      </c>
      <c r="H12" s="8"/>
      <c r="I12" s="8"/>
      <c r="J12" s="8"/>
      <c r="K12" s="8"/>
      <c r="L12" s="8"/>
      <c r="M12" s="8"/>
      <c r="N12" s="8"/>
      <c r="O12" s="8"/>
    </row>
    <row r="13" spans="1:15" ht="23.4" x14ac:dyDescent="0.6">
      <c r="A13" s="2">
        <v>10</v>
      </c>
      <c r="B13" s="1" t="s">
        <v>10</v>
      </c>
      <c r="C13" s="29">
        <f t="shared" ref="C13:C15" si="1">SUM(D13:O13)</f>
        <v>24668.95</v>
      </c>
      <c r="D13" s="8">
        <f>+'[1]คำนวนต้นทุน(1-31)'!$C$11</f>
        <v>10172.450000000001</v>
      </c>
      <c r="E13" s="8">
        <v>10241.68</v>
      </c>
      <c r="F13" s="31">
        <v>3983.52</v>
      </c>
      <c r="G13" s="8">
        <v>271.3</v>
      </c>
      <c r="H13" s="8"/>
      <c r="I13" s="8"/>
      <c r="J13" s="8"/>
      <c r="K13" s="8"/>
      <c r="L13" s="8"/>
      <c r="M13" s="8"/>
      <c r="N13" s="8"/>
      <c r="O13" s="8"/>
    </row>
    <row r="14" spans="1:15" ht="23.4" x14ac:dyDescent="0.6">
      <c r="A14" s="2">
        <v>11</v>
      </c>
      <c r="B14" s="1" t="s">
        <v>67</v>
      </c>
      <c r="C14" s="29">
        <f t="shared" si="1"/>
        <v>69106.540000000008</v>
      </c>
      <c r="D14" s="8">
        <v>0</v>
      </c>
      <c r="E14" s="8">
        <v>0</v>
      </c>
      <c r="F14" s="8">
        <v>0</v>
      </c>
      <c r="G14" s="8">
        <v>69106.540000000008</v>
      </c>
      <c r="H14" s="8"/>
      <c r="I14" s="8"/>
      <c r="J14" s="8"/>
      <c r="K14" s="8"/>
      <c r="L14" s="8"/>
      <c r="M14" s="8"/>
      <c r="N14" s="8"/>
      <c r="O14" s="8"/>
    </row>
    <row r="15" spans="1:15" ht="23.4" x14ac:dyDescent="0.6">
      <c r="A15" s="2">
        <v>12</v>
      </c>
      <c r="B15" s="1" t="s">
        <v>68</v>
      </c>
      <c r="C15" s="29">
        <f t="shared" si="1"/>
        <v>1671</v>
      </c>
      <c r="D15" s="8">
        <v>0</v>
      </c>
      <c r="E15" s="8">
        <v>0</v>
      </c>
      <c r="F15" s="8">
        <v>1671</v>
      </c>
      <c r="G15" s="8">
        <v>0</v>
      </c>
      <c r="H15" s="8"/>
      <c r="I15" s="8"/>
      <c r="J15" s="8"/>
      <c r="K15" s="8"/>
      <c r="L15" s="8"/>
      <c r="M15" s="8"/>
      <c r="N15" s="8"/>
      <c r="O15" s="8"/>
    </row>
    <row r="16" spans="1:15" ht="23.4" x14ac:dyDescent="0.6">
      <c r="A16" s="2">
        <v>13</v>
      </c>
      <c r="B16" s="1" t="s">
        <v>65</v>
      </c>
      <c r="C16" s="29">
        <f t="shared" si="0"/>
        <v>2392</v>
      </c>
      <c r="D16" s="8">
        <v>598</v>
      </c>
      <c r="E16" s="8">
        <v>598</v>
      </c>
      <c r="F16" s="31">
        <v>598</v>
      </c>
      <c r="G16" s="8">
        <v>598</v>
      </c>
      <c r="H16" s="8"/>
      <c r="I16" s="8"/>
      <c r="J16" s="8"/>
      <c r="K16" s="8"/>
      <c r="L16" s="8"/>
      <c r="M16" s="8"/>
      <c r="N16" s="8"/>
      <c r="O16" s="8"/>
    </row>
    <row r="17" spans="2:15" ht="23.25" customHeight="1" thickBot="1" x14ac:dyDescent="0.65">
      <c r="B17" s="6" t="s">
        <v>11</v>
      </c>
      <c r="C17" s="30">
        <f>SUM(C4:C16)</f>
        <v>6057203.967600002</v>
      </c>
      <c r="D17" s="7">
        <f>SUM(D4:D16)</f>
        <v>2128445.6300000004</v>
      </c>
      <c r="E17" s="7">
        <f t="shared" ref="E17:O17" si="2">SUM(E4:E16)</f>
        <v>936666.5</v>
      </c>
      <c r="F17" s="7">
        <f>SUM(F4:F16)</f>
        <v>967993.0399999998</v>
      </c>
      <c r="G17" s="7">
        <f t="shared" si="2"/>
        <v>2024098.7976000004</v>
      </c>
      <c r="H17" s="7">
        <f t="shared" si="2"/>
        <v>0</v>
      </c>
      <c r="I17" s="7">
        <f t="shared" si="2"/>
        <v>0</v>
      </c>
      <c r="J17" s="7">
        <f t="shared" si="2"/>
        <v>0</v>
      </c>
      <c r="K17" s="7">
        <f t="shared" si="2"/>
        <v>0</v>
      </c>
      <c r="L17" s="7">
        <f t="shared" si="2"/>
        <v>0</v>
      </c>
      <c r="M17" s="7">
        <f t="shared" si="2"/>
        <v>0</v>
      </c>
      <c r="N17" s="7">
        <f t="shared" si="2"/>
        <v>0</v>
      </c>
      <c r="O17" s="7">
        <f t="shared" si="2"/>
        <v>0</v>
      </c>
    </row>
    <row r="18" spans="2:15" ht="15" customHeight="1" thickTop="1" x14ac:dyDescent="0.25">
      <c r="B18" s="5"/>
    </row>
    <row r="19" spans="2:15" ht="23.4" x14ac:dyDescent="0.6">
      <c r="B19" s="1"/>
    </row>
    <row r="20" spans="2:15" ht="23.4" x14ac:dyDescent="0.6">
      <c r="B20" s="1"/>
    </row>
  </sheetData>
  <mergeCells count="4">
    <mergeCell ref="D2:O2"/>
    <mergeCell ref="B2:B3"/>
    <mergeCell ref="A2:A3"/>
    <mergeCell ref="C2:C3"/>
  </mergeCells>
  <phoneticPr fontId="6" type="noConversion"/>
  <pageMargins left="0.25" right="0.25" top="0.75" bottom="0.75" header="0.3" footer="0.3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สรุป</vt:lpstr>
      <vt:lpstr>ยอดขาย ปี 68</vt:lpstr>
      <vt:lpstr>ต้นทุน ปี 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Kanokon plam</cp:lastModifiedBy>
  <cp:lastPrinted>2025-05-06T04:29:14Z</cp:lastPrinted>
  <dcterms:created xsi:type="dcterms:W3CDTF">2024-11-02T07:31:23Z</dcterms:created>
  <dcterms:modified xsi:type="dcterms:W3CDTF">2025-05-07T08:28:50Z</dcterms:modified>
</cp:coreProperties>
</file>