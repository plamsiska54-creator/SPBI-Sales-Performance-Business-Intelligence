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รวมออนไลน์\จำนวนชิ้นขาย ออนไลน์\คำนวนต้นทุน ออนไลน์\ปี 67\"/>
    </mc:Choice>
  </mc:AlternateContent>
  <xr:revisionPtr revIDLastSave="0" documentId="13_ncr:1_{EECB989D-E8D5-4C22-BE66-DC23C00DDDB3}" xr6:coauthVersionLast="47" xr6:coauthVersionMax="47" xr10:uidLastSave="{00000000-0000-0000-0000-000000000000}"/>
  <bookViews>
    <workbookView xWindow="-108" yWindow="-108" windowWidth="23256" windowHeight="12456" xr2:uid="{386DF479-B1BF-415E-A6AA-67E79E90EFEB}"/>
  </bookViews>
  <sheets>
    <sheet name="วัสดุสิ้นเปลือง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1" l="1"/>
  <c r="F15" i="1"/>
  <c r="F14" i="1"/>
  <c r="E4" i="1"/>
  <c r="I14" i="1"/>
  <c r="I15" i="1"/>
  <c r="I16" i="1"/>
  <c r="E16" i="1"/>
  <c r="E15" i="1"/>
  <c r="E14" i="1"/>
  <c r="K5" i="1"/>
  <c r="K6" i="1"/>
  <c r="K7" i="1"/>
  <c r="K8" i="1"/>
  <c r="K9" i="1"/>
  <c r="K10" i="1"/>
  <c r="K11" i="1"/>
  <c r="K12" i="1"/>
  <c r="K13" i="1"/>
  <c r="K14" i="1"/>
  <c r="K15" i="1"/>
  <c r="K16" i="1"/>
  <c r="K4" i="1"/>
  <c r="H1" i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I5" i="1"/>
  <c r="I6" i="1"/>
  <c r="I7" i="1"/>
  <c r="I8" i="1"/>
  <c r="I9" i="1"/>
  <c r="I10" i="1"/>
  <c r="I11" i="1"/>
  <c r="I12" i="1"/>
  <c r="I13" i="1"/>
  <c r="I4" i="1"/>
  <c r="I1" i="1" l="1"/>
  <c r="K1" i="1" l="1"/>
  <c r="F4" i="1"/>
  <c r="F1" i="1" s="1"/>
  <c r="E1" i="1"/>
  <c r="J1" i="1"/>
</calcChain>
</file>

<file path=xl/sharedStrings.xml><?xml version="1.0" encoding="utf-8"?>
<sst xmlns="http://schemas.openxmlformats.org/spreadsheetml/2006/main" count="55" uniqueCount="38">
  <si>
    <t>รายการเบิกวัสดุสิ้นเปลือง แผนกออนไลน์ ปี 2567</t>
  </si>
  <si>
    <t>รหัสสินค้า</t>
  </si>
  <si>
    <t>02-BB111</t>
  </si>
  <si>
    <t>02-BB116</t>
  </si>
  <si>
    <t>02-BB117</t>
  </si>
  <si>
    <t>02-BB28</t>
  </si>
  <si>
    <t>02-BB31</t>
  </si>
  <si>
    <t>02-BB32</t>
  </si>
  <si>
    <t>02-BB33</t>
  </si>
  <si>
    <t>02-BB64</t>
  </si>
  <si>
    <t>02-BB74</t>
  </si>
  <si>
    <t>5-C-907</t>
  </si>
  <si>
    <t>DS</t>
  </si>
  <si>
    <t>ยอดเบิก</t>
  </si>
  <si>
    <t>หน่วย</t>
  </si>
  <si>
    <t>แผ่นรองขนมปังปอนค์ ขนาด113x113:247cm(กล่องใน)</t>
  </si>
  <si>
    <t>กล่อง Carton 52*52*36 ใส่ซิฟฟ้อน+ปังแถว</t>
  </si>
  <si>
    <t>กล่อง CARTON ทรง B</t>
  </si>
  <si>
    <t>กล่อง CARTON ทรงสูง</t>
  </si>
  <si>
    <t>กล่อง CARTON ทรงเตี้ย</t>
  </si>
  <si>
    <t>กล่อง CARTON ทรงยาว</t>
  </si>
  <si>
    <t>กล่อง L (L)</t>
  </si>
  <si>
    <t>กล่องไปษณีย์ (F)</t>
  </si>
  <si>
    <t>(พลาสติกกันกระแทกขนาด 32.5 CM (ตัดเอง)</t>
  </si>
  <si>
    <t>ชื่อสินค้า</t>
  </si>
  <si>
    <t>เป็นเงิน</t>
  </si>
  <si>
    <t>ราคาต้นทุน</t>
  </si>
  <si>
    <t>Total</t>
  </si>
  <si>
    <t>ใบ</t>
  </si>
  <si>
    <t>กล่อง Carton 25*50*28 ใส่ชิฟฟ้อน 20</t>
  </si>
  <si>
    <t>5-C-817</t>
  </si>
  <si>
    <t>5-C-541</t>
  </si>
  <si>
    <t>5-S-015</t>
  </si>
  <si>
    <t>ม้วน</t>
  </si>
  <si>
    <t>สติ๊กเกอร์ลาเบล 100*100*500 mm.</t>
  </si>
  <si>
    <t>สติ๊กเกอร์ลาเบล 100*150*500 mm.</t>
  </si>
  <si>
    <t>สติ๊กเกอร์ลาเบล 90*50*500 mm.</t>
  </si>
  <si>
    <t>บาท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</si>
</sst>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14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sz val="16"/>
      <color theme="1"/>
      <name val="Angsana New"/>
      <family val="1"/>
    </font>
    <font>
      <b/>
      <sz val="18"/>
      <color theme="1"/>
      <name val="Angsana New"/>
      <family val="1"/>
    </font>
    <font>
      <b/>
      <sz val="20"/>
      <color theme="1"/>
      <name val="Angsana New"/>
      <family val="1"/>
    </font>
    <font>
      <b/>
      <sz val="20"/>
      <color theme="1" tint="4.9989318521683403E-2"/>
      <name val="Angsana New"/>
      <family val="1"/>
    </font>
    <font>
      <b/>
      <sz val="18"/>
      <color theme="1" tint="4.9989318521683403E-2"/>
      <name val="Angsana New"/>
      <family val="1"/>
    </font>
    <font>
      <sz val="16"/>
      <color theme="1" tint="4.9989318521683403E-2"/>
      <name val="Angsana New"/>
      <family val="1"/>
    </font>
    <font>
      <b/>
      <sz val="20"/>
      <color rgb="FF0000CC"/>
      <name val="Angsana New"/>
      <family val="1"/>
    </font>
    <font>
      <b/>
      <sz val="18"/>
      <color rgb="FF0000CC"/>
      <name val="Angsana New"/>
      <family val="1"/>
    </font>
    <font>
      <sz val="16"/>
      <color rgb="FF0000CC"/>
      <name val="Angsana New"/>
      <family val="1"/>
    </font>
    <font>
      <b/>
      <sz val="18"/>
      <color rgb="FFFF0000"/>
      <name val="Angsana New"/>
      <family val="1"/>
    </font>
    <font>
      <sz val="16"/>
      <color rgb="FFFF0000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rgb="FFFF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/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187" fontId="6" fillId="0" borderId="1" xfId="1" applyNumberFormat="1" applyFont="1" applyBorder="1" applyAlignment="1">
      <alignment vertical="center"/>
    </xf>
    <xf numFmtId="187" fontId="7" fillId="2" borderId="0" xfId="1" applyNumberFormat="1" applyFont="1" applyFill="1" applyAlignment="1">
      <alignment vertical="center"/>
    </xf>
    <xf numFmtId="187" fontId="8" fillId="0" borderId="0" xfId="1" applyNumberFormat="1" applyFont="1"/>
    <xf numFmtId="43" fontId="9" fillId="0" borderId="1" xfId="1" applyFont="1" applyBorder="1" applyAlignment="1">
      <alignment vertical="center"/>
    </xf>
    <xf numFmtId="43" fontId="10" fillId="2" borderId="0" xfId="1" applyFont="1" applyFill="1" applyAlignment="1">
      <alignment vertical="center"/>
    </xf>
    <xf numFmtId="43" fontId="11" fillId="0" borderId="0" xfId="1" applyFont="1"/>
    <xf numFmtId="43" fontId="13" fillId="0" borderId="0" xfId="1" applyFont="1"/>
    <xf numFmtId="17" fontId="5" fillId="2" borderId="0" xfId="1" applyNumberFormat="1" applyFont="1" applyFill="1" applyAlignment="1">
      <alignment horizontal="center" vertical="center"/>
    </xf>
    <xf numFmtId="0" fontId="5" fillId="2" borderId="0" xfId="1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3" fontId="12" fillId="2" borderId="0" xfId="1" applyFont="1" applyFill="1" applyAlignment="1">
      <alignment horizontal="center" vertical="center"/>
    </xf>
    <xf numFmtId="43" fontId="4" fillId="2" borderId="0" xfId="1" applyFont="1" applyFill="1" applyAlignment="1">
      <alignment horizontal="center" vertical="center"/>
    </xf>
    <xf numFmtId="0" fontId="5" fillId="0" borderId="0" xfId="0" applyFont="1" applyAlignment="1">
      <alignment horizontal="right" vertical="center"/>
    </xf>
    <xf numFmtId="43" fontId="5" fillId="0" borderId="0" xfId="1" applyFont="1" applyAlignment="1">
      <alignment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1F9D2-3C84-4A26-AE03-CCE182EC5685}">
  <sheetPr>
    <tabColor rgb="FF92D050"/>
  </sheetPr>
  <dimension ref="A1:L16"/>
  <sheetViews>
    <sheetView tabSelected="1"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L16" sqref="A1:L16"/>
    </sheetView>
  </sheetViews>
  <sheetFormatPr defaultRowHeight="23.4" x14ac:dyDescent="0.6"/>
  <cols>
    <col min="1" max="1" width="8.796875" style="1"/>
    <col min="2" max="2" width="41.69921875" style="1" bestFit="1" customWidth="1"/>
    <col min="3" max="4" width="8.796875" style="1"/>
    <col min="5" max="5" width="11" style="7" bestFit="1" customWidth="1"/>
    <col min="6" max="6" width="12.09765625" style="10" bestFit="1" customWidth="1"/>
    <col min="7" max="7" width="10.296875" style="11" bestFit="1" customWidth="1"/>
    <col min="8" max="8" width="11" style="7" bestFit="1" customWidth="1"/>
    <col min="9" max="9" width="12.09765625" style="10" bestFit="1" customWidth="1"/>
    <col min="10" max="10" width="8.8984375" style="7" bestFit="1" customWidth="1"/>
    <col min="11" max="11" width="12.09765625" style="10" bestFit="1" customWidth="1"/>
    <col min="12" max="16384" width="8.796875" style="1"/>
  </cols>
  <sheetData>
    <row r="1" spans="1:12" s="2" customFormat="1" ht="29.4" thickBot="1" x14ac:dyDescent="0.3">
      <c r="A1" s="2" t="s">
        <v>0</v>
      </c>
      <c r="D1" s="17" t="s">
        <v>27</v>
      </c>
      <c r="E1" s="5">
        <f>SUBTOTAL(9,E4:E1048576)</f>
        <v>41984</v>
      </c>
      <c r="F1" s="8">
        <f t="shared" ref="F1:I1" si="0">SUBTOTAL(9,F4:F1048576)</f>
        <v>224503.52000000002</v>
      </c>
      <c r="G1" s="18" t="s">
        <v>37</v>
      </c>
      <c r="H1" s="5">
        <f t="shared" si="0"/>
        <v>23563</v>
      </c>
      <c r="I1" s="8">
        <f t="shared" si="0"/>
        <v>118073.3</v>
      </c>
      <c r="J1" s="5">
        <f>SUBTOTAL(9,J4:J1048576)</f>
        <v>18421</v>
      </c>
      <c r="K1" s="8">
        <f>SUBTOTAL(9,K4:K1048576)</f>
        <v>106430.22</v>
      </c>
      <c r="L1" s="18" t="s">
        <v>37</v>
      </c>
    </row>
    <row r="2" spans="1:12" s="2" customFormat="1" ht="29.4" thickTop="1" x14ac:dyDescent="0.25">
      <c r="A2" s="14" t="s">
        <v>1</v>
      </c>
      <c r="B2" s="14" t="s">
        <v>24</v>
      </c>
      <c r="C2" s="14" t="s">
        <v>14</v>
      </c>
      <c r="D2" s="14" t="s">
        <v>12</v>
      </c>
      <c r="E2" s="16" t="s">
        <v>27</v>
      </c>
      <c r="F2" s="16"/>
      <c r="G2" s="15" t="s">
        <v>26</v>
      </c>
      <c r="H2" s="12">
        <v>24777</v>
      </c>
      <c r="I2" s="13"/>
      <c r="J2" s="12">
        <v>24807</v>
      </c>
      <c r="K2" s="13"/>
    </row>
    <row r="3" spans="1:12" s="3" customFormat="1" ht="26.4" x14ac:dyDescent="0.25">
      <c r="A3" s="14"/>
      <c r="B3" s="14"/>
      <c r="C3" s="14"/>
      <c r="D3" s="14"/>
      <c r="E3" s="6" t="s">
        <v>13</v>
      </c>
      <c r="F3" s="9" t="s">
        <v>25</v>
      </c>
      <c r="G3" s="15"/>
      <c r="H3" s="6" t="s">
        <v>13</v>
      </c>
      <c r="I3" s="9" t="s">
        <v>25</v>
      </c>
      <c r="J3" s="6" t="s">
        <v>13</v>
      </c>
      <c r="K3" s="9" t="s">
        <v>25</v>
      </c>
    </row>
    <row r="4" spans="1:12" x14ac:dyDescent="0.6">
      <c r="A4" s="1" t="s">
        <v>2</v>
      </c>
      <c r="B4" s="1" t="s">
        <v>15</v>
      </c>
      <c r="C4" s="4" t="s">
        <v>28</v>
      </c>
      <c r="E4" s="7">
        <f t="shared" ref="E4:E16" si="1">+H4+J4</f>
        <v>10000</v>
      </c>
      <c r="F4" s="10">
        <f>+E4*G4</f>
        <v>21000</v>
      </c>
      <c r="G4" s="11">
        <v>2.1</v>
      </c>
      <c r="H4" s="7">
        <v>5000</v>
      </c>
      <c r="I4" s="10">
        <f>+G4*H4</f>
        <v>10500</v>
      </c>
      <c r="J4" s="7">
        <v>5000</v>
      </c>
      <c r="K4" s="10">
        <f>+J4*G4</f>
        <v>10500</v>
      </c>
    </row>
    <row r="5" spans="1:12" x14ac:dyDescent="0.6">
      <c r="A5" s="1" t="s">
        <v>3</v>
      </c>
      <c r="B5" s="1" t="s">
        <v>16</v>
      </c>
      <c r="C5" s="4" t="s">
        <v>28</v>
      </c>
      <c r="E5" s="7">
        <f t="shared" si="1"/>
        <v>200</v>
      </c>
      <c r="F5" s="10">
        <f t="shared" ref="F5:F16" si="2">+E5*G5</f>
        <v>3120</v>
      </c>
      <c r="G5" s="11">
        <v>15.6</v>
      </c>
      <c r="H5" s="7">
        <v>100</v>
      </c>
      <c r="I5" s="10">
        <f t="shared" ref="I5:I16" si="3">+G5*H5</f>
        <v>1560</v>
      </c>
      <c r="J5" s="7">
        <v>100</v>
      </c>
      <c r="K5" s="10">
        <f t="shared" ref="K5:K16" si="4">+J5*G5</f>
        <v>1560</v>
      </c>
    </row>
    <row r="6" spans="1:12" x14ac:dyDescent="0.6">
      <c r="A6" s="1" t="s">
        <v>4</v>
      </c>
      <c r="B6" s="1" t="s">
        <v>29</v>
      </c>
      <c r="C6" s="4" t="s">
        <v>28</v>
      </c>
      <c r="E6" s="7">
        <f t="shared" si="1"/>
        <v>4680</v>
      </c>
      <c r="F6" s="10">
        <f t="shared" si="2"/>
        <v>40809.600000000006</v>
      </c>
      <c r="G6" s="11">
        <v>8.7200000000000006</v>
      </c>
      <c r="H6" s="7">
        <v>1990</v>
      </c>
      <c r="I6" s="10">
        <f t="shared" si="3"/>
        <v>17352.800000000003</v>
      </c>
      <c r="J6" s="7">
        <v>2690</v>
      </c>
      <c r="K6" s="10">
        <f t="shared" si="4"/>
        <v>23456.800000000003</v>
      </c>
    </row>
    <row r="7" spans="1:12" x14ac:dyDescent="0.6">
      <c r="A7" s="1" t="s">
        <v>5</v>
      </c>
      <c r="B7" s="1" t="s">
        <v>17</v>
      </c>
      <c r="C7" s="4" t="s">
        <v>28</v>
      </c>
      <c r="E7" s="7">
        <f t="shared" si="1"/>
        <v>1900</v>
      </c>
      <c r="F7" s="10">
        <f t="shared" si="2"/>
        <v>5795</v>
      </c>
      <c r="G7" s="11">
        <v>3.05</v>
      </c>
      <c r="H7" s="7">
        <v>1400</v>
      </c>
      <c r="I7" s="10">
        <f t="shared" si="3"/>
        <v>4270</v>
      </c>
      <c r="J7" s="7">
        <v>500</v>
      </c>
      <c r="K7" s="10">
        <f t="shared" si="4"/>
        <v>1525</v>
      </c>
    </row>
    <row r="8" spans="1:12" x14ac:dyDescent="0.6">
      <c r="A8" s="1" t="s">
        <v>6</v>
      </c>
      <c r="B8" s="1" t="s">
        <v>18</v>
      </c>
      <c r="C8" s="4" t="s">
        <v>28</v>
      </c>
      <c r="E8" s="7">
        <f t="shared" si="1"/>
        <v>2400</v>
      </c>
      <c r="F8" s="10">
        <f t="shared" si="2"/>
        <v>13392</v>
      </c>
      <c r="G8" s="11">
        <v>5.58</v>
      </c>
      <c r="H8" s="7">
        <v>800</v>
      </c>
      <c r="I8" s="10">
        <f t="shared" si="3"/>
        <v>4464</v>
      </c>
      <c r="J8" s="7">
        <v>1600</v>
      </c>
      <c r="K8" s="10">
        <f t="shared" si="4"/>
        <v>8928</v>
      </c>
    </row>
    <row r="9" spans="1:12" x14ac:dyDescent="0.6">
      <c r="A9" s="1" t="s">
        <v>7</v>
      </c>
      <c r="B9" s="1" t="s">
        <v>19</v>
      </c>
      <c r="C9" s="4" t="s">
        <v>28</v>
      </c>
      <c r="E9" s="7">
        <f t="shared" si="1"/>
        <v>12420</v>
      </c>
      <c r="F9" s="10">
        <f t="shared" si="2"/>
        <v>62100</v>
      </c>
      <c r="G9" s="11">
        <v>5</v>
      </c>
      <c r="H9" s="7">
        <v>7900</v>
      </c>
      <c r="I9" s="10">
        <f t="shared" si="3"/>
        <v>39500</v>
      </c>
      <c r="J9" s="7">
        <v>4520</v>
      </c>
      <c r="K9" s="10">
        <f t="shared" si="4"/>
        <v>22600</v>
      </c>
    </row>
    <row r="10" spans="1:12" x14ac:dyDescent="0.6">
      <c r="A10" s="1" t="s">
        <v>8</v>
      </c>
      <c r="B10" s="1" t="s">
        <v>20</v>
      </c>
      <c r="C10" s="4" t="s">
        <v>28</v>
      </c>
      <c r="E10" s="7">
        <f t="shared" si="1"/>
        <v>7800</v>
      </c>
      <c r="F10" s="10">
        <f t="shared" si="2"/>
        <v>30420</v>
      </c>
      <c r="G10" s="11">
        <v>3.9</v>
      </c>
      <c r="H10" s="7">
        <v>5000</v>
      </c>
      <c r="I10" s="10">
        <f t="shared" si="3"/>
        <v>19500</v>
      </c>
      <c r="J10" s="7">
        <v>2800</v>
      </c>
      <c r="K10" s="10">
        <f t="shared" si="4"/>
        <v>10920</v>
      </c>
    </row>
    <row r="11" spans="1:12" x14ac:dyDescent="0.6">
      <c r="A11" s="1" t="s">
        <v>9</v>
      </c>
      <c r="B11" s="1" t="s">
        <v>21</v>
      </c>
      <c r="C11" s="4" t="s">
        <v>28</v>
      </c>
      <c r="E11" s="7">
        <f t="shared" si="1"/>
        <v>890</v>
      </c>
      <c r="F11" s="10">
        <f t="shared" si="2"/>
        <v>14685</v>
      </c>
      <c r="G11" s="11">
        <v>16.5</v>
      </c>
      <c r="H11" s="7">
        <v>300</v>
      </c>
      <c r="I11" s="10">
        <f t="shared" si="3"/>
        <v>4950</v>
      </c>
      <c r="J11" s="7">
        <v>590</v>
      </c>
      <c r="K11" s="10">
        <f t="shared" si="4"/>
        <v>9735</v>
      </c>
    </row>
    <row r="12" spans="1:12" x14ac:dyDescent="0.6">
      <c r="A12" s="1" t="s">
        <v>10</v>
      </c>
      <c r="B12" s="1" t="s">
        <v>22</v>
      </c>
      <c r="C12" s="4" t="s">
        <v>28</v>
      </c>
      <c r="E12" s="7">
        <f t="shared" si="1"/>
        <v>1450</v>
      </c>
      <c r="F12" s="10">
        <f t="shared" si="2"/>
        <v>14282.5</v>
      </c>
      <c r="G12" s="11">
        <v>9.85</v>
      </c>
      <c r="H12" s="7">
        <v>990</v>
      </c>
      <c r="I12" s="10">
        <f t="shared" si="3"/>
        <v>9751.5</v>
      </c>
      <c r="J12" s="7">
        <v>460</v>
      </c>
      <c r="K12" s="10">
        <f t="shared" si="4"/>
        <v>4531</v>
      </c>
    </row>
    <row r="13" spans="1:12" x14ac:dyDescent="0.6">
      <c r="A13" s="1" t="s">
        <v>11</v>
      </c>
      <c r="B13" s="1" t="s">
        <v>23</v>
      </c>
      <c r="C13" s="4" t="s">
        <v>33</v>
      </c>
      <c r="E13" s="7">
        <f t="shared" si="1"/>
        <v>163</v>
      </c>
      <c r="F13" s="10">
        <f t="shared" si="2"/>
        <v>12225</v>
      </c>
      <c r="G13" s="11">
        <v>75</v>
      </c>
      <c r="H13" s="7">
        <v>83</v>
      </c>
      <c r="I13" s="10">
        <f t="shared" si="3"/>
        <v>6225</v>
      </c>
      <c r="J13" s="7">
        <v>80</v>
      </c>
      <c r="K13" s="10">
        <f t="shared" si="4"/>
        <v>6000</v>
      </c>
    </row>
    <row r="14" spans="1:12" x14ac:dyDescent="0.6">
      <c r="A14" s="1" t="s">
        <v>30</v>
      </c>
      <c r="B14" s="1" t="s">
        <v>34</v>
      </c>
      <c r="C14" s="4" t="s">
        <v>33</v>
      </c>
      <c r="E14" s="7">
        <f t="shared" si="1"/>
        <v>6</v>
      </c>
      <c r="F14" s="10">
        <f t="shared" si="2"/>
        <v>420</v>
      </c>
      <c r="G14" s="11">
        <v>70</v>
      </c>
      <c r="H14" s="7">
        <v>0</v>
      </c>
      <c r="I14" s="10">
        <f t="shared" si="3"/>
        <v>0</v>
      </c>
      <c r="J14" s="7">
        <v>6</v>
      </c>
      <c r="K14" s="10">
        <f t="shared" si="4"/>
        <v>420</v>
      </c>
    </row>
    <row r="15" spans="1:12" x14ac:dyDescent="0.6">
      <c r="A15" s="1" t="s">
        <v>31</v>
      </c>
      <c r="B15" s="1" t="s">
        <v>35</v>
      </c>
      <c r="C15" s="4" t="s">
        <v>33</v>
      </c>
      <c r="E15" s="7">
        <f t="shared" si="1"/>
        <v>34</v>
      </c>
      <c r="F15" s="10">
        <f t="shared" si="2"/>
        <v>3400</v>
      </c>
      <c r="G15" s="11">
        <v>100</v>
      </c>
      <c r="H15" s="7">
        <v>0</v>
      </c>
      <c r="I15" s="10">
        <f t="shared" si="3"/>
        <v>0</v>
      </c>
      <c r="J15" s="7">
        <v>34</v>
      </c>
      <c r="K15" s="10">
        <f t="shared" si="4"/>
        <v>3400</v>
      </c>
    </row>
    <row r="16" spans="1:12" x14ac:dyDescent="0.6">
      <c r="A16" s="1" t="s">
        <v>32</v>
      </c>
      <c r="B16" s="1" t="s">
        <v>36</v>
      </c>
      <c r="C16" s="4" t="s">
        <v>33</v>
      </c>
      <c r="E16" s="7">
        <f t="shared" si="1"/>
        <v>41</v>
      </c>
      <c r="F16" s="10">
        <f t="shared" si="2"/>
        <v>2854.42</v>
      </c>
      <c r="G16" s="11">
        <v>69.62</v>
      </c>
      <c r="H16" s="7">
        <v>0</v>
      </c>
      <c r="I16" s="10">
        <f t="shared" si="3"/>
        <v>0</v>
      </c>
      <c r="J16" s="7">
        <v>41</v>
      </c>
      <c r="K16" s="10">
        <f t="shared" si="4"/>
        <v>2854.42</v>
      </c>
    </row>
  </sheetData>
  <mergeCells count="8">
    <mergeCell ref="J2:K2"/>
    <mergeCell ref="H2:I2"/>
    <mergeCell ref="A2:A3"/>
    <mergeCell ref="B2:B3"/>
    <mergeCell ref="C2:C3"/>
    <mergeCell ref="D2:D3"/>
    <mergeCell ref="G2:G3"/>
    <mergeCell ref="E2:F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วัสดุสิ้นเปลือง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Kanokon plam</dc:creator>
  <cp:lastModifiedBy>Kanokon plam</cp:lastModifiedBy>
  <dcterms:created xsi:type="dcterms:W3CDTF">2024-12-01T09:32:57Z</dcterms:created>
  <dcterms:modified xsi:type="dcterms:W3CDTF">2025-01-02T07:39:04Z</dcterms:modified>
</cp:coreProperties>
</file>